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ing PPM" sheetId="1" r:id="rId4"/>
    <sheet state="visible" name="List Material" sheetId="2" r:id="rId5"/>
    <sheet state="visible" name="MOS" sheetId="3" r:id="rId6"/>
    <sheet state="visible" name="BA Pengetesan" sheetId="4" r:id="rId7"/>
    <sheet state="visible" name="TKDN" sheetId="5" r:id="rId8"/>
    <sheet state="visible" name="Garansi" sheetId="6" r:id="rId9"/>
    <sheet state="visible" name="Manual Book" sheetId="7" r:id="rId10"/>
  </sheets>
  <definedNames>
    <definedName hidden="1" localSheetId="0" name="_xlnm._FilterDatabase">'Monitoring PPM'!$M$398</definedName>
    <definedName hidden="1" localSheetId="2" name="_xlnm._FilterDatabase">MOS!$A$2:$Z$140</definedName>
    <definedName hidden="1" localSheetId="3" name="_xlnm._FilterDatabase">'BA Pengetesan'!$A$2:$Z$38</definedName>
  </definedNames>
  <calcPr/>
</workbook>
</file>

<file path=xl/sharedStrings.xml><?xml version="1.0" encoding="utf-8"?>
<sst xmlns="http://schemas.openxmlformats.org/spreadsheetml/2006/main" count="2454" uniqueCount="1598">
  <si>
    <t>MONITORING PPM REST AREA BETJAM SEKSI 4</t>
  </si>
  <si>
    <t>NO.</t>
  </si>
  <si>
    <t>NO. APPROVAL</t>
  </si>
  <si>
    <t>TANGGAL APPROVED</t>
  </si>
  <si>
    <t>NAMA MATERIAL</t>
  </si>
  <si>
    <t>SPESIFIKASI</t>
  </si>
  <si>
    <t>MERK</t>
  </si>
  <si>
    <t>PEKERJAAN</t>
  </si>
  <si>
    <t>TANGGAL MASUK PJT</t>
  </si>
  <si>
    <t>STATUS</t>
  </si>
  <si>
    <t>ARSIP PPM</t>
  </si>
  <si>
    <t>TKDN</t>
  </si>
  <si>
    <t>GARANSI</t>
  </si>
  <si>
    <t>MANUAL BOOK</t>
  </si>
  <si>
    <t>KETERANGAN</t>
  </si>
  <si>
    <t>001/PPM/RA/BETJAM/I/2025</t>
  </si>
  <si>
    <t>Baja Tulangan Ø 10 mm</t>
  </si>
  <si>
    <t xml:space="preserve">Kuat tarik leleh minimum 280 Mpa
</t>
  </si>
  <si>
    <t>Ex. Lautan Steel Indonesia</t>
  </si>
  <si>
    <t>Struktur Bangunan</t>
  </si>
  <si>
    <t>Approved</t>
  </si>
  <si>
    <t>001 PPM Baja Tulangan Polos 10 mm Ex. Lautan Steel.pdf</t>
  </si>
  <si>
    <t>-</t>
  </si>
  <si>
    <t>002/PPM/RA/BETJAM/I/2025</t>
  </si>
  <si>
    <t>Baja Tulangan D 13</t>
  </si>
  <si>
    <t xml:space="preserve">Kuat tarik leleh minimum 420 Mpa
</t>
  </si>
  <si>
    <t>Ex. Citra Baru Steel</t>
  </si>
  <si>
    <t>002 PPM Baja Tulangan Ulir 13 Ex. CBS.pdf</t>
  </si>
  <si>
    <t>TKDN CBS.pdf</t>
  </si>
  <si>
    <t>003/PPM/RA/BETJAM/I/2025</t>
  </si>
  <si>
    <t>Baja Ringan</t>
  </si>
  <si>
    <t>Ex. Taso</t>
  </si>
  <si>
    <t>Rangka Atap</t>
  </si>
  <si>
    <t>003 PPM Baja Ringan Ex. Taso.pdf</t>
  </si>
  <si>
    <t>TKDN Taso.pdf</t>
  </si>
  <si>
    <t>Profil Kuda - Kuda</t>
  </si>
  <si>
    <t>C.75.75</t>
  </si>
  <si>
    <t>Profil Usuk/ Gording</t>
  </si>
  <si>
    <t>TR MX 110.45</t>
  </si>
  <si>
    <t>004/PPM/RA/BETJAM/I/2025</t>
  </si>
  <si>
    <t>Bata Ringan</t>
  </si>
  <si>
    <t>BJ Kering : 520  kg/m3, BJ Normal : 600  kg/m3, Kuat Tekan : ≥ 4   N/mm2</t>
  </si>
  <si>
    <t>Ex. Walbrick</t>
  </si>
  <si>
    <t>Dinding</t>
  </si>
  <si>
    <t>004 PPM Bata Ringan Ex. Wallbrick.pdf</t>
  </si>
  <si>
    <t>Uk. 600 x 200 x 100 mm</t>
  </si>
  <si>
    <t>Uk. 600 x 200 x 75 mm</t>
  </si>
  <si>
    <t>005/PPM/RA/BETJAM/I/2025</t>
  </si>
  <si>
    <t>BJ Normal :  600 ± 50  kg/m3, Kuat Tekan : ≥ 4,25   N/mm2</t>
  </si>
  <si>
    <t>Ex. Fortune Block Indonesia (FBI)</t>
  </si>
  <si>
    <t>005 PPM Bata Ringan Ex. FBI.pdf</t>
  </si>
  <si>
    <t>006/PPM/RA/BETJAM/I/2025</t>
  </si>
  <si>
    <t>Plafond Gypsumboard</t>
  </si>
  <si>
    <t>Plafond</t>
  </si>
  <si>
    <t>006 PPM Plafond Gypsum Ex. Aplus.pdf</t>
  </si>
  <si>
    <t>TKDN Plafond.pdf</t>
  </si>
  <si>
    <t xml:space="preserve">Plafond Gypsumboard </t>
  </si>
  <si>
    <t>Uk. 2400x1200x9 mm</t>
  </si>
  <si>
    <t>Ex Aplus</t>
  </si>
  <si>
    <t>007/PPM/RA/BETJAM/I/2025</t>
  </si>
  <si>
    <t>Floor Hardener</t>
  </si>
  <si>
    <t>Ex. Sika Chapdur</t>
  </si>
  <si>
    <t>007 PPM Floor Hardener Ex. Sika Chapdur.pdf</t>
  </si>
  <si>
    <t>007A/PPM/RA/BETJAM/I/2025</t>
  </si>
  <si>
    <t>Minipile Pondasi Highmash</t>
  </si>
  <si>
    <t>25 x 25 x 600 cm</t>
  </si>
  <si>
    <t>Ex. PT Kunango Jantan</t>
  </si>
  <si>
    <t>007A PPM Minipile Pondasi Highmash.pdf</t>
  </si>
  <si>
    <t>008/PPM/RA/BETJAM/I/2025</t>
  </si>
  <si>
    <t>Listplank</t>
  </si>
  <si>
    <t>GRC Timber Plank Motif Urat Kayu 8mm</t>
  </si>
  <si>
    <t>Ex. Aplus</t>
  </si>
  <si>
    <t>Atap</t>
  </si>
  <si>
    <t>008 PPM Lisplank Ex. Aplus.pdf</t>
  </si>
  <si>
    <t>TKDN Lisplank.pdf</t>
  </si>
  <si>
    <t>009/PPM/RA/BETJAM/I/2025</t>
  </si>
  <si>
    <t>Kaca</t>
  </si>
  <si>
    <t>Pintu dan Jendela</t>
  </si>
  <si>
    <t>009 PPM Kaca Ex. Asahimas.pdf</t>
  </si>
  <si>
    <t>Kaca Polos</t>
  </si>
  <si>
    <t>Tebal 5 mm</t>
  </si>
  <si>
    <t>Ex. Asahimas</t>
  </si>
  <si>
    <t>Kaca Tempered</t>
  </si>
  <si>
    <t>Tebal 10 mm</t>
  </si>
  <si>
    <t>010/PPM/RA/BETJAM/I/2025</t>
  </si>
  <si>
    <t>Cermin</t>
  </si>
  <si>
    <t>Tebal 6 mm</t>
  </si>
  <si>
    <t>Cermin Wastafel</t>
  </si>
  <si>
    <t>010 PPM Cermin Ex. Asahimas.pdf</t>
  </si>
  <si>
    <t>TKDN Cermin.pdf</t>
  </si>
  <si>
    <t>011/PPM/RA/BETJAM/I/2025</t>
  </si>
  <si>
    <t>Conduit Ø 20 mm :</t>
  </si>
  <si>
    <t>Diameter Ø 20 mm</t>
  </si>
  <si>
    <t>Ex. Boss</t>
  </si>
  <si>
    <t>Elektrikal</t>
  </si>
  <si>
    <t>011 PPM Pipa Conduit Ex. Boss.pdf</t>
  </si>
  <si>
    <t>TKDN Pipa Conduit Boss.pdf</t>
  </si>
  <si>
    <t xml:space="preserve">Junction Boxes </t>
  </si>
  <si>
    <t>Conduit 20 mm</t>
  </si>
  <si>
    <t>Corrugated Conduit</t>
  </si>
  <si>
    <t>Joining Coupling</t>
  </si>
  <si>
    <t>Inspection Elbow</t>
  </si>
  <si>
    <t>Inspection Tees</t>
  </si>
  <si>
    <t>90° Bends</t>
  </si>
  <si>
    <t>Saddle</t>
  </si>
  <si>
    <t>Spacer</t>
  </si>
  <si>
    <t>Conduit Clip</t>
  </si>
  <si>
    <t>Screwed Coupling</t>
  </si>
  <si>
    <t>Male Bushes</t>
  </si>
  <si>
    <t>Glands</t>
  </si>
  <si>
    <t>012/PPM/RA/BETJAM/I/2025</t>
  </si>
  <si>
    <t>Rangka Plafond</t>
  </si>
  <si>
    <t>Hollow 40 x 40</t>
  </si>
  <si>
    <t>012 PPM Rangka Plafond Ex. Aplus.pdf</t>
  </si>
  <si>
    <t>TKDN Hollow.pdf</t>
  </si>
  <si>
    <t>013/PPM/RA/BETJAM/I/2025</t>
  </si>
  <si>
    <t>Multiplek Pelapis Atap</t>
  </si>
  <si>
    <t>Tebal 12 mm</t>
  </si>
  <si>
    <t>Ex. Apel (Lokal)</t>
  </si>
  <si>
    <t>013 PPM Multiplek Ex. Apel.pdf</t>
  </si>
  <si>
    <t>014/PPM/RA/BETJAM/I/2025</t>
  </si>
  <si>
    <t xml:space="preserve">Cat Waterprofing </t>
  </si>
  <si>
    <t xml:space="preserve">Sika Top - 107 seal </t>
  </si>
  <si>
    <t>Ex. Sika</t>
  </si>
  <si>
    <t>014 PPM Waterproofing Ex. Sika Top - 107 Seal.pdf</t>
  </si>
  <si>
    <t>TKDN SikaTop.pdf</t>
  </si>
  <si>
    <t>015/PPM/RA/BETJAM/I/2025</t>
  </si>
  <si>
    <t>Pekerjaan Instalasi Air Kotor dan Bekas</t>
  </si>
  <si>
    <t>Instalasi Air Kotor</t>
  </si>
  <si>
    <t>015 PPM Pipa Air Kotor dan Bekas Ex. Rucika.pdf</t>
  </si>
  <si>
    <t>TKDN Pipa PVC.pdf</t>
  </si>
  <si>
    <t>Pipa PVC AW Dia. 1/2" - 6”</t>
  </si>
  <si>
    <t>Dia. 1/2 - 6”</t>
  </si>
  <si>
    <t>Ex. Rucika</t>
  </si>
  <si>
    <t>Aksesoris Pipa</t>
  </si>
  <si>
    <t>016/PPM/RA/BETJAM/I/2025</t>
  </si>
  <si>
    <t>Septic Tank</t>
  </si>
  <si>
    <t>016 PPM STP Ex. Biotechno.pdf</t>
  </si>
  <si>
    <t>TKDN STP.pdf</t>
  </si>
  <si>
    <t>10 Th</t>
  </si>
  <si>
    <t>Kapasitas 1 m³</t>
  </si>
  <si>
    <t>BTO - 1000</t>
  </si>
  <si>
    <t>Ex. Biotechno</t>
  </si>
  <si>
    <t>Kapasitas 2 m³</t>
  </si>
  <si>
    <t>BTO - 2000</t>
  </si>
  <si>
    <t>Kapasitas 3 m³</t>
  </si>
  <si>
    <t>RCO - 3</t>
  </si>
  <si>
    <t>Kapasitas 4 m³</t>
  </si>
  <si>
    <t>RCO - 4</t>
  </si>
  <si>
    <t>Kapasitas 5 m³</t>
  </si>
  <si>
    <t>RCO - 5</t>
  </si>
  <si>
    <t>017/PPM/RA/BETJAM/I/2025</t>
  </si>
  <si>
    <t xml:space="preserve">Baja Tulangan </t>
  </si>
  <si>
    <t>017 PPM Baja Tulangan Ex. Asia Steel.pdf</t>
  </si>
  <si>
    <t>TKDN Asia Steel.pdf</t>
  </si>
  <si>
    <t>Baja Tulangan Polos 10 mm</t>
  </si>
  <si>
    <t>Kuat Tarik Leleh Minimum 280 Mpa</t>
  </si>
  <si>
    <t>Ex. Asia Steel</t>
  </si>
  <si>
    <t>Baja Tulangan Ulir 13 mm</t>
  </si>
  <si>
    <t>Kuat Tarik Leleh Minimum 420 Mpa</t>
  </si>
  <si>
    <t>017A/PPM/RA/BETJAM/I/2025</t>
  </si>
  <si>
    <t>Angkur Ø 16 mm</t>
  </si>
  <si>
    <t>BJTS 420</t>
  </si>
  <si>
    <t>017A PPM Angkur Dia. 16 mm.pdf</t>
  </si>
  <si>
    <t>017B/PPM/RA/BETJAM/I/2025</t>
  </si>
  <si>
    <t>Baja Tulangan Ulir 10 mm</t>
  </si>
  <si>
    <t>Kuat tarik leleh minimum 420 Mpa</t>
  </si>
  <si>
    <t>017B PPM Baja Tulangan D10 Ex. CBS.pdf</t>
  </si>
  <si>
    <t>018/PPM/RA/BETJAM/II/2025</t>
  </si>
  <si>
    <t>Kabel Instalasi Elektrikal</t>
  </si>
  <si>
    <t>018 PPM Kabel Instalasi Elektrikal Ex. Supreme.pdf</t>
  </si>
  <si>
    <t>TKDN Supreme.pdf</t>
  </si>
  <si>
    <t>Instalasi Penerangan</t>
  </si>
  <si>
    <t>NYM 3x2,5 mm2</t>
  </si>
  <si>
    <t>Ex. Supreme</t>
  </si>
  <si>
    <t>Instalasi Stopkontak</t>
  </si>
  <si>
    <t>Instalasi Stopkontak AC</t>
  </si>
  <si>
    <t>NYM 3x4 mm2</t>
  </si>
  <si>
    <t>020/PPM/RA/BETJAM/II/2025</t>
  </si>
  <si>
    <t>Cat Baja Profil</t>
  </si>
  <si>
    <t>Baja Profil</t>
  </si>
  <si>
    <t>020 PPM Cat Baja Profil Ex. Nippon Paint.pdf</t>
  </si>
  <si>
    <t>Cat Dasar</t>
  </si>
  <si>
    <t>Zinc Chromate Primer Green</t>
  </si>
  <si>
    <t xml:space="preserve">Ex. Nippon Paint </t>
  </si>
  <si>
    <t>Cat Finish</t>
  </si>
  <si>
    <t>Bee Brand Junior 66 Super Black</t>
  </si>
  <si>
    <t>021/PPM/RA/BETJAM/II/2025</t>
  </si>
  <si>
    <t>PIPA AIR BERSIH</t>
  </si>
  <si>
    <t>Instalasi Air Bersih</t>
  </si>
  <si>
    <t>021 PPM Pipa GIP Ex. Spindo.pdf</t>
  </si>
  <si>
    <t>TKDN Pipa GIP.pdf</t>
  </si>
  <si>
    <t>Pipa GIP ( Galvanized iron pipe )</t>
  </si>
  <si>
    <t xml:space="preserve">   ●   Pipa GIP Dia. 200 mm (8")</t>
  </si>
  <si>
    <t>Tebal Min. 6,4 mm</t>
  </si>
  <si>
    <t>Ex. Spindo</t>
  </si>
  <si>
    <t xml:space="preserve">   ●   Pipa GIP Dia. 150 mm (6")</t>
  </si>
  <si>
    <t>Tebal Min. 5  mm</t>
  </si>
  <si>
    <t xml:space="preserve">   ●   Pipa GIP Dia. 100 mm (4")</t>
  </si>
  <si>
    <t>Tebal Min. 4,5 mm</t>
  </si>
  <si>
    <t xml:space="preserve">   ●   Pipa GIP Dia. 80 mm (3")</t>
  </si>
  <si>
    <t>Tebal Min. 4 mm</t>
  </si>
  <si>
    <t xml:space="preserve">   ●   Pipa GIP Dia. 65 mm (2 1/2")</t>
  </si>
  <si>
    <t>Tebal Min. 3,6 mm</t>
  </si>
  <si>
    <t xml:space="preserve">   ●   Pipa GIP Dia. 40 mm (1 1/2")</t>
  </si>
  <si>
    <t>Tebal Min. 3,2 mm</t>
  </si>
  <si>
    <t xml:space="preserve">   ●   Pipa GIP Dia. 25 mm (1")</t>
  </si>
  <si>
    <t>Tebal Min. 3,2  mm</t>
  </si>
  <si>
    <t>022/PPM/RA/BETJAM/II/2025</t>
  </si>
  <si>
    <t>PIPA HYDRANT</t>
  </si>
  <si>
    <t>Hydrant</t>
  </si>
  <si>
    <t>022 PPM Pipa Hydrant BSP Ex. Spindo.pdf</t>
  </si>
  <si>
    <t>TKDN Pipa BSP SCH 40.pdf</t>
  </si>
  <si>
    <t>Pipa BSP ( Black Steel Pipe ) sch 40</t>
  </si>
  <si>
    <t xml:space="preserve">   ●   BSP Dia. 200 mm (8")</t>
  </si>
  <si>
    <t>Tebal Min. 8,18 mm</t>
  </si>
  <si>
    <t xml:space="preserve">   ●   BSP Dia. 150 mm (6")</t>
  </si>
  <si>
    <t>Tebal Min. 7,11 mm</t>
  </si>
  <si>
    <t xml:space="preserve">   ●   BSP Dia. 100 mm (4")</t>
  </si>
  <si>
    <t>Tebal Min. 6,02 mm</t>
  </si>
  <si>
    <t xml:space="preserve">   ●   BSP Dia. 65 mm (2 1/2")</t>
  </si>
  <si>
    <t>Tebal Min. 5,16 mm</t>
  </si>
  <si>
    <t xml:space="preserve">   ●   BSP Dia. 15 mm (1/2")</t>
  </si>
  <si>
    <t>Tebal Min. 2,77 mm</t>
  </si>
  <si>
    <t>023/PPM/RA/BETJAM/II/2025</t>
  </si>
  <si>
    <t>Alat Bantu Air Bersih</t>
  </si>
  <si>
    <t>023 PPM Alat Bantu Air Bersih Ex. Yuta.pdf</t>
  </si>
  <si>
    <t>TKDN PN 10 Yuta.pdf</t>
  </si>
  <si>
    <t>Strainer Dia. 2"</t>
  </si>
  <si>
    <t>PN 10 Bar</t>
  </si>
  <si>
    <t>Ex. Yuta Model Fig. 10 CY</t>
  </si>
  <si>
    <t>Gate Valve Dia. 1", 1 1/2", 2", 2 1/2", 3"</t>
  </si>
  <si>
    <t>Ex. Yuta Model Fig. 10 CG</t>
  </si>
  <si>
    <t>Check Valve Dia. 2"</t>
  </si>
  <si>
    <t>Ex. Yuta Model Fig. 10 CC</t>
  </si>
  <si>
    <t>Floating Valve Dia. 65 mm, 75 mm</t>
  </si>
  <si>
    <t>Ex. Yuta Model Fig. 901</t>
  </si>
  <si>
    <t>024/PPM/RA/BETJAM/II/2025</t>
  </si>
  <si>
    <t>Alat Bantu Hydrant</t>
  </si>
  <si>
    <t>Instalasi Hydrant</t>
  </si>
  <si>
    <t>024 PPM Alat Bantu Hydrant Ex. Yuta.pdf</t>
  </si>
  <si>
    <t>TKDN PN 16 Yuta.pdf</t>
  </si>
  <si>
    <t>Strainer Diameter 65 mm dan 150 mm</t>
  </si>
  <si>
    <t>PN 16 Bar</t>
  </si>
  <si>
    <t xml:space="preserve">Ex. Yuta Model Fig.125 CY </t>
  </si>
  <si>
    <t>Gate Valve Diameter 65, 100 , 150 mm</t>
  </si>
  <si>
    <t xml:space="preserve">Ex. Yuta Model Fig.125 CG </t>
  </si>
  <si>
    <t>Check Valve Diameter 65 mm, 150 mm</t>
  </si>
  <si>
    <t xml:space="preserve">Ex. Yuta ModelFig.125 CC </t>
  </si>
  <si>
    <t>025/PPM/RA/BETJAM/II/2025</t>
  </si>
  <si>
    <t>Wraping Pipa</t>
  </si>
  <si>
    <t>4" (100 mm), 100ft (30 m)</t>
  </si>
  <si>
    <t>Ex. Polyken 980</t>
  </si>
  <si>
    <t>Proteksi Pipa</t>
  </si>
  <si>
    <t>025 PPM Wraping Pipa Ex. Polyken 980.pdf</t>
  </si>
  <si>
    <t>026/PPM/RA/BETJAM/II/2025</t>
  </si>
  <si>
    <t>Pompa Deep Well</t>
  </si>
  <si>
    <t>Type submersible, Kapasitas 200 lpm, Head 120 mtr, Daya 5,5 Kw</t>
  </si>
  <si>
    <t xml:space="preserve">Grundfos model SP 14-20 </t>
  </si>
  <si>
    <t>026 PPM Pompa Deep Well Ex. Grundfos.pdf</t>
  </si>
  <si>
    <t>1 Th</t>
  </si>
  <si>
    <t>027/PPM/RA/BETJAM/II/2025</t>
  </si>
  <si>
    <t>Pompa Hydrant dan Panel Hydrant</t>
  </si>
  <si>
    <t>027 PPM Panel dan Pompa Hydrant Ex. Fairbanks Nijhuis.pdf</t>
  </si>
  <si>
    <t>TKDN Pompa Hydrant.pdf</t>
  </si>
  <si>
    <t>Pompa Jockey Hydrant</t>
  </si>
  <si>
    <t>Kapasitas 15 GPM, Head 100 MTR, Putaran 2900 Rpm, Type Vertikal multi stage</t>
  </si>
  <si>
    <t>Ex. Fairbanks Nijhuis PVM 5-16</t>
  </si>
  <si>
    <t>Pompa Electric Hydrant</t>
  </si>
  <si>
    <t>Pompa :</t>
  </si>
  <si>
    <t>Ex. Fairbanks Nijhuis 1300/100-65-250</t>
  </si>
  <si>
    <t>Kapasitas  500 GPM, Head 90 MTR, Putaran 2950 Rpm, Type Centrifugal end suction</t>
  </si>
  <si>
    <t>Coupled to:</t>
  </si>
  <si>
    <t>Ex. Titan TM-250M-2</t>
  </si>
  <si>
    <t>Power 75 Hp, 3000 Rpm/380 V/50 Hz 3 ph</t>
  </si>
  <si>
    <t>Pompa Diesel Hydrant</t>
  </si>
  <si>
    <t>Fawde 4DX23-120GG2</t>
  </si>
  <si>
    <t>Power 104 Hp, 3000 Rpm</t>
  </si>
  <si>
    <t>028/PPM/RA/BETJAM/II/2025</t>
  </si>
  <si>
    <t>Transformator Daya</t>
  </si>
  <si>
    <t xml:space="preserve">Kapasitas 630 kVA, Oil Type, Tegangan  20/0,4 kV, 50 Hz </t>
  </si>
  <si>
    <t>Ex. Bambang Djaja</t>
  </si>
  <si>
    <t>028 PPM Transformator Daya Ex. Bambang Djaja.pdf</t>
  </si>
  <si>
    <t>TKDN Trafo.pdf</t>
  </si>
  <si>
    <t>029/PPM/RA/BETJAM/II/2025</t>
  </si>
  <si>
    <t>Generator Set</t>
  </si>
  <si>
    <t>Genset model INT 440C Engine  Cummins / 6ZTAA13-G2</t>
  </si>
  <si>
    <t>Ex. Cummins</t>
  </si>
  <si>
    <t>029 PPM Generator Set Ex. Cummins.pdf</t>
  </si>
  <si>
    <t>TKDN Genset.pdf</t>
  </si>
  <si>
    <t>1 Th / 2000 jam</t>
  </si>
  <si>
    <t>Kapasitas 400 KVA, type silent, tegangan 380 Volt, 50 Hz, 1500 Rpm</t>
  </si>
  <si>
    <t>Stamford Slternator S4L1D-F41, Deep Sea 6010</t>
  </si>
  <si>
    <t>030/PPM/RA/BETJAM/II/2025</t>
  </si>
  <si>
    <t>Lampu PJU dan Lampu Highmash</t>
  </si>
  <si>
    <t>030 PPM Lampu PJU dan Lampu Highmas Ex. Philips.pdf</t>
  </si>
  <si>
    <t>TKDN Lampu PJU dan Highmash.pdf</t>
  </si>
  <si>
    <t>Garansi Lampu PJU.pdf</t>
  </si>
  <si>
    <t>Lampu PJU 150 Watt</t>
  </si>
  <si>
    <t>RoadFlair BRP392 LED210/NW 150 W 220-240V DM MP1</t>
  </si>
  <si>
    <t>Ex. Philips</t>
  </si>
  <si>
    <t>Lampu Highmash 200 Watt</t>
  </si>
  <si>
    <t>Tango G4 LED Flood BVP432 LED274/NW 220~240V 200W SWB GM</t>
  </si>
  <si>
    <t>031/PPM/RA/BETJAM/II/2025</t>
  </si>
  <si>
    <t>Apar 6 kg</t>
  </si>
  <si>
    <t>Type ABC Powder</t>
  </si>
  <si>
    <t>Ex. Viking</t>
  </si>
  <si>
    <t>031 PPM Apar 6 kg Ex. Viking.pdf</t>
  </si>
  <si>
    <t>032/PPM/RA/BETJAM/II/2025</t>
  </si>
  <si>
    <t>Tiang PJU dan Tiang Highmash</t>
  </si>
  <si>
    <t>Penerangan Jalan Umum</t>
  </si>
  <si>
    <t>Rejected</t>
  </si>
  <si>
    <t>TKDN Tiang PJU dan Highmash.pdf</t>
  </si>
  <si>
    <t xml:space="preserve">Tiang  PJU 1 Ornamen  13 Mtr Octagonal </t>
  </si>
  <si>
    <t>Tebal Plat base Plat :16 mm</t>
  </si>
  <si>
    <t>Ex. PT Tridaya Guna Energi</t>
  </si>
  <si>
    <t>Ukuran Base Plate : 400mm x400 mm</t>
  </si>
  <si>
    <t>Tebal Pole  : 3.2 mm</t>
  </si>
  <si>
    <t xml:space="preserve">Type Pole : Galvanis Octagonal </t>
  </si>
  <si>
    <t xml:space="preserve">Tiang  PJU 2 Ornamen 13 Mtr Octagonal </t>
  </si>
  <si>
    <t xml:space="preserve">Tiang Highmas 20 Mtr Polygonal </t>
  </si>
  <si>
    <t>Tebal Base Plate :25 mm</t>
  </si>
  <si>
    <t>Diameter base Plate : 800 mm</t>
  </si>
  <si>
    <t>Tebal Pole Segment A : 6 mm</t>
  </si>
  <si>
    <t xml:space="preserve">Type Pole : Galvanis Polygonal </t>
  </si>
  <si>
    <t>033/PPM/RA/BETJAM/II/2025</t>
  </si>
  <si>
    <t>KABEL FEEDER</t>
  </si>
  <si>
    <t>033 PPM Kabel Feeder Ex. KMI.pdf</t>
  </si>
  <si>
    <t>TKDN Kabel Feeder.pdf</t>
  </si>
  <si>
    <t>Kabel Feeder dari outgoing TM PLN ke:</t>
  </si>
  <si>
    <t>Incom panel TM kawasan</t>
  </si>
  <si>
    <t xml:space="preserve"> NA2XSEYBY 3 x 300 mm2</t>
  </si>
  <si>
    <t>Ex. Kabelindo</t>
  </si>
  <si>
    <t>Kabel Feeder dari PUTM ke Trafo:</t>
  </si>
  <si>
    <t>N2XSY 3 x 1C x 70 mm2</t>
  </si>
  <si>
    <t>Kabel Feeder dari Trafo ke PUTR:</t>
  </si>
  <si>
    <t>NYY 4 x 1C x 300  mm2</t>
  </si>
  <si>
    <t>Ex. Kabelmetal Indonesia</t>
  </si>
  <si>
    <t>Kabel Feeder dari PUTR ke:</t>
  </si>
  <si>
    <t>PP-Utilitas</t>
  </si>
  <si>
    <t>NYFGBY 4 x 10 mm2</t>
  </si>
  <si>
    <t>PP-Hydrant</t>
  </si>
  <si>
    <t>FRC 4 x 1C x 95 mm2</t>
  </si>
  <si>
    <t>PP-Pompa</t>
  </si>
  <si>
    <t>NYFGBY 4 x 16 mm2</t>
  </si>
  <si>
    <t>PKG</t>
  </si>
  <si>
    <t>NYY 4 x 1C x 300 mm2</t>
  </si>
  <si>
    <t>Cap. Bank</t>
  </si>
  <si>
    <t>PP Kantor Pengelola</t>
  </si>
  <si>
    <t>PP Masjid</t>
  </si>
  <si>
    <t>PP foodcourt 1</t>
  </si>
  <si>
    <t>NYFGBY 4 x 35 mm2</t>
  </si>
  <si>
    <t>PP foodcourt 2</t>
  </si>
  <si>
    <t>PP Bengkel</t>
  </si>
  <si>
    <t>PP Toilet Umum</t>
  </si>
  <si>
    <t>PP Kantin</t>
  </si>
  <si>
    <t>PP Highmas 1 dan Highmas 2</t>
  </si>
  <si>
    <t>DB-OL.01 (PJU 1)</t>
  </si>
  <si>
    <t>NYFGBY 4 x 25 mm2</t>
  </si>
  <si>
    <t>DB-OL.02 (PJU 2)</t>
  </si>
  <si>
    <t>Kabel Feeder dari PKG ke:</t>
  </si>
  <si>
    <t>Genset</t>
  </si>
  <si>
    <t>Kabel Feeder dari PP-Hydrant ke:</t>
  </si>
  <si>
    <t>Pc-JP</t>
  </si>
  <si>
    <t>FRC 4 x 4 mm2</t>
  </si>
  <si>
    <t>Pc-EFP</t>
  </si>
  <si>
    <t>FRC 6 x 1 x 70 mm2</t>
  </si>
  <si>
    <t>Kabel Feeder dari PJU 1 ke PJU 3</t>
  </si>
  <si>
    <t>Kabel Feeder dari Foodcourt 2 ke Mini market 02</t>
  </si>
  <si>
    <t>Kabel Feeder dari Foodcourt 1 ke Mini market 01</t>
  </si>
  <si>
    <t>NYY 4 x 10 mm2</t>
  </si>
  <si>
    <t>Kabel Feeder dari Kantor Pengelola ke Klinik</t>
  </si>
  <si>
    <t>NYY 3 x 4 mm2</t>
  </si>
  <si>
    <t>034PPM/RA/BETJAM/II/2025</t>
  </si>
  <si>
    <t>Panel Tanki FRP</t>
  </si>
  <si>
    <t>Tangki Air</t>
  </si>
  <si>
    <t>034 PPM Tanki FRP Ex. Biotechno.pdf</t>
  </si>
  <si>
    <t>TKDN FRP.pdf</t>
  </si>
  <si>
    <t>Tanki FRP Kap.192 m³</t>
  </si>
  <si>
    <t>FRP</t>
  </si>
  <si>
    <t>035PPM/RA/BETJAM/II/2025</t>
  </si>
  <si>
    <t>Kabel Tray dan Kabel Ladder</t>
  </si>
  <si>
    <t>Tebal 2 mm</t>
  </si>
  <si>
    <t>Ex. Traytek</t>
  </si>
  <si>
    <t>035 PPM kabel Tray &amp; Kabel Ladder Ex. Traytek.pdf</t>
  </si>
  <si>
    <t>TKDN Kabel Tray.pdf</t>
  </si>
  <si>
    <t>036PPM/RA/BETJAM/II/2025</t>
  </si>
  <si>
    <t>Casing  Pompa Deep Well</t>
  </si>
  <si>
    <t>Tebal 4.2 mm</t>
  </si>
  <si>
    <t>036 PPM Casing Pompa Deep Well.pdf</t>
  </si>
  <si>
    <t>037PPM/RA/BETJAM/II/2025</t>
  </si>
  <si>
    <t>037 PPM Alat Bantu Air Bersih Ex. Yuta.pdf</t>
  </si>
  <si>
    <t>Strainer 1 1/2"</t>
  </si>
  <si>
    <t xml:space="preserve"> 1 1/2"</t>
  </si>
  <si>
    <t>Fig. ST Ex. Yuta 16 Bar</t>
  </si>
  <si>
    <t>Gate Valve 1", 1 1/2", 2"</t>
  </si>
  <si>
    <t xml:space="preserve"> 1", 1 1/2", 2"</t>
  </si>
  <si>
    <t>Fig. GT Ex. Yuta 16 Bar</t>
  </si>
  <si>
    <t>Check Valve 1/2"</t>
  </si>
  <si>
    <t>1/2"</t>
  </si>
  <si>
    <t>Fig. C Ex. Yuta 16 Bar</t>
  </si>
  <si>
    <t>038PPM/RA/BETJAM/II/2025</t>
  </si>
  <si>
    <t>Flexible Joint Duct</t>
  </si>
  <si>
    <t>Ex. Polar</t>
  </si>
  <si>
    <t>038 PPM Flexible Joint Duck Ex. Polar.pdf</t>
  </si>
  <si>
    <t>039PPM/RA/BETJAM/II/2025</t>
  </si>
  <si>
    <t>Atap Bitumen + Underlayer</t>
  </si>
  <si>
    <t>Warna Bark Brown</t>
  </si>
  <si>
    <t>Ex. BSK</t>
  </si>
  <si>
    <t>Penutup Atap</t>
  </si>
  <si>
    <t>039 PPM Atap Bitumen Bark Brown Ex. BSK.pdf</t>
  </si>
  <si>
    <t>20 Th</t>
  </si>
  <si>
    <t>040PPM/RA/BETJAM/II/2025</t>
  </si>
  <si>
    <t>Exhaust Air Grille</t>
  </si>
  <si>
    <t>Ex. Prima Wangi</t>
  </si>
  <si>
    <t>040 PPM Exhaust Air Grille Ex. Prima Wangi.pdf</t>
  </si>
  <si>
    <t>041PPM/RA/BETJAM/II/2025</t>
  </si>
  <si>
    <t xml:space="preserve">Apar kap 25 kg </t>
  </si>
  <si>
    <t>Type ABC</t>
  </si>
  <si>
    <t>Ex. Hooseki</t>
  </si>
  <si>
    <t>041 PPM Apar 25 kg Ex. Hooseki.pdf</t>
  </si>
  <si>
    <t>042PPM/RA/BETJAM/II/2025</t>
  </si>
  <si>
    <t>Pipa Air Bersih</t>
  </si>
  <si>
    <t>042 PPM Pipa PPR PN 10 Ex. Rucika.pdf</t>
  </si>
  <si>
    <t>TKDN PPR.pdf</t>
  </si>
  <si>
    <t>Pipa PPR Dia. 1/2" - 5"</t>
  </si>
  <si>
    <t>PN 10</t>
  </si>
  <si>
    <t>043PPM/RA/BETJAM/II/2025</t>
  </si>
  <si>
    <t>Aksesoris Hydrant</t>
  </si>
  <si>
    <t>043 PPM Aksesoris Hydrant Ex. Hooseki.pdf</t>
  </si>
  <si>
    <t>Hydrant pillar two ways type</t>
  </si>
  <si>
    <t>Type H-14 AP</t>
  </si>
  <si>
    <t>Hydrant box dengan hose rell cabinet</t>
  </si>
  <si>
    <t>Type C (Outdoor)</t>
  </si>
  <si>
    <t>Siamese connection</t>
  </si>
  <si>
    <t>Type S7</t>
  </si>
  <si>
    <t>044PPM/RA/BETJAM/II/2025</t>
  </si>
  <si>
    <t>Sanitary</t>
  </si>
  <si>
    <t>044 PPM Sanitary.pdf</t>
  </si>
  <si>
    <t>TKDN Sanitary.pdf</t>
  </si>
  <si>
    <t>Toto 10 Th</t>
  </si>
  <si>
    <t>Closet jongkok</t>
  </si>
  <si>
    <t xml:space="preserve"> CE 7</t>
  </si>
  <si>
    <t>Ex. Toto</t>
  </si>
  <si>
    <t>Closet duduk</t>
  </si>
  <si>
    <t>CW 427 J / SW 427 JP</t>
  </si>
  <si>
    <t>Closet Difabel</t>
  </si>
  <si>
    <t>CW 705 ELNJ</t>
  </si>
  <si>
    <t>Wastafel Dinding</t>
  </si>
  <si>
    <t>LW 246 J kran TX 129 L</t>
  </si>
  <si>
    <t>Wastafel Stand Alone</t>
  </si>
  <si>
    <t xml:space="preserve"> LW 895 J</t>
  </si>
  <si>
    <t>Urinoir</t>
  </si>
  <si>
    <t xml:space="preserve"> U 57 M</t>
  </si>
  <si>
    <t>Partisi Urinoir</t>
  </si>
  <si>
    <t xml:space="preserve"> A 100</t>
  </si>
  <si>
    <t>Kran Air Closet jongkok</t>
  </si>
  <si>
    <t>T23 B13</t>
  </si>
  <si>
    <t>Kran wudhu</t>
  </si>
  <si>
    <t>T23BQ13N</t>
  </si>
  <si>
    <t>Kran wastafel Stand Alone</t>
  </si>
  <si>
    <t>TX 123 LRR</t>
  </si>
  <si>
    <t>Tissue Holder</t>
  </si>
  <si>
    <t>TX720ABW</t>
  </si>
  <si>
    <t>Jet washer</t>
  </si>
  <si>
    <t>TX403SEV2</t>
  </si>
  <si>
    <t>Shoap dispenser</t>
  </si>
  <si>
    <t>WSD-145 CHROME</t>
  </si>
  <si>
    <t xml:space="preserve">Ex. Wasser </t>
  </si>
  <si>
    <t>Kitchen Sink</t>
  </si>
  <si>
    <t>1 Lubang 90 x 50 cm</t>
  </si>
  <si>
    <t>Ex. Royal Contempo Nero</t>
  </si>
  <si>
    <t>Kran Kitchen Sink</t>
  </si>
  <si>
    <t>TLX-141F</t>
  </si>
  <si>
    <t>Robe Hook</t>
  </si>
  <si>
    <t>TS118WSB</t>
  </si>
  <si>
    <t>Hand Dryer</t>
  </si>
  <si>
    <t xml:space="preserve"> Ak2630tk</t>
  </si>
  <si>
    <t>Ex. Krisbow</t>
  </si>
  <si>
    <t>Floor drain</t>
  </si>
  <si>
    <t xml:space="preserve"> HSA-6436</t>
  </si>
  <si>
    <t>045PPM/RA/BETJAM/II/2025</t>
  </si>
  <si>
    <t>Kran Taman</t>
  </si>
  <si>
    <t>TC-030B</t>
  </si>
  <si>
    <t>045 PPM Kran Taman Ex. Wasser.pdf</t>
  </si>
  <si>
    <t>046PPM/RA/BETJAM/II/2025</t>
  </si>
  <si>
    <t>Grouting Base Plat</t>
  </si>
  <si>
    <t>SikaGrout - 215</t>
  </si>
  <si>
    <t>046 PPM SikaGrout 215 Ex. Sika.pdf</t>
  </si>
  <si>
    <t>047PPM/RA/BETJAM/II/2025</t>
  </si>
  <si>
    <t>Kusen</t>
  </si>
  <si>
    <t>Shop Front 4" powder coating Black</t>
  </si>
  <si>
    <t>Ex. Alexindo</t>
  </si>
  <si>
    <t>047 PPM Kusen Ex. Alexindo.pdf</t>
  </si>
  <si>
    <t>TKDN Alexindo.pdf</t>
  </si>
  <si>
    <t>048PPM/RA/BETJAM/II/2025</t>
  </si>
  <si>
    <t>KERAMIK</t>
  </si>
  <si>
    <t>048 PPM Keramik Ex. Roman.pdf</t>
  </si>
  <si>
    <t>TKDN Keramik.pdf</t>
  </si>
  <si>
    <t>Masjid</t>
  </si>
  <si>
    <t>Lantai dalam &amp; teras mesjid</t>
  </si>
  <si>
    <t>Granit Uk. 60x60 cm Polished</t>
  </si>
  <si>
    <t>Ex. Roman GT609758FR dHelsinki Bone</t>
  </si>
  <si>
    <t>Lantai ruang wudhu</t>
  </si>
  <si>
    <t>Granit Uk. 60x60 cm Unpolished</t>
  </si>
  <si>
    <t>Ex. Roman GT602456R dRitz Avorio</t>
  </si>
  <si>
    <t>Lantai dalam toilet</t>
  </si>
  <si>
    <t>Keramik Uk. 30x30 cm Unpolished</t>
  </si>
  <si>
    <t>Ex. Roman G337255 dPadua Grigio</t>
  </si>
  <si>
    <t>Lantai ramp &amp; tangga</t>
  </si>
  <si>
    <t>Ex. Roman G330513 dBatur Charcoal</t>
  </si>
  <si>
    <t>Dinding toilet &amp; ruang wudhu</t>
  </si>
  <si>
    <t>Granit Uk. 30x60 cm Polished</t>
  </si>
  <si>
    <t>Ex. Roman W63346R dSedra Perla</t>
  </si>
  <si>
    <t>Dinding belakang toilet</t>
  </si>
  <si>
    <t xml:space="preserve">Ex. Roman W63356R dSedra Grigio
</t>
  </si>
  <si>
    <t>List lantai dalam mesjid</t>
  </si>
  <si>
    <t>Keramik Uk. 30x60 cm Polished</t>
  </si>
  <si>
    <t xml:space="preserve">Ex. Roman W63456R dPortoro Black
</t>
  </si>
  <si>
    <t>Dinding ruang ibadah</t>
  </si>
  <si>
    <t>Ex. Roman GT609899FR dRapolino Siena</t>
  </si>
  <si>
    <t>Tempat duduk tempat wudhu</t>
  </si>
  <si>
    <t>Keramik Uk. 40x40 cm Unpolished</t>
  </si>
  <si>
    <t>Ex. Roman G440505 dKrubera Grigio</t>
  </si>
  <si>
    <t>Foodcourt</t>
  </si>
  <si>
    <t>Lantai dalam &amp; teras Food court</t>
  </si>
  <si>
    <t>Ex. Roman GT602152R dArlington Grey</t>
  </si>
  <si>
    <t>Lantai koridor toilet</t>
  </si>
  <si>
    <t>Lantai toilet dalam</t>
  </si>
  <si>
    <t>Lantai tangga</t>
  </si>
  <si>
    <t>Dinding toilet</t>
  </si>
  <si>
    <t>List dinding toilet</t>
  </si>
  <si>
    <t>Meja wastafel</t>
  </si>
  <si>
    <t>Ex. Roman GT609815FR dGregiro Grigio</t>
  </si>
  <si>
    <t>Restaurant</t>
  </si>
  <si>
    <t>Lantai dalam &amp; teras Restaurant</t>
  </si>
  <si>
    <t>Toilet Umum Kendaraan Besar</t>
  </si>
  <si>
    <t>Lantai teras dan koridor toilet</t>
  </si>
  <si>
    <t>Kantor Pengelola</t>
  </si>
  <si>
    <t>Lantai dalam</t>
  </si>
  <si>
    <t>Lantai teras</t>
  </si>
  <si>
    <t>Ex. Roman GT602456RdRitz Avorio</t>
  </si>
  <si>
    <t>Lantai toilet</t>
  </si>
  <si>
    <t>Ex. Roman W63356R dSedra Grigio</t>
  </si>
  <si>
    <t>Bengkel</t>
  </si>
  <si>
    <t>Lantai Bengkel</t>
  </si>
  <si>
    <t>Lantai Toilet</t>
  </si>
  <si>
    <t>Kantin Tempat Istirahat Supir</t>
  </si>
  <si>
    <t>Lantai dapur dan Teras</t>
  </si>
  <si>
    <t>Meja Dapur</t>
  </si>
  <si>
    <t>049PPM/RA/BETJAM/II/2025</t>
  </si>
  <si>
    <t>Pompa Transfer dan Pompa Distribusi</t>
  </si>
  <si>
    <t>Kapasitas 2x150 lpm, Head 150 mtr, Motor factory standard: Power 2x7.5 Kw @2900 Rpm, 380 V, 3ph/50Hz</t>
  </si>
  <si>
    <t>Ex. Ironguard IGVM 10-18</t>
  </si>
  <si>
    <t>049 PPM Pompa Transfer Ex. Ironguard.pdf</t>
  </si>
  <si>
    <t>050PPM/RA/BETJAM/II/2025</t>
  </si>
  <si>
    <t>Mortar Instan untuk Pekerjaan Dinding</t>
  </si>
  <si>
    <t>050 PPM Mortar Instan Ex. MU.pdf</t>
  </si>
  <si>
    <t>TKDN MU.pdf</t>
  </si>
  <si>
    <t xml:space="preserve">Pasangan Bata Ringan </t>
  </si>
  <si>
    <t>Ex. MU-380</t>
  </si>
  <si>
    <t>Plesteran</t>
  </si>
  <si>
    <t>Ex. MU-301</t>
  </si>
  <si>
    <t>Acian</t>
  </si>
  <si>
    <t>Ex. MU-200</t>
  </si>
  <si>
    <t>051PPM/RA/BETJAM/II/2025</t>
  </si>
  <si>
    <t>Perekat dan Nat Keramik</t>
  </si>
  <si>
    <t>051 PPM Perekat Keramik dan Nat Keramik.pdf</t>
  </si>
  <si>
    <t>TKDN Nat keramik.pdf</t>
  </si>
  <si>
    <t>Perekat Keramik</t>
  </si>
  <si>
    <t>Ex. MU-420 Cerafix</t>
  </si>
  <si>
    <t>Nat Keramik</t>
  </si>
  <si>
    <t>Ex. SikaTile Grout</t>
  </si>
  <si>
    <t>052PPM/RA/BETJAM/II/2025</t>
  </si>
  <si>
    <t>Roster</t>
  </si>
  <si>
    <t>20 x 20</t>
  </si>
  <si>
    <t>Ex. Lokal</t>
  </si>
  <si>
    <t>052 PPM Roster Ex. Lokal.pdf</t>
  </si>
  <si>
    <t>053PPM/RA/BETJAM/II/2025</t>
  </si>
  <si>
    <t>Tanki Air 12 m3</t>
  </si>
  <si>
    <t>2 x 3 x 2</t>
  </si>
  <si>
    <t>053 PPM Tangki FRP 12 m3 Ex. Biotechno.pdf</t>
  </si>
  <si>
    <t>054PPM/RA/BETJAM/II/2025</t>
  </si>
  <si>
    <t>HPL Pelapis Daun Pintu</t>
  </si>
  <si>
    <t>TH 192 DP Tadao calacatta, TH 1215 NT Geneva Elm</t>
  </si>
  <si>
    <t>Ex. Taco</t>
  </si>
  <si>
    <t>054 PPM HPL Pelapis Daun Pintu.pdf</t>
  </si>
  <si>
    <t>055PPM/RA/BETJAM/II/2025</t>
  </si>
  <si>
    <t>Baja Profil IWF</t>
  </si>
  <si>
    <t>055 PPM Baja Profil IWF Ex. Lautan Steel.pdf</t>
  </si>
  <si>
    <t>IWF 200 x 100 x 5.5 x 8</t>
  </si>
  <si>
    <t>BJ P41</t>
  </si>
  <si>
    <t>Ex. Lautan Steel</t>
  </si>
  <si>
    <t>IWF 250 x 125 x 6 x 9</t>
  </si>
  <si>
    <t>056/PPM/RA/BETJAM/II/2025</t>
  </si>
  <si>
    <t>Tata Suara kawasan</t>
  </si>
  <si>
    <t>056 PPM Tata Suara Kawasan.pdf</t>
  </si>
  <si>
    <t>TKDN TOA.pdf</t>
  </si>
  <si>
    <t>Power Amplifier 360 W</t>
  </si>
  <si>
    <t>VP-1361(301H)</t>
  </si>
  <si>
    <t>Ex. TOA</t>
  </si>
  <si>
    <t>FM Radio Tuner</t>
  </si>
  <si>
    <t>Z-MD100A-AS</t>
  </si>
  <si>
    <t>Paging Microphone</t>
  </si>
  <si>
    <t>ZM-660P</t>
  </si>
  <si>
    <t>Dynamic Microphone</t>
  </si>
  <si>
    <t>ZM-260</t>
  </si>
  <si>
    <t>PA Amplifier</t>
  </si>
  <si>
    <t>ZA-2240</t>
  </si>
  <si>
    <t>Speaker Selector 5 Channel</t>
  </si>
  <si>
    <t>ZA-1240SS</t>
  </si>
  <si>
    <t>Cabinet Rack 20U</t>
  </si>
  <si>
    <t>IR9020G</t>
  </si>
  <si>
    <t>Paging Horn Speaker 25 W</t>
  </si>
  <si>
    <t>ZH-625SM</t>
  </si>
  <si>
    <t>Kabel NYMHY 2 x 1,5 mm²</t>
  </si>
  <si>
    <t>NYMHY 2 x 1,5 mm²</t>
  </si>
  <si>
    <t>Dual Equalizer</t>
  </si>
  <si>
    <t>E-232(301H/313H)</t>
  </si>
  <si>
    <t>057/PPM/RA/BETJAM/II/2025</t>
  </si>
  <si>
    <t>CCTV Kawasan</t>
  </si>
  <si>
    <t>057 PPM CCTV Kawasan.pdf</t>
  </si>
  <si>
    <t>TKDN CCTV.pdf</t>
  </si>
  <si>
    <t>Network Video Recorder 32 Channel</t>
  </si>
  <si>
    <t>DS-7732NI-K4 Series NVR</t>
  </si>
  <si>
    <t>Ex. Hikvision</t>
  </si>
  <si>
    <t>Monitor 32" komputer</t>
  </si>
  <si>
    <t>32LM550</t>
  </si>
  <si>
    <t>Ex. LG</t>
  </si>
  <si>
    <t>Key Board controller</t>
  </si>
  <si>
    <t>K120</t>
  </si>
  <si>
    <t>Ex. Logitech</t>
  </si>
  <si>
    <t>Mouse</t>
  </si>
  <si>
    <t>M90</t>
  </si>
  <si>
    <t>Unit Camera 2 MP</t>
  </si>
  <si>
    <t>DS-2DE4225IW-DE(T5)</t>
  </si>
  <si>
    <t>Kabel UTP CAT 6</t>
  </si>
  <si>
    <t>DS-1LN6-UE-W</t>
  </si>
  <si>
    <t>Tiang CCTV dan Tiang Tata Suara</t>
  </si>
  <si>
    <t>Tinggi 6 m dia. 2"</t>
  </si>
  <si>
    <t>Ex. Tridaya Guna Energi</t>
  </si>
  <si>
    <t>058/PPM/RA/BETJAM/II/2025</t>
  </si>
  <si>
    <t>Panel</t>
  </si>
  <si>
    <t>058 PPM Panel Wajra.pdf</t>
  </si>
  <si>
    <t>Brosur kurang</t>
  </si>
  <si>
    <t>Panel PUTR</t>
  </si>
  <si>
    <t>Box Ex. Wajra Komponen Ex. Schneider</t>
  </si>
  <si>
    <t>Panel PKG</t>
  </si>
  <si>
    <t>Panel Capasitor Bank</t>
  </si>
  <si>
    <t>Panel Distribusi Pompa</t>
  </si>
  <si>
    <t>Panel Highmash</t>
  </si>
  <si>
    <t>Panel PJU 1</t>
  </si>
  <si>
    <t>Panel PJU 2</t>
  </si>
  <si>
    <t>Panel PJU 3</t>
  </si>
  <si>
    <t>059/PPM/RA/BETJAM/II/2025</t>
  </si>
  <si>
    <t>Flexible Joint Dia. 65 mm dan 150 mm</t>
  </si>
  <si>
    <t>JIS 16 K</t>
  </si>
  <si>
    <t>Ex. Tozen</t>
  </si>
  <si>
    <t>059 PPM Flexible Joint Hydrant Ex. Tozen.pdf</t>
  </si>
  <si>
    <t>060/PPM/RA/BETJAM/II/2025</t>
  </si>
  <si>
    <t>Flexible Joint Dia. 50 mm</t>
  </si>
  <si>
    <t>JIS 10 K</t>
  </si>
  <si>
    <t>060 PPM Flexible Joint Air Bersih Ex. Tozen.pdf</t>
  </si>
  <si>
    <t>062/PPM/RA/BETJAM/II/2025</t>
  </si>
  <si>
    <t>Pressure Gauge</t>
  </si>
  <si>
    <t>Model P359 (0 - 16 Bar)</t>
  </si>
  <si>
    <t>Ex. Wise</t>
  </si>
  <si>
    <t>062 PPM Pressure Gauge Ex. Wise.pdf</t>
  </si>
  <si>
    <t>063/PPM/RA/BETJAM/II/2025</t>
  </si>
  <si>
    <t>Main Control Valve</t>
  </si>
  <si>
    <t xml:space="preserve"> PN 16 /DN150 Model J-1</t>
  </si>
  <si>
    <t xml:space="preserve">Ex. Viking </t>
  </si>
  <si>
    <t>063 PPM Main Control Valve.pdf</t>
  </si>
  <si>
    <t>064/PPM/RA/BETJAM/II/2025</t>
  </si>
  <si>
    <t>Sand &amp; Carbon Filter</t>
  </si>
  <si>
    <t>FT3072-4D</t>
  </si>
  <si>
    <t>Ex. Nanotec</t>
  </si>
  <si>
    <t>064 PPM Sand &amp; Carbon Filter Ex. Nanotec.pdf</t>
  </si>
  <si>
    <t>065/PPM/RA/BETJAM/II/2025</t>
  </si>
  <si>
    <t>Ducting BJLS</t>
  </si>
  <si>
    <t>Tebal 0.7 mm</t>
  </si>
  <si>
    <t>Ex. Fumira Grip</t>
  </si>
  <si>
    <t>065 PPM Ducting BJLS Ex. Fumira Grip.pdf</t>
  </si>
  <si>
    <t>066/PPM/RA/BETJAM/II/2025</t>
  </si>
  <si>
    <t>Floor Clean Out</t>
  </si>
  <si>
    <t>HN 58</t>
  </si>
  <si>
    <t>Ex. San-Ei</t>
  </si>
  <si>
    <t>066 PPM Floor Clean Out Ex. San-Ei.pdf</t>
  </si>
  <si>
    <t>067/PPM/RA/BETJAM/II/2025</t>
  </si>
  <si>
    <t>Baja Tulangan Pondasi PJU</t>
  </si>
  <si>
    <t>Ulir Dia. 13 mm dan 16 mm</t>
  </si>
  <si>
    <t>067 PPM Baja Tulangan Pondasi PJU.pdf</t>
  </si>
  <si>
    <t>068/PPM/RA/BETJAM/III/2025</t>
  </si>
  <si>
    <t>Roof Drain</t>
  </si>
  <si>
    <t>068 PPM Roof Drain Ex. San-Ei.pdf</t>
  </si>
  <si>
    <t>069/PPM/RA/BETJAM/III/2025</t>
  </si>
  <si>
    <t>Saklar dan Stop kontak</t>
  </si>
  <si>
    <t>069 PPM Saklar dan Stop Kontak.pdf</t>
  </si>
  <si>
    <t>Type Style</t>
  </si>
  <si>
    <t>Saklar Tunggal</t>
  </si>
  <si>
    <t>WESJ78019 warna AS &amp; WESJ5571B</t>
  </si>
  <si>
    <t>Ex. Panasonic</t>
  </si>
  <si>
    <t>Saklar Ganda</t>
  </si>
  <si>
    <t>WESJ78029 warna AS &amp; WESJ5581B</t>
  </si>
  <si>
    <t>Stop Kontak Dinding</t>
  </si>
  <si>
    <t>WESJP1121 warna AS</t>
  </si>
  <si>
    <t>Stop Kontak AC 13 A</t>
  </si>
  <si>
    <t>WBSJ 1214 warna MWS</t>
  </si>
  <si>
    <t>075/PPM/RA/BETJAM/III/2025</t>
  </si>
  <si>
    <t>Tata Suara Masjid</t>
  </si>
  <si>
    <t>075 PPM Tata Suara Masjid.pdf</t>
  </si>
  <si>
    <t>Digital Mixer Amplifier</t>
  </si>
  <si>
    <t>ZA-3224D-AS 1</t>
  </si>
  <si>
    <t xml:space="preserve">Ex. TOA </t>
  </si>
  <si>
    <t>Digital Power Amplifier</t>
  </si>
  <si>
    <t>ZA-3248D-AS 1</t>
  </si>
  <si>
    <t>Power Amplifier</t>
  </si>
  <si>
    <t>ZP-2240</t>
  </si>
  <si>
    <t>Media Player</t>
  </si>
  <si>
    <t>Horn Speaker 60 W</t>
  </si>
  <si>
    <t>ZH-662MD-AS</t>
  </si>
  <si>
    <t xml:space="preserve">Compact Column Speaker </t>
  </si>
  <si>
    <t>ZS-S60CB</t>
  </si>
  <si>
    <t>Wireless Microphone</t>
  </si>
  <si>
    <t>Z-WS100H-AS</t>
  </si>
  <si>
    <t>Clip On Microphone</t>
  </si>
  <si>
    <t>ZM-361-AS</t>
  </si>
  <si>
    <t>Microphone Mimbar</t>
  </si>
  <si>
    <t>ZM-380-AS</t>
  </si>
  <si>
    <t>Dinamic Mic</t>
  </si>
  <si>
    <t>ZM-420</t>
  </si>
  <si>
    <t>Kabel Instalasi Tata Suara</t>
  </si>
  <si>
    <t>NYMHY 2 x 2.5 mm2</t>
  </si>
  <si>
    <t>Cabinet Rack</t>
  </si>
  <si>
    <t>Flight Case Rack 12U</t>
  </si>
  <si>
    <t>Standing Mix</t>
  </si>
  <si>
    <t>ST-321B</t>
  </si>
  <si>
    <t>077/PPM/RA/BETJAM/III/2025</t>
  </si>
  <si>
    <t>Rolling Door</t>
  </si>
  <si>
    <t>One Sheet 75, Perforated warna Cream, tebal 0.45 mm</t>
  </si>
  <si>
    <t>078/PPM/RA/BETJAM/III/2025</t>
  </si>
  <si>
    <t>Penangkal Petir</t>
  </si>
  <si>
    <t>078 PPM Penangkal Petir.pdf</t>
  </si>
  <si>
    <t>Garansi Kurn.pdf</t>
  </si>
  <si>
    <t>Manual Book Kurn.pdf</t>
  </si>
  <si>
    <t>Elektrostatis, R=150 m</t>
  </si>
  <si>
    <t>Ex. Kurn R 150</t>
  </si>
  <si>
    <t>Kabel NYY 1 x 70 mm2</t>
  </si>
  <si>
    <t>Grounding BC 70 mm (max. 2 Ohm)</t>
  </si>
  <si>
    <t>Grounding Rod 5/8"</t>
  </si>
  <si>
    <t>Ex. Sutrado</t>
  </si>
  <si>
    <t>079/PPM/RA/BETJAM/III/2025</t>
  </si>
  <si>
    <t>Louver depan Foodcourt dan Restaurant</t>
  </si>
  <si>
    <t>Aluminium profil 4", Powder coating black, Jarak antar profil 5 cm</t>
  </si>
  <si>
    <t>079 PPM Louver FC dan Resto  Ex. Alexindo.pdf</t>
  </si>
  <si>
    <t>080/PPM/RA/BETJAM/III/2025</t>
  </si>
  <si>
    <t>Lampu</t>
  </si>
  <si>
    <t>080 PPM Lampu Downlight Ex. Philips.pdf</t>
  </si>
  <si>
    <t>Downlight Magneos LED 9 Watt</t>
  </si>
  <si>
    <t>Philips LED Downlight Magneos DL262 9 watt</t>
  </si>
  <si>
    <t>Downlight Magneos LED 12 Watt</t>
  </si>
  <si>
    <t>Philips LED Downlight Magneos DL262 12 watt</t>
  </si>
  <si>
    <t>Downlight Outbow LED 9 Watt</t>
  </si>
  <si>
    <t>LED Downlight DN Surface Mounted DN027C 9 watt</t>
  </si>
  <si>
    <t>TL 10 Watt</t>
  </si>
  <si>
    <t>Smartbright T8 Batten BN012C LED10/CW L600 G3</t>
  </si>
  <si>
    <t>TL 20 Watt</t>
  </si>
  <si>
    <t>Smartbright T8 Batten BN013C LED20/CW L1200 G3</t>
  </si>
  <si>
    <t>Led Strip</t>
  </si>
  <si>
    <t>LS161 COB LED8 8.5W 930 5M 24V</t>
  </si>
  <si>
    <t>081/PPM/RA/BETJAM/III/2025</t>
  </si>
  <si>
    <t>Kabel PJU</t>
  </si>
  <si>
    <t>081 PPM Kabel PJU Ex. KMI.pdf</t>
  </si>
  <si>
    <t>TKDN Kabel PJU.pdf</t>
  </si>
  <si>
    <t>Kabel dari tiang ke tiang PJU</t>
  </si>
  <si>
    <t>NYFGBY 4x6 mm2</t>
  </si>
  <si>
    <t>Kabel dari lampu ke handhole tiang</t>
  </si>
  <si>
    <t>NYY 3x2.5 mm2</t>
  </si>
  <si>
    <t>082/PPM/RA/BETJAM/III/2025</t>
  </si>
  <si>
    <t>Cat Kansteen</t>
  </si>
  <si>
    <t>082 PPM Cat Kansteen Ex. Nippon Paint.pdf</t>
  </si>
  <si>
    <t>Wall Sealer 5100</t>
  </si>
  <si>
    <t>Ex. Nippon</t>
  </si>
  <si>
    <t>Mayan Yellow dan Black</t>
  </si>
  <si>
    <t>Ex. Nippon Bee Brand 1000</t>
  </si>
  <si>
    <t>083/PPM/RA/BETJAM/III/2025</t>
  </si>
  <si>
    <t>Exhaust Fan Type Inline</t>
  </si>
  <si>
    <t>083 PPM Exhaust Fan Type Inline.pdf</t>
  </si>
  <si>
    <t>Kapasitas 1200 CMH</t>
  </si>
  <si>
    <t>AFD-400GLV/8/055/4-HJ</t>
  </si>
  <si>
    <t>Ex. CKE</t>
  </si>
  <si>
    <t>Kapasitas 1530 CMH</t>
  </si>
  <si>
    <t>Kapasitas 2550 CMH</t>
  </si>
  <si>
    <t>AFD-400GLV/8/075/4-HJ</t>
  </si>
  <si>
    <t>084/PPM/RA/BETJAM/III/2025</t>
  </si>
  <si>
    <t>Sealant Kusen</t>
  </si>
  <si>
    <t>Warna Hitam</t>
  </si>
  <si>
    <t>Ex. Marks</t>
  </si>
  <si>
    <t>084. PPM Sealant Kusen.pdf</t>
  </si>
  <si>
    <t>085/PPM/RA/BETJAM/III/2025</t>
  </si>
  <si>
    <t>Pintu Aluminium</t>
  </si>
  <si>
    <t>Spandrel Double</t>
  </si>
  <si>
    <t>085 PPM Pintu Aluminium Ex. Alexindo.pdf</t>
  </si>
  <si>
    <t>086/PPM/RA/BETJAM/III/2025</t>
  </si>
  <si>
    <t>Cat Dinding Interior</t>
  </si>
  <si>
    <t>NP OW 1083P Reticent White</t>
  </si>
  <si>
    <t>Ex. Nippon Spot Less</t>
  </si>
  <si>
    <t>086 PPM Cat Ex. Nippon Paint.pdf</t>
  </si>
  <si>
    <t>NP N 2027P Gray Suit</t>
  </si>
  <si>
    <t>NP N 2030A Crater Black</t>
  </si>
  <si>
    <t>Cat Dinding Exterior</t>
  </si>
  <si>
    <t>Ex. Nippon Weatherbond</t>
  </si>
  <si>
    <t>1001 Brilliant White</t>
  </si>
  <si>
    <t>Cat Plafond</t>
  </si>
  <si>
    <t>Cat Roster</t>
  </si>
  <si>
    <t>NP N 2030 A Carter Black</t>
  </si>
  <si>
    <t>Cat Lisplank GRC</t>
  </si>
  <si>
    <t>Cat Utama</t>
  </si>
  <si>
    <t>AC 2140 A Caramel Twirl</t>
  </si>
  <si>
    <t>Cat Texture</t>
  </si>
  <si>
    <t>NP AC 2135A Expresso</t>
  </si>
  <si>
    <t>Ex. Nippon Paint</t>
  </si>
  <si>
    <t>087/PPM/RA/BETJAM/III/2025</t>
  </si>
  <si>
    <t>Flow Meter Dia. 2 1/2" - 8"</t>
  </si>
  <si>
    <t>LXLG</t>
  </si>
  <si>
    <t>Ex. B&amp;R (Yuta)</t>
  </si>
  <si>
    <t>087 PPM Flow Meter Ex. B&amp;R.pdf</t>
  </si>
  <si>
    <t>088/PPM/RA/BETJAM/III/2025</t>
  </si>
  <si>
    <t>Ex. Lokfom</t>
  </si>
  <si>
    <t>088 PPM Ducting BJLS Ex. Lokfom.pdf</t>
  </si>
  <si>
    <t>089/PPM/RA/BETJAM/III/2025</t>
  </si>
  <si>
    <t>Aksesoris Pintu</t>
  </si>
  <si>
    <t>Ex. Dekson</t>
  </si>
  <si>
    <t>089 PPM Aksesoris Pintu.pdf</t>
  </si>
  <si>
    <t>090/PPM/RA/BETJAM/III/2025</t>
  </si>
  <si>
    <t>AC Split Wallmounted</t>
  </si>
  <si>
    <t>090 PPM AC Split Ex. LG.pdf</t>
  </si>
  <si>
    <t>Kapasitas 5.000 BTUH (1/2 PK)</t>
  </si>
  <si>
    <t>Dual Coll New Eco</t>
  </si>
  <si>
    <t xml:space="preserve">Ex. LG </t>
  </si>
  <si>
    <t>Kapasitas 9.000 BTUH (1 PK)</t>
  </si>
  <si>
    <t>Kapasitas 12.000 BTUH (1 1/2 PK)</t>
  </si>
  <si>
    <t>Kapasitas 18.000 BTUH (2 PK)</t>
  </si>
  <si>
    <t>092/PPM/RA/BETJAM/III/2025</t>
  </si>
  <si>
    <t>Pressure Tank</t>
  </si>
  <si>
    <t>Kapasitas 500 L</t>
  </si>
  <si>
    <t>Ex. PT Muntek Berkah Utama</t>
  </si>
  <si>
    <t>092 PPM Pressure Tank Kap. 500 L.pdf</t>
  </si>
  <si>
    <t>093/PPM/RA/BETJAM/III/2025</t>
  </si>
  <si>
    <t>Lampu Hias Masjid</t>
  </si>
  <si>
    <t>093 PPM Lampu Hias Masjid.pdf</t>
  </si>
  <si>
    <t>Lampu Gantung</t>
  </si>
  <si>
    <t>SCH-9066-18+6+2</t>
  </si>
  <si>
    <t>Ex. Supra C.E</t>
  </si>
  <si>
    <t>Lampu Dinding</t>
  </si>
  <si>
    <t>SCW-6689-1</t>
  </si>
  <si>
    <t>094/PPM/RA/BETJAM/III/2025</t>
  </si>
  <si>
    <t>Shadow Line</t>
  </si>
  <si>
    <t>094 PPM Shadow Line Plafond.pdf</t>
  </si>
  <si>
    <t>095/PPM/RA/BETJAM/III/2025</t>
  </si>
  <si>
    <t>Angkur PJU</t>
  </si>
  <si>
    <t>Polos 22 mm</t>
  </si>
  <si>
    <t>095 PPM Angkur PJU.pdf</t>
  </si>
  <si>
    <t>096/PPM/RA/BETJAM/III/2025</t>
  </si>
  <si>
    <t>Ornamen PVC Masjid</t>
  </si>
  <si>
    <t>096 PPM Ornamen Masjid.pdf</t>
  </si>
  <si>
    <t>Ornamen Islamic Area Mihrab</t>
  </si>
  <si>
    <t>PVC Board Tebal 9 mm Ex. Taco Finishing Nippe 2000 Warna NP YO 1168T Coachlight</t>
  </si>
  <si>
    <t>Ex. Taco &amp; Ex. Nippon Paint</t>
  </si>
  <si>
    <t>Ornamen Lafadz Allah</t>
  </si>
  <si>
    <t>Ornamen Lafadz Muhammad</t>
  </si>
  <si>
    <t>Ornamen Plafond Masjid</t>
  </si>
  <si>
    <t>097/PPM/RA/BETJAM/III/2025</t>
  </si>
  <si>
    <t>Pintu Power House</t>
  </si>
  <si>
    <t>097 PPM Pintu Power House.pdf</t>
  </si>
  <si>
    <t xml:space="preserve">Hollow 40x60 </t>
  </si>
  <si>
    <t>Tebal 1.2 mm</t>
  </si>
  <si>
    <t xml:space="preserve">Pelat Besi </t>
  </si>
  <si>
    <t>Tebal 1 mm</t>
  </si>
  <si>
    <t>Zinchromate primer</t>
  </si>
  <si>
    <t>Ex. Nippon Bodelac 9000</t>
  </si>
  <si>
    <t>Warna Disco Beat</t>
  </si>
  <si>
    <t xml:space="preserve">Ex. Nippon Bodelac 2 in 1 </t>
  </si>
  <si>
    <t>098/PPM/RA/BETJAM/III/2025</t>
  </si>
  <si>
    <t xml:space="preserve">Ornamen Karawang </t>
  </si>
  <si>
    <t>098 PPM Ornamen Karawang.pdf</t>
  </si>
  <si>
    <t>Ornamen karawang depan Masjid</t>
  </si>
  <si>
    <t>Ornamen karawang penutup lisplank</t>
  </si>
  <si>
    <t>099/PPM/RA/BETJAM/III/2025</t>
  </si>
  <si>
    <t>Stop kontak outbow</t>
  </si>
  <si>
    <t>WKJ1131</t>
  </si>
  <si>
    <t>099 PPM Stop Kontak Outbow.pdf</t>
  </si>
  <si>
    <t>100/PPM/RA/BETJAM/III/2025</t>
  </si>
  <si>
    <t>Makara kubah masjid</t>
  </si>
  <si>
    <t xml:space="preserve">Plat Stainless Steel Gold </t>
  </si>
  <si>
    <t>101/PPM/RA/BETJAM/III/2025</t>
  </si>
  <si>
    <t>Pressure Switch</t>
  </si>
  <si>
    <t>FF 4-16 DAH</t>
  </si>
  <si>
    <t>Ex. Tival</t>
  </si>
  <si>
    <t>101 PPM Pressure Switch.pdf</t>
  </si>
  <si>
    <t>102/PPM/RA/BETJAM/III/2025</t>
  </si>
  <si>
    <t>Exhaust Fan Wall Mounted</t>
  </si>
  <si>
    <t>ESN-D16/1 (FA-40)</t>
  </si>
  <si>
    <t>102 PPM Exhaust Fan Wallmounted.pdf</t>
  </si>
  <si>
    <t>103/PPM/RA/BETJAM/III/2025</t>
  </si>
  <si>
    <t>Panel Bangunan</t>
  </si>
  <si>
    <t>Ex. Nurinda</t>
  </si>
  <si>
    <t>Proses</t>
  </si>
  <si>
    <t>104/PPM/RA/BETJAM/III/2025</t>
  </si>
  <si>
    <t>Name Board Masjid</t>
  </si>
  <si>
    <t>Akrilik tebal 3mm, kode warna 135</t>
  </si>
  <si>
    <t>Ex. Marga Cipta</t>
  </si>
  <si>
    <t>104 PPM Name Board Masjid.pdf</t>
  </si>
  <si>
    <t>105/PPM/RA/BETJAM/III/2025</t>
  </si>
  <si>
    <t>Atap Zincalume (Atap TPS)</t>
  </si>
  <si>
    <t>Revisi</t>
  </si>
  <si>
    <t>106/PPM/RA/BETJAM/III/2025</t>
  </si>
  <si>
    <t>Glass Block</t>
  </si>
  <si>
    <t>Type Linio</t>
  </si>
  <si>
    <t>Ex. Mulia</t>
  </si>
  <si>
    <t>106 PPM Glass Block Ex. Mulia.pdf</t>
  </si>
  <si>
    <t>107/PPM/RA/BETJAM/III/2025</t>
  </si>
  <si>
    <t>Besi Hollow 50x100  (Atap TPS)</t>
  </si>
  <si>
    <t>108/PPM/RA/BETJAM/III/2025</t>
  </si>
  <si>
    <t>Valve</t>
  </si>
  <si>
    <t>108 PPM Valve.pdf</t>
  </si>
  <si>
    <t>Diameter 1/2" - 2 1/2"</t>
  </si>
  <si>
    <t>Ball Valve FBS</t>
  </si>
  <si>
    <t>Ex. Yuta</t>
  </si>
  <si>
    <t>Diameter 3" - 4"</t>
  </si>
  <si>
    <t>Gate Valve GT</t>
  </si>
  <si>
    <t>109/PPM/RA/BETJAM/III/2025</t>
  </si>
  <si>
    <t>Exhaust Fan Ceiling</t>
  </si>
  <si>
    <t>CD-BPT-30-MRS</t>
  </si>
  <si>
    <t>109 PPM ExhausFan Ceiling.pdf</t>
  </si>
  <si>
    <t>110/PPM/RA/BETJAM/III/2025</t>
  </si>
  <si>
    <t>Lampu Highbay</t>
  </si>
  <si>
    <t>BY229P LED195/CW PSU GM 6500K</t>
  </si>
  <si>
    <t>110 PPM Lampu Highbay.pdf</t>
  </si>
  <si>
    <t>111/PPM/RA/BETJAM/III/2025</t>
  </si>
  <si>
    <t>Pipa Refrigerant</t>
  </si>
  <si>
    <t>Ex. Toyoda</t>
  </si>
  <si>
    <t>111 PPM Pipa Refrigerant.pdf</t>
  </si>
  <si>
    <t>112/PPM/RA/BETJAM/III/2025</t>
  </si>
  <si>
    <t>Safety Valve</t>
  </si>
  <si>
    <t>PN 16</t>
  </si>
  <si>
    <t>Ex. YOY</t>
  </si>
  <si>
    <t>113/PPM/RA/BETJAM/III/2025</t>
  </si>
  <si>
    <t>Air Vent</t>
  </si>
  <si>
    <t>Ex. Gala</t>
  </si>
  <si>
    <t>114/PPM/RA/BETJAM/III/2025</t>
  </si>
  <si>
    <t>Grease Trap</t>
  </si>
  <si>
    <t>Stainless Steel 30 liter</t>
  </si>
  <si>
    <t>115/PPM/RA/BETJAM/III/2025</t>
  </si>
  <si>
    <t>Lampu Sorot Kubah Masjid</t>
  </si>
  <si>
    <t>116/PPM/RA/BETJAM/III/2025</t>
  </si>
  <si>
    <t>Lampu Sorot Name Board Foodcourt dan Resto</t>
  </si>
  <si>
    <t>BVP150 LED20/WW PSU 20W SWB G3 GM</t>
  </si>
  <si>
    <t>116. PPM Lampu Sorot Name Board FC dan Resto.pdf</t>
  </si>
  <si>
    <t>117/PPM/RA/BETJAM/III/2025</t>
  </si>
  <si>
    <t>Gazebo</t>
  </si>
  <si>
    <t>Rangka Gazebo</t>
  </si>
  <si>
    <t>118/PPM/RA/BETJAM/III/2025</t>
  </si>
  <si>
    <t>Name Board Rest Area</t>
  </si>
  <si>
    <t>Font Rest Area</t>
  </si>
  <si>
    <t>Akrilik</t>
  </si>
  <si>
    <t>Font HK</t>
  </si>
  <si>
    <t>logo HK</t>
  </si>
  <si>
    <t>Logo PU</t>
  </si>
  <si>
    <t>Lampu Led Strip 3 watt</t>
  </si>
  <si>
    <t>3 watt</t>
  </si>
  <si>
    <t>Cat Pillar</t>
  </si>
  <si>
    <t>Warna abu-abu</t>
  </si>
  <si>
    <t>Ornamen Angso Duo</t>
  </si>
  <si>
    <t>Plat fin. cat duco</t>
  </si>
  <si>
    <t>Dinding Name Board</t>
  </si>
  <si>
    <t>Conwood fin. coklat kuning</t>
  </si>
  <si>
    <t>Lampu Sorot LED 50 watt</t>
  </si>
  <si>
    <t>50 watt</t>
  </si>
  <si>
    <t>Bata Merah</t>
  </si>
  <si>
    <t>Ukuran........</t>
  </si>
  <si>
    <t>Ornamen Kayu</t>
  </si>
  <si>
    <t>MATERIAL REST AREA BETJAM 4</t>
  </si>
  <si>
    <t>No.</t>
  </si>
  <si>
    <t>TANGGAL PENGAJUAN</t>
  </si>
  <si>
    <t>Material</t>
  </si>
  <si>
    <t>Spesifikasi</t>
  </si>
  <si>
    <t>PPM</t>
  </si>
  <si>
    <t>Keterangan</t>
  </si>
  <si>
    <t>Disetujui</t>
  </si>
  <si>
    <t>Proses  Pengajuan / TTD</t>
  </si>
  <si>
    <t>Lampiran Kurang</t>
  </si>
  <si>
    <t>Belum Diajukan</t>
  </si>
  <si>
    <t>S T R U K T U R</t>
  </si>
  <si>
    <t>Pekerjaan Struktur</t>
  </si>
  <si>
    <t>Baja Tulangan D 10</t>
  </si>
  <si>
    <t>Mortar 1 : 4</t>
  </si>
  <si>
    <t>Campuran Mortar = 1SP : 4PP</t>
  </si>
  <si>
    <t xml:space="preserve">Beton fc' = 15 Mpa </t>
  </si>
  <si>
    <t>Ex. BP Terdekat</t>
  </si>
  <si>
    <t>Wiremesh M6</t>
  </si>
  <si>
    <t>union metal</t>
  </si>
  <si>
    <t>Pekerjaan Atap</t>
  </si>
  <si>
    <t>Baja Profil WF</t>
  </si>
  <si>
    <t xml:space="preserve">Mutu Baja BJ-41 </t>
  </si>
  <si>
    <t>Profil Canal C (CNP)  C 150x50x20x3,2</t>
  </si>
  <si>
    <t>Brosur</t>
  </si>
  <si>
    <t>Cat Baja</t>
  </si>
  <si>
    <t>Angkur</t>
  </si>
  <si>
    <t>M16 - pjg 500 mm</t>
  </si>
  <si>
    <t>Taso</t>
  </si>
  <si>
    <t>Alumunium Foil</t>
  </si>
  <si>
    <t>tbl 8 mm setara Enerlife 1,2 m</t>
  </si>
  <si>
    <t>Atap Zincalume</t>
  </si>
  <si>
    <t>Roof Mesh</t>
  </si>
  <si>
    <t>Talang Air Galvalum Lebar 60 cm tbl. 0,4 mm</t>
  </si>
  <si>
    <t>Atap Bitumen +Underlayer</t>
  </si>
  <si>
    <t>Bark Brown Ex. BSK</t>
  </si>
  <si>
    <t>https://www.youtube.com/shorts/Prqji2GJv0g</t>
  </si>
  <si>
    <t>Multiplek</t>
  </si>
  <si>
    <t>A R S I T E K T U R</t>
  </si>
  <si>
    <t>Pekerjaan Dinding</t>
  </si>
  <si>
    <t>Mortar Instan</t>
  </si>
  <si>
    <t>Bata Roaster</t>
  </si>
  <si>
    <t xml:space="preserve">Uk. 20x20 cm </t>
  </si>
  <si>
    <t>Ornamen GRC Krawangan, Masjid</t>
  </si>
  <si>
    <t>Ornamen Karawang beton masjid</t>
  </si>
  <si>
    <t>Ornamen PVC masjid depam mihrab</t>
  </si>
  <si>
    <t>Cat Lisplank</t>
  </si>
  <si>
    <t>Cat Dinding</t>
  </si>
  <si>
    <t>Pekerjaan Lantai</t>
  </si>
  <si>
    <t>Keramik</t>
  </si>
  <si>
    <t>Hal. 42</t>
  </si>
  <si>
    <t>Nat Pengisi Keramik</t>
  </si>
  <si>
    <t>Hal. 55</t>
  </si>
  <si>
    <t>Waterproofing</t>
  </si>
  <si>
    <t>Pekerjaan Plafond</t>
  </si>
  <si>
    <t xml:space="preserve">Rangka Plafond </t>
  </si>
  <si>
    <t>Lisplank</t>
  </si>
  <si>
    <t>List Plafond Shadow Line</t>
  </si>
  <si>
    <t>Pekerjaan Pintu dan Jendela</t>
  </si>
  <si>
    <t>Kusen Aluminium</t>
  </si>
  <si>
    <t>Louvres Alumunium</t>
  </si>
  <si>
    <t>Pintu aluminium</t>
  </si>
  <si>
    <t>HPL daun pintu</t>
  </si>
  <si>
    <t>Pintu power house</t>
  </si>
  <si>
    <t>Aksesoris Pintu dan jendela</t>
  </si>
  <si>
    <t>Kaca Polos 5 mm</t>
  </si>
  <si>
    <t>Kaca Tempered 10 mm</t>
  </si>
  <si>
    <t>Pekerjaan Sanitair</t>
  </si>
  <si>
    <t>Wastafel  Dinding</t>
  </si>
  <si>
    <t>Kran wastafel</t>
  </si>
  <si>
    <t>Pekerjaan Lain-lain</t>
  </si>
  <si>
    <t xml:space="preserve">Lafadz Area Mihrab </t>
  </si>
  <si>
    <t>Name Board FC dan Resto</t>
  </si>
  <si>
    <t>Font Lettering Nama Masjid</t>
  </si>
  <si>
    <t>Kubah Masjid Stainless</t>
  </si>
  <si>
    <t xml:space="preserve">Ornamen GRC </t>
  </si>
  <si>
    <t>PEKERJAAN  M E P</t>
  </si>
  <si>
    <t>Pekerjaan Plumbing</t>
  </si>
  <si>
    <t>Pipa PVC AW</t>
  </si>
  <si>
    <t>Pipa PPR</t>
  </si>
  <si>
    <t>Septitank</t>
  </si>
  <si>
    <t xml:space="preserve">Ball Valve Brass </t>
  </si>
  <si>
    <t xml:space="preserve">Water Meter Brass </t>
  </si>
  <si>
    <t>Air Vent Cup</t>
  </si>
  <si>
    <t>Pekerjaan Lampu dan Instalasi</t>
  </si>
  <si>
    <t>Lampu Gantung Masjid</t>
  </si>
  <si>
    <t>Downlight Meson LED 9 Watt</t>
  </si>
  <si>
    <t>Downlight Meson LED 12 Watt</t>
  </si>
  <si>
    <t>Downlight Outbow LED 12 Watt</t>
  </si>
  <si>
    <t>Lp Balk TL LED 9 Watt</t>
  </si>
  <si>
    <t>Lp. High Bay LED 155W</t>
  </si>
  <si>
    <t>TL LED 18 Watt</t>
  </si>
  <si>
    <t>Lampu Led Strip</t>
  </si>
  <si>
    <t>Stop Kontak Tunggal</t>
  </si>
  <si>
    <t>Stop Kontak AC 13A</t>
  </si>
  <si>
    <t>Pipa Conduit</t>
  </si>
  <si>
    <t>Kabel NYM 3x2,5mm2</t>
  </si>
  <si>
    <t>Kabel NYM 3x4mm2</t>
  </si>
  <si>
    <t>Pekerjaan Tata Udara</t>
  </si>
  <si>
    <t>AC Split Wallmounted Kap. 1/2, 1, 3/4, 1 1/2, 2</t>
  </si>
  <si>
    <t>Aksesoris AC</t>
  </si>
  <si>
    <t>Exhaust fan Ceiling</t>
  </si>
  <si>
    <t>Exhaust fan wallmounted</t>
  </si>
  <si>
    <t>Pekerjaan Tata Suara Masjid</t>
  </si>
  <si>
    <t>Digital Mixer Amplifier 2x240W</t>
  </si>
  <si>
    <t>Power Amplifier 480W</t>
  </si>
  <si>
    <t>Horn Speaker 50W</t>
  </si>
  <si>
    <t>Compact Column Speaker 20W</t>
  </si>
  <si>
    <t>Clip On Micropon</t>
  </si>
  <si>
    <t>Micropon Mimbar</t>
  </si>
  <si>
    <t>Kabel Instalasi NYYHY 2 x 2,5 mm</t>
  </si>
  <si>
    <t>Pekerjaan Elektrikal</t>
  </si>
  <si>
    <t>MCB</t>
  </si>
  <si>
    <t>Stop kontak 1 Ph, 220 V</t>
  </si>
  <si>
    <t>Kabel Ladder</t>
  </si>
  <si>
    <t>Kabel Tray</t>
  </si>
  <si>
    <t>MEP KAWASAN</t>
  </si>
  <si>
    <t>Pipa GIP</t>
  </si>
  <si>
    <t xml:space="preserve">Strainer </t>
  </si>
  <si>
    <t>Gate Valve</t>
  </si>
  <si>
    <t>Chek Valve</t>
  </si>
  <si>
    <t xml:space="preserve">Flexible Joint </t>
  </si>
  <si>
    <t>Katup Udara</t>
  </si>
  <si>
    <t>Manometer</t>
  </si>
  <si>
    <t>Carbon Filter</t>
  </si>
  <si>
    <t>Sand Filter</t>
  </si>
  <si>
    <t>Tanki FRP 8x8x3</t>
  </si>
  <si>
    <t>Tannki Roof Tank 12 m3</t>
  </si>
  <si>
    <t>Pompa Transfer</t>
  </si>
  <si>
    <t>Water meter</t>
  </si>
  <si>
    <t>Water Level control (WLC)</t>
  </si>
  <si>
    <t>Pekerjaan Hydrant</t>
  </si>
  <si>
    <t>Pompa Electric</t>
  </si>
  <si>
    <t>Pompa Diesel</t>
  </si>
  <si>
    <t>Pompa Jockey</t>
  </si>
  <si>
    <t>Kabel Instalasi Hydrant</t>
  </si>
  <si>
    <t>Pipa BSP</t>
  </si>
  <si>
    <t xml:space="preserve">Gate Valve PN.16 </t>
  </si>
  <si>
    <t>Main Control Valve PN.16 ( MCV ) 150 mm</t>
  </si>
  <si>
    <t xml:space="preserve">Safety Valve PN.16 </t>
  </si>
  <si>
    <t xml:space="preserve">Flexible Joint PN.16 </t>
  </si>
  <si>
    <t xml:space="preserve">Strainer PN.16 </t>
  </si>
  <si>
    <t xml:space="preserve">Check Valve PN.16 </t>
  </si>
  <si>
    <t>Pressure Gauge termasuk Valve</t>
  </si>
  <si>
    <t>Pressure Switch termasuk Valve</t>
  </si>
  <si>
    <t xml:space="preserve">Foot Valve PN.16 plat </t>
  </si>
  <si>
    <t>Tangki Tekan Presure Tank ( PT ) Kap 500 L</t>
  </si>
  <si>
    <t>Panel Hydrant</t>
  </si>
  <si>
    <t>Hydran Pillar (HP) Two Wy Type</t>
  </si>
  <si>
    <t>HydranBox (HB) dengan Hose Rell Cabinet</t>
  </si>
  <si>
    <t>Siamesse Connection (SC)</t>
  </si>
  <si>
    <t>Apar 6 kg dan 25 kg</t>
  </si>
  <si>
    <t>Kabel Feeder</t>
  </si>
  <si>
    <t>Trafo</t>
  </si>
  <si>
    <t>Grounding System</t>
  </si>
  <si>
    <t>Tanki solar dan aksesoris</t>
  </si>
  <si>
    <t>Tiang PJU</t>
  </si>
  <si>
    <t>Tiang Highmas</t>
  </si>
  <si>
    <t>Besi Tulangan Pondasi PJU</t>
  </si>
  <si>
    <t>Lampu PJU</t>
  </si>
  <si>
    <t>Lampu Highmash</t>
  </si>
  <si>
    <t>Lightening protection Radius 100 Meter</t>
  </si>
  <si>
    <t>Pole tinggi 18 mtr</t>
  </si>
  <si>
    <t>Kabel NYY 70 mm</t>
  </si>
  <si>
    <t>Control box</t>
  </si>
  <si>
    <t>Cable clemp dan Kabel Sling 10mm lengkap pondasi</t>
  </si>
  <si>
    <t>Sound System Kawasan</t>
  </si>
  <si>
    <t>Power Amplifier 1 x 360 W ( Car Call )</t>
  </si>
  <si>
    <t>Equalizer</t>
  </si>
  <si>
    <t>Am / FM Radio Tuner</t>
  </si>
  <si>
    <t>Paging Microphone ( Car Call )</t>
  </si>
  <si>
    <t>Direct Microphone</t>
  </si>
  <si>
    <t>Mixer Frame</t>
  </si>
  <si>
    <t>Speaker Selector 5 Chanel</t>
  </si>
  <si>
    <t>Horn Speaker 25 W ( toa )</t>
  </si>
  <si>
    <t xml:space="preserve">Instalasi Horn Speaker Kabel NYMHY 2 x 1,5 mm2 </t>
  </si>
  <si>
    <t xml:space="preserve">Network Video Recorder 32 Channel Multiplexer </t>
  </si>
  <si>
    <t>Monitor 32" Komputer + Key Board controller</t>
  </si>
  <si>
    <t>Router / Wiffi</t>
  </si>
  <si>
    <t>TB. CCTV</t>
  </si>
  <si>
    <t>Unit Camera PAN, TILT, ZOOM IP CAMERA</t>
  </si>
  <si>
    <t>Instalasi camera CAT 6e + conduit</t>
  </si>
  <si>
    <t>PEKERJAAN  LANDSEKAP</t>
  </si>
  <si>
    <t>Pekerjaan Drainase</t>
  </si>
  <si>
    <t>Gorong-gorong Pipa Beton Bertulang</t>
  </si>
  <si>
    <t>diameter dalam 60 cm</t>
  </si>
  <si>
    <t>Saluran berbentuk U Tipe DS 3B (dengan tutup)</t>
  </si>
  <si>
    <t>Arsitektur</t>
  </si>
  <si>
    <t>Kereb Pracetak Jenis 3 (Kereb Berparit/Gutter)</t>
  </si>
  <si>
    <t>Paving Blok</t>
  </si>
  <si>
    <t xml:space="preserve">t 8 cm mutu C K 250 </t>
  </si>
  <si>
    <t>Cat Kanstin</t>
  </si>
  <si>
    <t>Vegetasi</t>
  </si>
  <si>
    <t>Pohon Trembesi, Tembusu, Pule, Mahoni, Palem sadeng, Nibung</t>
  </si>
  <si>
    <t>JUMLAH TOTAL MATERIAL</t>
  </si>
  <si>
    <t>JUMLAH MATERIAL YANG SUDAH DISETUJUI</t>
  </si>
  <si>
    <t>JUMLAH MATERIAL PROSES PENGAJUAN / TTD</t>
  </si>
  <si>
    <t>JUMLAH MATERIAL LAMPIRAN KURANG LENGKAP</t>
  </si>
  <si>
    <t>JUMLAH MATERIAL YANG BELUM DIAJUKAN</t>
  </si>
  <si>
    <t>MONITORING MOS</t>
  </si>
  <si>
    <t>No</t>
  </si>
  <si>
    <t>Tanggal</t>
  </si>
  <si>
    <t>Type Material</t>
  </si>
  <si>
    <t>Nama Material</t>
  </si>
  <si>
    <t>Vendor</t>
  </si>
  <si>
    <t>Arsip File</t>
  </si>
  <si>
    <t>Struktur</t>
  </si>
  <si>
    <t>UJS</t>
  </si>
  <si>
    <t>19 Feb 25__MOS Wiremesh M6.pdf</t>
  </si>
  <si>
    <t>Bata Ringan, Pipa PVC AW</t>
  </si>
  <si>
    <t>Alesha</t>
  </si>
  <si>
    <t>26 Feb 25__MOS Pengecekan Bata Ringan, Pipa PVC.pdf</t>
  </si>
  <si>
    <t>Bata Ringan FBI</t>
  </si>
  <si>
    <t>27 Feb 25__MOS Bata Ringan FBI.pdf</t>
  </si>
  <si>
    <t>Plumbing</t>
  </si>
  <si>
    <t>Pipa BSp</t>
  </si>
  <si>
    <t>Madella</t>
  </si>
  <si>
    <t>05 Mar 25__MOS Pipa BSP.pdf</t>
  </si>
  <si>
    <t>Pipa PVC AW Rucika</t>
  </si>
  <si>
    <t>06 Mar 25__MOS Pengecekan Pipa PVC.pdf</t>
  </si>
  <si>
    <t>Madela</t>
  </si>
  <si>
    <t>11 Mar 25__ MOS Pipa BSP.pdf</t>
  </si>
  <si>
    <t>17 Mar 25__MOS Pengecekan Baja Profil WF.pdf</t>
  </si>
  <si>
    <t>Atap Bitumen</t>
  </si>
  <si>
    <t>22 Mar 25__MOS Atap Bitumen.pdf</t>
  </si>
  <si>
    <t>22 Mar 25__MOS Baja Ringan.pdf</t>
  </si>
  <si>
    <t>22 Mar 25__MOS Multiplek.pdf</t>
  </si>
  <si>
    <t>25 Mar 25__MOS Baja Profil RA Kiri.pdf</t>
  </si>
  <si>
    <t>Hollow Plafond</t>
  </si>
  <si>
    <t>13 Aprl 25__MOS Hollow Plafond Sisi Kiri.pdf</t>
  </si>
  <si>
    <t>13 Aprl 25__MOS Keramik Sisi Kiri.pdf</t>
  </si>
  <si>
    <t>13 Aprl 25__MOS Sanitary Sisi Kiri.pdf</t>
  </si>
  <si>
    <t>17 Aprl 25__MOS Atap Sisi Kanan.pdf</t>
  </si>
  <si>
    <t>CCTV</t>
  </si>
  <si>
    <t>23 Aprl 25__MOS CCTV.pdf</t>
  </si>
  <si>
    <t>23 Aprl 25__MOS Kabel Feeder.pdf</t>
  </si>
  <si>
    <t>Kabel UTP</t>
  </si>
  <si>
    <t>23 Aprl 25__MOS Kabel UTP.pdf</t>
  </si>
  <si>
    <t>23 Aprl 25__MOS Lampu PJU.pdf</t>
  </si>
  <si>
    <t>Siamese Conection</t>
  </si>
  <si>
    <t>13 Mei 25__MOS Siamesse Connection.pdf</t>
  </si>
  <si>
    <t>Air bersih</t>
  </si>
  <si>
    <t>Gate valve type secrew</t>
  </si>
  <si>
    <t>13 Mei 25__MOS Gate Valve.pdf</t>
  </si>
  <si>
    <t xml:space="preserve">Apar 25 kg </t>
  </si>
  <si>
    <t>13 Mei 25__MOS Apar.pdf</t>
  </si>
  <si>
    <t>Hydrant box type c</t>
  </si>
  <si>
    <t>13 Mei 25__MOS Hydrant Box.pdf</t>
  </si>
  <si>
    <t>Hydrant pillar two ways</t>
  </si>
  <si>
    <t>13 Mei 25__MOS Hydrant Pillar.pdf</t>
  </si>
  <si>
    <t>Pipa PPR Rucika</t>
  </si>
  <si>
    <t>13 Mei 25__MOS Pipa PPR.pdf</t>
  </si>
  <si>
    <t>Tangki FRP Biotechno</t>
  </si>
  <si>
    <t>13 Mei 25__MOS FRP.pdf</t>
  </si>
  <si>
    <t>Mechanical Electric</t>
  </si>
  <si>
    <t>Pengeras suara TOA</t>
  </si>
  <si>
    <t>13 Mei 25__MOS Tata Suara Kawasan.pdf</t>
  </si>
  <si>
    <t>22 Mei 25__MOS Keramik.pdf</t>
  </si>
  <si>
    <t>22 Mei 25__MOS Kusen RA kanan.pdf</t>
  </si>
  <si>
    <t>30 Mei 25__MOS Kusen.pdf</t>
  </si>
  <si>
    <t>Kabel FRC 4x95</t>
  </si>
  <si>
    <t>31 Mei 25__MOS Kabel FRC 4x95.pdf</t>
  </si>
  <si>
    <t>31 Mei 25__MOS Pompa Electric Hydrant.pdf</t>
  </si>
  <si>
    <t>31 Mei 25__MOS Pompa Transfer.pdf</t>
  </si>
  <si>
    <t>Gate Valve Hydrant 6"</t>
  </si>
  <si>
    <t>3 Jun 25__MOS Gate Valve.pdf</t>
  </si>
  <si>
    <t>3 Jun 25__MOS Genset.pdf</t>
  </si>
  <si>
    <t>Kabel N2XY 3x300</t>
  </si>
  <si>
    <t>3 Jun 25__MOS Kabel N2XY 3x300.pdf</t>
  </si>
  <si>
    <t>Kabel NYY 1x70</t>
  </si>
  <si>
    <t>3 Jun 25__MOS Kabel NYY 1x70.pdf</t>
  </si>
  <si>
    <t>3 Jun 25__MOS Pompa Jockey.pdf</t>
  </si>
  <si>
    <t>Tegangan Menengah</t>
  </si>
  <si>
    <t>3 Jun 25__MOS TM.pdf</t>
  </si>
  <si>
    <t>3 Jun 25__MOS Trafo.pdf</t>
  </si>
  <si>
    <t>Y Strainer</t>
  </si>
  <si>
    <t>3 Jun 25__MOS Y Strainer.pdf</t>
  </si>
  <si>
    <t>5 Jun 25__MOS Kusen Alesha.pdf</t>
  </si>
  <si>
    <t>STP Kap. 1,2,3,4, dan 5  m3</t>
  </si>
  <si>
    <t>5 Jun 25__MOS STP Biotechno.pdf</t>
  </si>
  <si>
    <t>Kabel NYMHY 2x2.5</t>
  </si>
  <si>
    <t>5 Jun 25__MOS Kabel Speaker.pdf</t>
  </si>
  <si>
    <t>5 Jun 25__MOS Kitchen sink.pdf</t>
  </si>
  <si>
    <t>Cat Dasar Wall Sealer 5100</t>
  </si>
  <si>
    <t>5 Jun 25__MOS Cat Dasar Wall Sealer 5100.pdf</t>
  </si>
  <si>
    <t>Cat Plafond Nippon Spot less</t>
  </si>
  <si>
    <t>5 Jun 25__MOS Cat Plafond Nippon Spot less.pdf</t>
  </si>
  <si>
    <t>Mortar MU 200 Acian</t>
  </si>
  <si>
    <t>5 Jun 25__MOS Mortar MU 200 Acian.pdf</t>
  </si>
  <si>
    <t>Mortar MU 380 Pasangan bata</t>
  </si>
  <si>
    <t>5 Jun 25__MOS Mortar MU 380 Pasangan bata.pdf</t>
  </si>
  <si>
    <t>Mortar MU 420 Cerafic</t>
  </si>
  <si>
    <t>5 Jun 25__MOS Mortar MU 420 Cerafic.pdf</t>
  </si>
  <si>
    <t>Mortar MU 301 Plesteran</t>
  </si>
  <si>
    <t>5 Jun 25__MOS Mortar MU 301 Plesteran.pdf</t>
  </si>
  <si>
    <t>Lampu TL 20 watt</t>
  </si>
  <si>
    <t>14 Jun 25__MOS Lampu TL 20 watt.pdf</t>
  </si>
  <si>
    <t>Lampu TL 10 watt</t>
  </si>
  <si>
    <t>14 Jun 25__MOS Lampu TL 10 watt.pdf</t>
  </si>
  <si>
    <t>Lampu Downlight 9 watt</t>
  </si>
  <si>
    <t>14 Jun 25__MOS Lampu Downlight 9 watt.pdf</t>
  </si>
  <si>
    <t>Lampu Magneos 9 watt</t>
  </si>
  <si>
    <t>14 Jun 25__MOS Lampu Downligh 9 watt.pdf</t>
  </si>
  <si>
    <t>Lampu Magneos 12 watt</t>
  </si>
  <si>
    <t>14 Jun 25__MOS Lampu Downlight 12 watt.pdf</t>
  </si>
  <si>
    <t>Ball Valve 1/2"</t>
  </si>
  <si>
    <t>14 Jun 25__MOS Ball Valve 0.5 inch.pdf</t>
  </si>
  <si>
    <t>Ball Valve 2"</t>
  </si>
  <si>
    <t>14 Jun 25__MOS Ball Valve.pdf</t>
  </si>
  <si>
    <t>Gate Valve 2 1/2"</t>
  </si>
  <si>
    <t>14 Jun 25__MOS Gate Valve.pdf</t>
  </si>
  <si>
    <t>Lampu Dinding Masjid</t>
  </si>
  <si>
    <t>14 Jun 25__MOS Lampu dinding Masjid.pdf</t>
  </si>
  <si>
    <t>14 Jun 25__MOS Lampu Gantung Masjid.pdf</t>
  </si>
  <si>
    <t>14 Jun 25__MOS Kabel Tray.pdf</t>
  </si>
  <si>
    <t>Aksesoris Pintu dan Jendela</t>
  </si>
  <si>
    <t>MTS IL DL 8585 Matt Black</t>
  </si>
  <si>
    <t>14 Jun 25__MOS MTS IL DL 8585 Matt Black.pdf</t>
  </si>
  <si>
    <t>Sliding Rail SCO 8020 2m</t>
  </si>
  <si>
    <t>14 Jun 25__MOS Sliding Rail SCO 8020 2m.pdf</t>
  </si>
  <si>
    <t>Handle LHTR 019 Matt Black</t>
  </si>
  <si>
    <t>14 Jun 25__MOS Handle LHTR 019 Matt Black.pdf</t>
  </si>
  <si>
    <t>Engsel Jendela DKS SUS 304</t>
  </si>
  <si>
    <t>14 Jun 25__MOS Engsel Jendela DKS SUS 304.pdf</t>
  </si>
  <si>
    <t>Hinge Nylon ES IR4x3x3 Matt Black</t>
  </si>
  <si>
    <t>14 Jun 25__MOS Hinge Nylon ES IR4x3x3 Matt Black.pdf</t>
  </si>
  <si>
    <t>Flush Bold FB 040 8 Matt Black</t>
  </si>
  <si>
    <t>14 Jun 25__MOS Flush Bold FB 040 8 Matt Black.pdf</t>
  </si>
  <si>
    <t>Flush Bold FB 040 12 Matt Black</t>
  </si>
  <si>
    <t>14 Jun 25__MOS Flush Bold FB 040 12 Matt Black.pdf</t>
  </si>
  <si>
    <t>Floor Spring FH 84 Matt Black</t>
  </si>
  <si>
    <t>14 Jun 25__MOS Floor Spring FH 84 Matt Black.pdf</t>
  </si>
  <si>
    <t>Floor Glass PT 20 Matt Black</t>
  </si>
  <si>
    <t>14 Jun 25__MOS Floor Glass PT 20 Matt Black.pdf</t>
  </si>
  <si>
    <t>Floor Glass US 10 Matt Black</t>
  </si>
  <si>
    <t>14 Jun 25__MOS Floor Glass US 10 Matt Black.pdf</t>
  </si>
  <si>
    <t>Floor Glass PT 10 Matt Black</t>
  </si>
  <si>
    <t>Handle LHTR 84040 Oval Matt Black</t>
  </si>
  <si>
    <t>14 Jun 25__MOS Handle LHTR 84040 Oval Matt Black.pdf</t>
  </si>
  <si>
    <t>Interlatch MTS IL 84030 Matt Black</t>
  </si>
  <si>
    <t>14 Jun 25__MOS Interlatch MTS IL 84030 Matt Black.pdf</t>
  </si>
  <si>
    <t>Cylinder CYL DL 60 mm Matt Black</t>
  </si>
  <si>
    <t>14 Jun 25__MOS Cylinder CYL DL 60 mm Matt Black.pdf</t>
  </si>
  <si>
    <t>Hinge ESS DL 4x3x2x2 mm 2BB Matt Black</t>
  </si>
  <si>
    <t>14 Jun 25__MOS Hinge ESS DL 4x3x2x2 mm 2BB Matt Black.pdf</t>
  </si>
  <si>
    <t>Door Stoper OS 001 SSS</t>
  </si>
  <si>
    <t>14 Jun 25__MOS Door Stoper OS 001 SSS.pdf</t>
  </si>
  <si>
    <t>MTS RL DL 8585 Matt Black</t>
  </si>
  <si>
    <t>14 Jun 25__MOS MTS RL DL 8585 Matt Black.pdf</t>
  </si>
  <si>
    <t>Nippon Crater Black (NP N 2030 A)</t>
  </si>
  <si>
    <t>16 Jun 25__MOS Cat Interior  Crater Black.pdf</t>
  </si>
  <si>
    <t>Nippon Gray Suit (NP N 2027 P)</t>
  </si>
  <si>
    <t>16 Jun 25__MOS Cat Interior Nippon Gray Suit.pdf</t>
  </si>
  <si>
    <t>Nippon Reticent White (NP OW 1083 P)</t>
  </si>
  <si>
    <t>16 Jun 25__MOS Cat Interior Nippon Reticent White.pdf</t>
  </si>
  <si>
    <t>16 Jun 25__MOS Cat Exterior Crater Black.pdf</t>
  </si>
  <si>
    <t>16 Jun 25__MOS Cat Exterior Nippon Gray Suit.pdf</t>
  </si>
  <si>
    <t>16 Jun 25__MOS Cat Exterior Nippon Reticent White.pdf</t>
  </si>
  <si>
    <t>Nippon Briliant White (1001)</t>
  </si>
  <si>
    <t>16 Jun 25__MOS Cat Plafond.pdf</t>
  </si>
  <si>
    <t>MOS Apar 6 kg</t>
  </si>
  <si>
    <t>19 Jun 25__MOS Apar.pdf</t>
  </si>
  <si>
    <t>MOS Cat Exterior Nippon Weatherbond Creater Black</t>
  </si>
  <si>
    <t>19 Jun 25__MOS Cat Exterior Nippon Weatherbond Creater Black.pdf</t>
  </si>
  <si>
    <t>MOS Cat Exterior Nippon Weatherbond Gray Suit</t>
  </si>
  <si>
    <t>19 Jun 25__MOS Cat Exterior Gray Suit.pdf</t>
  </si>
  <si>
    <t>MOS Cat Exterior Nippon Weatherbond Reticent White</t>
  </si>
  <si>
    <t>19 Jun 25__MOS Cat Exterior Nippon Weatherbond Reticent White.pdf</t>
  </si>
  <si>
    <t>MOS Cat Interior Nippon Spot Less Creater Black</t>
  </si>
  <si>
    <t>19 Jun 25__MOS Cat Interior Nippon Spot Less Creater Black.pdf</t>
  </si>
  <si>
    <t>MOS Cat Interior Nippon Spot Less Gray Suit</t>
  </si>
  <si>
    <t>19 Jun 25__MOS Cat Interior Nippon Spot Less Gray Suit.pdf</t>
  </si>
  <si>
    <t>MOS Cat Interior Nippon Spot Less Reticent White</t>
  </si>
  <si>
    <t>19 Jun 25__MOS Cat Interior Nippon Spot Less Reticent White.pdf</t>
  </si>
  <si>
    <t>MOS Cat Plafond</t>
  </si>
  <si>
    <t>19 Jun 25__MOS Cat Plafond.pdf</t>
  </si>
  <si>
    <t>MOS Cat Wall Sealer 5100</t>
  </si>
  <si>
    <t>19 Jun 25__MOS Cat Wall Sealer 5100.pdf</t>
  </si>
  <si>
    <t>MOS Cat Wall Sealer 5400</t>
  </si>
  <si>
    <t>19 Jun 25__MOS Cat Wall Sealer 5400.pdf</t>
  </si>
  <si>
    <t>MOS Closet Difable</t>
  </si>
  <si>
    <t>19 Jun 25__MOS Closet Difable.pdf</t>
  </si>
  <si>
    <t>MOS Closet Duduk</t>
  </si>
  <si>
    <t>19 Jun 25__MOS Closet Duduk.pdf</t>
  </si>
  <si>
    <t>MOS Closet Jongkok</t>
  </si>
  <si>
    <t>19 Jun 25__MOS Closet Jongkok.pdf</t>
  </si>
  <si>
    <t>MOS Ducting BJLS</t>
  </si>
  <si>
    <t>19 Jun 25__MOS Ducting BJLS.pdf</t>
  </si>
  <si>
    <t>MOS Engsel ESS DL 4x3x2 mm 2BB Matt Black</t>
  </si>
  <si>
    <t>19 Jun 25__MOS Engsel ESS DL 4x3x2 mm 2BB Matt Black.pdf</t>
  </si>
  <si>
    <t>MOS Floor Drain</t>
  </si>
  <si>
    <t>19 Jun 25__MOS Floor Drain.pdf</t>
  </si>
  <si>
    <t>MOS Handle LHTR-DKS-019-Matt Black</t>
  </si>
  <si>
    <t>19 Jun 25__MOS Handle LHTR-DKS-019-Matt Black.pdf</t>
  </si>
  <si>
    <t>MOS Horn Speaker TOA ZP-2240</t>
  </si>
  <si>
    <t>19 Jun 25__MOS Horn Speaker.pdf</t>
  </si>
  <si>
    <t>MOS Jet Washer</t>
  </si>
  <si>
    <t>19 Jun 25__MOS Jet Washer.pdf</t>
  </si>
  <si>
    <t>MOS Kabel NYM 3 x 2.5, NYM 3x4</t>
  </si>
  <si>
    <t>19 Jun 25__MOS Kabel Elektrikal.pdf</t>
  </si>
  <si>
    <t>MOS Kabel Tray</t>
  </si>
  <si>
    <t>19 Jun 25__MOS Kabel Tray.pdf</t>
  </si>
  <si>
    <t>MOS Kitchen Sink</t>
  </si>
  <si>
    <t>19 Jun 25__MOS Kitchen sink.pdf</t>
  </si>
  <si>
    <t>MOS Kran Air Closet Jongkok</t>
  </si>
  <si>
    <t>19 Jun 25__MOS Kran Air closet jongkok.pdf</t>
  </si>
  <si>
    <t>MOS Kran Kitchen Sink</t>
  </si>
  <si>
    <t>19 Jun 25__MOS Kran Kitchen Sink.pdf</t>
  </si>
  <si>
    <t>MOS Kran Wastafel</t>
  </si>
  <si>
    <t>19 Jun 25__MOS Kran Wastafel Stand Alone.pdf</t>
  </si>
  <si>
    <t>MOS Kran Wudhu</t>
  </si>
  <si>
    <t>19 Jun 25__MOS Kran Wudhu.pdf</t>
  </si>
  <si>
    <t>MOS Kunci CYL DC 60 mm Matt Black</t>
  </si>
  <si>
    <t>19 Jun 25__MOS Kunci CYL DC 60 mm Matt Black.pdf</t>
  </si>
  <si>
    <t>MOS Lampu 12 Watt</t>
  </si>
  <si>
    <t>19 Jun 25__MOS Lampu Downlight 12 watt.pdf</t>
  </si>
  <si>
    <t>MOS Lampu 9 Watt</t>
  </si>
  <si>
    <t>19 Jun 25__MOS Lampu Downlight 9 watt.pdf</t>
  </si>
  <si>
    <t>MOS Lampu LED Strip</t>
  </si>
  <si>
    <t>19 Jun 25__MOS Lampu Led Strip.pdf</t>
  </si>
  <si>
    <t>MOS Lampu  9 Watt</t>
  </si>
  <si>
    <t>19 Jun 25__MOS Lampu Downlight12 watt.pdf</t>
  </si>
  <si>
    <t>MOS Lock Chase MTS-L-DKS-DL-8585-IL-Matt Black</t>
  </si>
  <si>
    <t>19 Jun 25__MOS Lock Chase MTS-L-DKS-DL-8585-IL-Matt Black.pdf</t>
  </si>
  <si>
    <t>MOS Partisi Urinoir</t>
  </si>
  <si>
    <t>19 Jun 25__MOS Partisi Urinoir.pdf</t>
  </si>
  <si>
    <t>MOS Pipa Conduit</t>
  </si>
  <si>
    <t>19 Jun 25__MOS Pipa Conduit.pdf</t>
  </si>
  <si>
    <t>MOS Saklar Ganda</t>
  </si>
  <si>
    <t>19 Jun 25__MOS Saklar Ganda.pdf</t>
  </si>
  <si>
    <t>MOS Saklar Tunggal</t>
  </si>
  <si>
    <t>19 Jun 25__MOS Saklar Tunggal.pdf</t>
  </si>
  <si>
    <t>MOS Shoap Dispenser</t>
  </si>
  <si>
    <t>19 Jun 25__MOS Shoap Dispenser.pdf</t>
  </si>
  <si>
    <t>MOS Sika Top - 107 Seal ID</t>
  </si>
  <si>
    <t>19 Jun 25__MOS Sika Top - 107 Seal ID.pdf</t>
  </si>
  <si>
    <t>MOS Stop Kontak</t>
  </si>
  <si>
    <t>19 Jun 25__MOS Stop Kontak.pdf</t>
  </si>
  <si>
    <t>MOS Tissue Holder</t>
  </si>
  <si>
    <t>19 Jun 25__MOS Tissue Holder.pdf</t>
  </si>
  <si>
    <t>MOS Urinoir</t>
  </si>
  <si>
    <t>19 Jun 25__MOS Urinoir.pdf</t>
  </si>
  <si>
    <t>MOS Wastafel Dinding</t>
  </si>
  <si>
    <t>19 Jun 25__MOS Wastafel dinding.pdf</t>
  </si>
  <si>
    <t>MOS Wastafel Stand Alone</t>
  </si>
  <si>
    <t>19 Jun 25__MOS Wastafel Stand Alone.pdf</t>
  </si>
  <si>
    <t>MOS Makara Masjid</t>
  </si>
  <si>
    <t>25 Jun 25__MOS Makara masjid.pdf</t>
  </si>
  <si>
    <t>MOS Exhaust Fan</t>
  </si>
  <si>
    <t>25 Jun 25__MOS Exhaust Fan.pdf</t>
  </si>
  <si>
    <t>MOS Panel dan Mesin STP</t>
  </si>
  <si>
    <t>25 Jun 25__MOS Panel&amp;Pompa STP.pdf</t>
  </si>
  <si>
    <t>MOS AC Split</t>
  </si>
  <si>
    <t>25 Jun 25__MOS AC Split.pdf</t>
  </si>
  <si>
    <t>MOS Rolling Door</t>
  </si>
  <si>
    <t>11 Jul 25__MOS Rolling Door.pdf</t>
  </si>
  <si>
    <t>MOS AC Sisi Kiri</t>
  </si>
  <si>
    <t>11 Jul 25__MOS AC Sisi Kiri.pdf</t>
  </si>
  <si>
    <t>MOS Grease Trap</t>
  </si>
  <si>
    <t>11 Jul 25__MOS Grease Trap.pdf</t>
  </si>
  <si>
    <t>MOS Lampu Highbay</t>
  </si>
  <si>
    <t>11 Jul 25__MOS Lampu Highbay.pdf</t>
  </si>
  <si>
    <t>MOS Panel Bangunan</t>
  </si>
  <si>
    <t>11 Jul 25__MOS Panel Bangunan.pdf</t>
  </si>
  <si>
    <t>MONITORING PENGUJIAN</t>
  </si>
  <si>
    <t>Pengujian</t>
  </si>
  <si>
    <t>Test Penetrant Pipa Hydrant RA Sisi Kanan</t>
  </si>
  <si>
    <t>25 Feb 25__ BA Test Penetrant Pipa Hydrant RA B.pdf</t>
  </si>
  <si>
    <t>27 Feb 25__BA Test Penetrant Pipa Hydrant.pdf</t>
  </si>
  <si>
    <t>Kunjungan Pabrikasi Baja Profil</t>
  </si>
  <si>
    <t>28 Feb 25__ BA Kunjungan Pabrikasi Baja Profil.pdf</t>
  </si>
  <si>
    <t>02 Mar 25__ BA Test Penetrant Pipa Hydrant sisi Kanan.pdf</t>
  </si>
  <si>
    <t>Test Penetrant Pipa Hydrant RA Sisi Kiri</t>
  </si>
  <si>
    <t>02 Mar 25__BA Test Penetrant Pipa Hydrant sisi Kiri.pdf</t>
  </si>
  <si>
    <t>07 Mar 23__ BA Test Penetrant Pipa Hydrant sisi Kanan.pdf</t>
  </si>
  <si>
    <t>13 Mar 25__BA Test Penetrant Pipa Hydrant sisi Kanan.pdf</t>
  </si>
  <si>
    <t>Test Penetrant Baja WF</t>
  </si>
  <si>
    <t>17 Mar 25__BA Test Penetrant Baja WF.pdf</t>
  </si>
  <si>
    <t>18 Mar 25__BA Test Penetrant Pipa Hydrant sisi Kanan.pdf</t>
  </si>
  <si>
    <t>20 Mar 25__BA Test Penetrant Pipa Hydrant sisi Kanan.pdf</t>
  </si>
  <si>
    <t>10 Aprl 25__BA Test Penetrant Pipa Hydrant sisi Kanan.pdf</t>
  </si>
  <si>
    <t>10 Aprl 25__BA Test Penetrant Pipa Hydrant sisi Kiri.pdf</t>
  </si>
  <si>
    <t>Test Gelontor Toilet Sisi Kiri</t>
  </si>
  <si>
    <t>11 Aprl 25__BA Test Gelontor Toilet Sisi Kiri.pdf</t>
  </si>
  <si>
    <t>Test Gelontor Kantor Pengelola Sisi Kanan</t>
  </si>
  <si>
    <t>14 Aprl 25__BA Test Glontor Kantor Pengelola.pdf</t>
  </si>
  <si>
    <t>Test Penetrant Pipa Hydrant RA Sisi Kanan Kiri</t>
  </si>
  <si>
    <t>14 Aprl 25__BA Test Penetrant Pipa Hydrant sisi RL.pdf</t>
  </si>
  <si>
    <t>Test Gelontor Foodcourt Sisi Kanan</t>
  </si>
  <si>
    <t>23 Aprl 25__BA Test Glontor Foodcourt Sisi Kanan.pdf</t>
  </si>
  <si>
    <t>Test Torsi Foodcourt Sisi Kanan</t>
  </si>
  <si>
    <t>23 Aprl 25__BA Test Torsi Foodcourt Sisi Kanan.pdf</t>
  </si>
  <si>
    <t>Test Torsi Masjid Sisi Kanan</t>
  </si>
  <si>
    <t>23 Aprl 25__BA Test Torsi Masjid Sisi Kanan.pdf</t>
  </si>
  <si>
    <t>Test Torsi Restaurant Sisi Kanan</t>
  </si>
  <si>
    <t>23 Aprl 25__BA Test Torsi Restoran Sisi Kanan.pdf</t>
  </si>
  <si>
    <t>Test Gelontor Masjid Sisi Kiri</t>
  </si>
  <si>
    <t>26 Aprl 25__BA Test Gelontor Masjid Sisi Kiri.pdf</t>
  </si>
  <si>
    <t>Test Gelontor Restaurant Sisi Kiri</t>
  </si>
  <si>
    <t>26 Aprl 25__BA Test Gelontor Restoran Sisi Kiri.pdf</t>
  </si>
  <si>
    <t>Test Megger Toilet, Masjid, Klinik, Kantor Pengelola</t>
  </si>
  <si>
    <t>07 Mei 25__BA Test Megger Toilet, Masjid, K Pengelola.pdf</t>
  </si>
  <si>
    <t>Test Megger Restaurant  Sisi Kanan</t>
  </si>
  <si>
    <t>20 Mei 25__BA Test Megger Restoran.pdf</t>
  </si>
  <si>
    <t>Pressure Test Pipa PPR Masjid Sisi Kanan</t>
  </si>
  <si>
    <t>20 Mei 25__BA Pressure Test Pipa PPR Masjid.pdf</t>
  </si>
  <si>
    <t>Test Gelontor Foodcourt Sisi Kiri</t>
  </si>
  <si>
    <t>21 Mei 25__BA Test Glontor Foodcourt.pdf</t>
  </si>
  <si>
    <t>Test Torsi Highmas Sisi Kanan</t>
  </si>
  <si>
    <t>22 Mei 25__BA Test Torsi Highmas.pdf</t>
  </si>
  <si>
    <t>Pressure Test Pipa PPR Kantor Pengelola Sisi Kanan</t>
  </si>
  <si>
    <t>23 Mei 25__BA Pressure Test Pipa PPR Kantor Pengelola.pdf</t>
  </si>
  <si>
    <t>23 Mei 25__BA Pressure Test Pipa PPR Masjid.pdf</t>
  </si>
  <si>
    <t>Pengambilan Sampel Air</t>
  </si>
  <si>
    <t>9 Jun 25__Pengambilan Sampel Air.pdf</t>
  </si>
  <si>
    <t>Test Megger Foodcourt  Sisi Kanan</t>
  </si>
  <si>
    <t>Test Megger Bengkel, Masjid, Toilet, Kantin, Kantor Pengelola Sisi Kiri</t>
  </si>
  <si>
    <t>18 Jun 25__Test Megger Bengkel, Masjid, Toilet, Kantin, Kantor Pengelola Sisi Kiri.pdf</t>
  </si>
  <si>
    <t>Testing &amp; Commisioning RA Sisi Kiri</t>
  </si>
  <si>
    <t>Testing &amp; Commisioning RA Sisi Kiri.pdf</t>
  </si>
  <si>
    <t>Testing &amp; Commisioning RA Sisi Kanan</t>
  </si>
  <si>
    <t>UJS, Perintis</t>
  </si>
  <si>
    <t>Testing &amp; Commisioning RA Sisi Kanan.pdf</t>
  </si>
  <si>
    <t>MONITORING TKDN</t>
  </si>
  <si>
    <t>TKDN Kusen Alexindo</t>
  </si>
  <si>
    <t>TKDN Besi Asia Steel</t>
  </si>
  <si>
    <t>TKDN CCTV</t>
  </si>
  <si>
    <t>TKDN Cermin</t>
  </si>
  <si>
    <t>TKDN Panel FRP</t>
  </si>
  <si>
    <t>TKDN Genset</t>
  </si>
  <si>
    <t>TKDN Glass Block</t>
  </si>
  <si>
    <t>TKDN Glass Block.pdf</t>
  </si>
  <si>
    <t>TKDN Kabel Feeder</t>
  </si>
  <si>
    <t>TKDN Kabel Ladder</t>
  </si>
  <si>
    <t>TKDN Kabel Ladder.pdf</t>
  </si>
  <si>
    <t>TKDN Kabel NYM Bangunan</t>
  </si>
  <si>
    <t>TKDN Kabel NYM.pdf</t>
  </si>
  <si>
    <t>TKDN Kabel PJU</t>
  </si>
  <si>
    <t>TKDN Kabel Tray</t>
  </si>
  <si>
    <t>TKDN Keramik</t>
  </si>
  <si>
    <t>TKDN Lampu Highmash</t>
  </si>
  <si>
    <t>TKDN Lampu Highmash.pdf</t>
  </si>
  <si>
    <t>TKDN Lampu PJU</t>
  </si>
  <si>
    <t>TKDN Lampu PJU.pdf</t>
  </si>
  <si>
    <t>TKDN Lautan Steel</t>
  </si>
  <si>
    <t>TKDN LS.pdf</t>
  </si>
  <si>
    <t>TKDN Pipa BSP SCH 40</t>
  </si>
  <si>
    <t>TKDN Pipa GIP</t>
  </si>
  <si>
    <t>TKDN Pipa PVC</t>
  </si>
  <si>
    <t>TKDN PN 10 Yuta</t>
  </si>
  <si>
    <t>TKDN PN 16 Yuta</t>
  </si>
  <si>
    <t>TKDN Pompa Hydrant</t>
  </si>
  <si>
    <t>TKDN Sanitary</t>
  </si>
  <si>
    <t>TKDN STP</t>
  </si>
  <si>
    <t>TKDN Tiang PJU</t>
  </si>
  <si>
    <t>TKDN Tiang PJU.pdf</t>
  </si>
  <si>
    <t>TKDN Tiang Highmash</t>
  </si>
  <si>
    <t>TKDN Tiang Highmash.pdf</t>
  </si>
  <si>
    <t>TKDN TOA</t>
  </si>
  <si>
    <t>TKDN Trafo</t>
  </si>
  <si>
    <t>TKDN Wajra</t>
  </si>
  <si>
    <t>TKDN Wajra.pdf</t>
  </si>
  <si>
    <t>MONITORING GARANSI PRODUK</t>
  </si>
  <si>
    <t>Surat Keterangan Garansi  Low Voltage 220V-400VAC50HZ- Jalur A</t>
  </si>
  <si>
    <t>Surat Keterangan Garansi  Low Voltage 220V-400VAC50HZ- Jalur A.pdf</t>
  </si>
  <si>
    <t>Surat Keterangan Garansi  Low Voltage 220V-400VAC50HZ- Jalur B</t>
  </si>
  <si>
    <t>Surat Keterangan Garansi  Low Voltage 220V-400VAC50HZ- Jalur B.pdf</t>
  </si>
  <si>
    <t>Surat Keterangan Garansi CCTV</t>
  </si>
  <si>
    <t>Surat Keterangan Garansi CCTV.pdf</t>
  </si>
  <si>
    <t>Surat Keterangan Garansi Gate Valve</t>
  </si>
  <si>
    <t>Surat Keterangan Garansi Gate Valve.pdf</t>
  </si>
  <si>
    <t>Surat Keterangan Garansi Genset</t>
  </si>
  <si>
    <t>Surat Keterangan Garansi Genset.pdf</t>
  </si>
  <si>
    <t>Surat Keterangan Garansi Kabel Metal</t>
  </si>
  <si>
    <t>Surat Keterangan Garansi Kabel Metal.pdf</t>
  </si>
  <si>
    <t>Surat Keterangan Garansi Lampu Highmash</t>
  </si>
  <si>
    <t>Surat Keterangan Garansi Lampu Highmash.pdf</t>
  </si>
  <si>
    <t>Surat Keterangan Garansi Lampu PJU</t>
  </si>
  <si>
    <t>Surat Keterangan Garansi Lampu PJU.pdf</t>
  </si>
  <si>
    <t>Surat Keterangan Garansi Panel Switchgear IM &amp; QM 20KV Jalur A</t>
  </si>
  <si>
    <t>Surat Keterangan Garansi Panel Switchgear IM &amp; QM 20KV Jalur A.pdf</t>
  </si>
  <si>
    <t>Surat Keterangan Garansi Panel Switchgear IM &amp; QM 20KV Jalur B</t>
  </si>
  <si>
    <t>Surat Keterangan Garansi Panel Switchgear IM &amp; QM 20KV Jalur B.pdf</t>
  </si>
  <si>
    <t>Surat Keterangan Garansi Penangkal Petir</t>
  </si>
  <si>
    <t>Surat Keterangan Garansi Penangkal Petir.pdf</t>
  </si>
  <si>
    <t>Surat Keterangan Garansi Sound System TOA</t>
  </si>
  <si>
    <t>Surat Keterangan Garansi Sound System TOA.pdf</t>
  </si>
  <si>
    <t>Surat Keterangan Garansi Trafo</t>
  </si>
  <si>
    <t>Surat Keterangan Garansi Trafo.pdf</t>
  </si>
  <si>
    <t>Surat Keterangan Garansi Unit Madella</t>
  </si>
  <si>
    <t>Surat Keterangan Garansi Unit Madella.pdf</t>
  </si>
  <si>
    <t>MONITORING MANUAL BOOK</t>
  </si>
  <si>
    <t>Manual Book IM 500mm Cubicle</t>
  </si>
  <si>
    <t>Manual Book IM 500mm Cubicle.pdf</t>
  </si>
  <si>
    <t>Manual Book IP-PM-QM Cubicle</t>
  </si>
  <si>
    <t>Manual Book IP-PM-QM Cubicle.pdf</t>
  </si>
  <si>
    <t>Manual Book Lampu Downlight DL262</t>
  </si>
  <si>
    <t>Manual Book Lampu Downlight DL262.pdf</t>
  </si>
  <si>
    <t>Manual Book Lampu Downlight DN027C</t>
  </si>
  <si>
    <t>Manual Book Lampu Outbow DN027C.pdf</t>
  </si>
  <si>
    <t>Manual Book Penangkal Petir</t>
  </si>
  <si>
    <t>Manual Book Penangkal Petir.pdf</t>
  </si>
  <si>
    <t>Manual Book Lampu Highbay</t>
  </si>
  <si>
    <t>Manual Book Lampu Highbay.pdf</t>
  </si>
  <si>
    <t>Manual Book Grounding Rood</t>
  </si>
  <si>
    <t>Manual Book Grounding Rood.pdf</t>
  </si>
  <si>
    <t>Manual Book Lampu PJU</t>
  </si>
  <si>
    <t>Manual Book Lampu PJU.pdf</t>
  </si>
  <si>
    <t>Manual Book Monitor LG</t>
  </si>
  <si>
    <t>Manual Book Monitor LG.pdf</t>
  </si>
  <si>
    <t>Manual Book MVMDP</t>
  </si>
  <si>
    <t>Manual Book MVMDP.pdf</t>
  </si>
  <si>
    <t>Manual Book Sound System Kawasan</t>
  </si>
  <si>
    <t>Manual Book Sound System Kawasan.pdf</t>
  </si>
  <si>
    <t>Manual Book CCTV</t>
  </si>
  <si>
    <t>Manual Book CCTV.pdf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</si>
</sst>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-mmm-yyyy"/>
  </numFmts>
  <fonts count="40">
    <font>
      <sz val="10.0"/>
      <color rgb="FF000000"/>
      <name val="Arial"/>
      <scheme val="minor"/>
    </font>
    <font>
      <b/>
      <sz val="14.0"/>
      <color theme="1"/>
      <name val="Times New Roman"/>
    </font>
    <font>
      <color theme="1"/>
      <name val="Arial"/>
      <scheme val="minor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b/>
      <sz val="9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rgb="FF741B47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rgb="FF000000"/>
      <name val="Calibri"/>
    </font>
    <font>
      <sz val="11.0"/>
      <color theme="1"/>
      <name val="Calibri"/>
    </font>
    <font>
      <u/>
      <sz val="11.0"/>
      <color theme="1"/>
      <name val="Times New Roman"/>
    </font>
    <font>
      <b/>
      <sz val="11.0"/>
      <color rgb="FF000000"/>
      <name val="&quot;Times New Roman&quot;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rgb="FF000000"/>
      <name val="&quot;Times New Roman&quot;"/>
    </font>
    <font>
      <u/>
      <sz val="11.0"/>
      <color theme="1"/>
      <name val="Times New Roman"/>
    </font>
    <font>
      <sz val="13.0"/>
      <color rgb="FF000000"/>
      <name val="Calibri"/>
    </font>
    <font>
      <u/>
      <sz val="11.0"/>
      <color theme="1"/>
      <name val="Times New Roman"/>
    </font>
    <font>
      <b/>
      <color theme="1"/>
      <name val="Arial"/>
      <scheme val="minor"/>
    </font>
    <font>
      <b/>
      <sz val="13.0"/>
      <color theme="1"/>
      <name val="Times New Roman"/>
    </font>
    <font>
      <sz val="11.0"/>
      <color rgb="FF93C47D"/>
      <name val="Times New Roman"/>
    </font>
    <font>
      <u/>
      <sz val="11.0"/>
      <color rgb="FF0000FF"/>
      <name val="Times New Roman"/>
    </font>
    <font>
      <b/>
      <sz val="11.0"/>
      <color rgb="FF000000"/>
      <name val="Times New Roman"/>
    </font>
    <font>
      <sz val="11.0"/>
      <color theme="0"/>
      <name val="Times New Roman"/>
    </font>
    <font>
      <b/>
      <color rgb="FF93C47D"/>
      <name val="Arial"/>
      <scheme val="minor"/>
    </font>
    <font>
      <color rgb="FF93C47D"/>
      <name val="Arial"/>
      <scheme val="minor"/>
    </font>
    <font>
      <sz val="12.0"/>
      <color theme="1"/>
      <name val="Times New Roman"/>
    </font>
    <font>
      <sz val="12.0"/>
      <color theme="1"/>
      <name val="Arial"/>
      <scheme val="minor"/>
    </font>
    <font>
      <u/>
      <sz val="11.0"/>
      <color theme="1"/>
      <name val="Times New Roman"/>
    </font>
    <font>
      <u/>
      <sz val="11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ont="1">
      <alignment horizontal="center" vertical="center"/>
    </xf>
    <xf borderId="3" fillId="0" fontId="4" numFmtId="0" xfId="0" applyBorder="1" applyFont="1"/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6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readingOrder="0" shrinkToFit="0" vertical="center" wrapText="0"/>
    </xf>
    <xf borderId="2" fillId="0" fontId="7" numFmtId="164" xfId="0" applyAlignment="1" applyBorder="1" applyFont="1" applyNumberFormat="1">
      <alignment horizontal="center" readingOrder="0" shrinkToFit="0" vertical="center" wrapText="1"/>
    </xf>
    <xf borderId="10" fillId="0" fontId="7" numFmtId="0" xfId="0" applyAlignment="1" applyBorder="1" applyFont="1">
      <alignment readingOrder="0" shrinkToFit="0" vertical="center" wrapText="0"/>
    </xf>
    <xf borderId="11" fillId="0" fontId="7" numFmtId="0" xfId="0" applyAlignment="1" applyBorder="1" applyFont="1">
      <alignment readingOrder="0" shrinkToFit="0" vertical="center" wrapText="1"/>
    </xf>
    <xf borderId="3" fillId="2" fontId="7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shrinkToFit="0" vertical="center" wrapText="1"/>
    </xf>
    <xf borderId="9" fillId="3" fontId="8" numFmtId="164" xfId="0" applyAlignment="1" applyBorder="1" applyFont="1" applyNumberFormat="1">
      <alignment horizontal="center" readingOrder="0" shrinkToFit="0" vertical="center" wrapText="1"/>
    </xf>
    <xf borderId="9" fillId="3" fontId="9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left" readingOrder="0" shrinkToFit="0" vertical="center" wrapText="1"/>
    </xf>
    <xf quotePrefix="1" borderId="11" fillId="0" fontId="7" numFmtId="0" xfId="0" applyAlignment="1" applyBorder="1" applyFont="1">
      <alignment horizontal="left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readingOrder="0" shrinkToFit="0" vertical="center" wrapText="1"/>
    </xf>
    <xf borderId="9" fillId="0" fontId="7" numFmtId="164" xfId="0" applyAlignment="1" applyBorder="1" applyFont="1" applyNumberFormat="1">
      <alignment horizontal="center" readingOrder="0" shrinkToFit="0" vertical="center" wrapText="1"/>
    </xf>
    <xf borderId="11" fillId="2" fontId="7" numFmtId="0" xfId="0" applyAlignment="1" applyBorder="1" applyFont="1">
      <alignment horizontal="left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readingOrder="0" shrinkToFit="0" vertical="center" wrapText="0"/>
    </xf>
    <xf borderId="3" fillId="0" fontId="5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1" fillId="3" fontId="8" numFmtId="164" xfId="0" applyAlignment="1" applyBorder="1" applyFont="1" applyNumberFormat="1">
      <alignment horizontal="center" readingOrder="0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2" fillId="0" fontId="4" numFmtId="0" xfId="0" applyBorder="1" applyFont="1"/>
    <xf borderId="7" fillId="0" fontId="5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readingOrder="0" shrinkToFit="0" vertical="center" wrapText="1"/>
    </xf>
    <xf borderId="12" fillId="0" fontId="7" numFmtId="0" xfId="0" applyAlignment="1" applyBorder="1" applyFont="1">
      <alignment readingOrder="0" shrinkToFit="0" vertical="center" wrapText="0"/>
    </xf>
    <xf borderId="4" fillId="0" fontId="7" numFmtId="0" xfId="0" applyAlignment="1" applyBorder="1" applyFont="1">
      <alignment readingOrder="0" shrinkToFit="0" vertical="center" wrapText="0"/>
    </xf>
    <xf borderId="7" fillId="2" fontId="7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0"/>
    </xf>
    <xf borderId="3" fillId="2" fontId="5" numFmtId="0" xfId="0" applyAlignment="1" applyBorder="1" applyFont="1">
      <alignment horizontal="left" readingOrder="0" shrinkToFit="0" vertical="center" wrapText="1"/>
    </xf>
    <xf borderId="8" fillId="2" fontId="7" numFmtId="0" xfId="0" applyAlignment="1" applyBorder="1" applyFont="1">
      <alignment horizontal="left" readingOrder="0" shrinkToFit="0" vertical="center" wrapText="1"/>
    </xf>
    <xf borderId="7" fillId="2" fontId="7" numFmtId="164" xfId="0" applyAlignment="1" applyBorder="1" applyFont="1" applyNumberFormat="1">
      <alignment horizontal="center" readingOrder="0" shrinkToFit="0" vertical="center" wrapText="0"/>
    </xf>
    <xf borderId="7" fillId="2" fontId="14" numFmtId="0" xfId="0" applyAlignment="1" applyBorder="1" applyFont="1">
      <alignment horizontal="left" readingOrder="0" shrinkToFit="0" vertical="center" wrapText="0"/>
    </xf>
    <xf quotePrefix="1" borderId="1" fillId="0" fontId="7" numFmtId="0" xfId="0" applyAlignment="1" applyBorder="1" applyFont="1">
      <alignment horizontal="left" readingOrder="0" shrinkToFit="0" vertical="center" wrapText="1"/>
    </xf>
    <xf borderId="12" fillId="2" fontId="7" numFmtId="164" xfId="0" applyAlignment="1" applyBorder="1" applyFont="1" applyNumberFormat="1">
      <alignment horizontal="center" readingOrder="0" shrinkToFit="0" vertical="center" wrapText="0"/>
    </xf>
    <xf borderId="8" fillId="0" fontId="7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7" numFmtId="165" xfId="0" applyAlignment="1" applyBorder="1" applyFont="1" applyNumberFormat="1">
      <alignment horizontal="center" readingOrder="0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0" fillId="2" fontId="7" numFmtId="0" xfId="0" applyAlignment="1" applyFont="1">
      <alignment horizontal="left" readingOrder="0" shrinkToFit="0" vertical="center" wrapText="1"/>
    </xf>
    <xf borderId="1" fillId="2" fontId="7" numFmtId="0" xfId="0" applyAlignment="1" applyBorder="1" applyFont="1">
      <alignment horizontal="left" readingOrder="0" shrinkToFit="0" vertical="center" wrapText="1"/>
    </xf>
    <xf borderId="1" fillId="2" fontId="15" numFmtId="0" xfId="0" applyAlignment="1" applyBorder="1" applyFont="1">
      <alignment horizontal="left" readingOrder="0" shrinkToFit="0" vertical="center" wrapText="1"/>
    </xf>
    <xf borderId="3" fillId="0" fontId="16" numFmtId="0" xfId="0" applyAlignment="1" applyBorder="1" applyFont="1">
      <alignment horizontal="left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0" fillId="0" fontId="7" numFmtId="164" xfId="0" applyAlignment="1" applyBorder="1" applyFont="1" applyNumberFormat="1">
      <alignment horizontal="center" readingOrder="0" shrinkToFit="0" vertical="center" wrapText="1"/>
    </xf>
    <xf borderId="13" fillId="0" fontId="7" numFmtId="0" xfId="0" applyAlignment="1" applyBorder="1" applyFont="1">
      <alignment horizontal="left" readingOrder="0" shrinkToFit="0" vertical="center" wrapText="1"/>
    </xf>
    <xf borderId="9" fillId="0" fontId="7" numFmtId="0" xfId="0" applyAlignment="1" applyBorder="1" applyFont="1">
      <alignment readingOrder="0" shrinkToFit="0" vertical="center" wrapText="0"/>
    </xf>
    <xf borderId="11" fillId="0" fontId="7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readingOrder="0" shrinkToFit="0" vertical="center" wrapText="0"/>
    </xf>
    <xf borderId="6" fillId="0" fontId="7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left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shrinkToFit="0" vertical="center" wrapText="1"/>
    </xf>
    <xf borderId="11" fillId="0" fontId="7" numFmtId="164" xfId="0" applyAlignment="1" applyBorder="1" applyFont="1" applyNumberFormat="1">
      <alignment horizontal="center" shrinkToFit="0" vertical="center" wrapText="1"/>
    </xf>
    <xf borderId="6" fillId="2" fontId="7" numFmtId="0" xfId="0" applyAlignment="1" applyBorder="1" applyFont="1">
      <alignment horizontal="left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2" fillId="2" fontId="7" numFmtId="0" xfId="0" applyAlignment="1" applyBorder="1" applyFont="1">
      <alignment horizontal="center" readingOrder="0" shrinkToFit="0" vertical="center" wrapText="0"/>
    </xf>
    <xf borderId="2" fillId="2" fontId="7" numFmtId="164" xfId="0" applyAlignment="1" applyBorder="1" applyFont="1" applyNumberFormat="1">
      <alignment horizontal="center" readingOrder="0" shrinkToFit="0" vertical="center" wrapText="0"/>
    </xf>
    <xf borderId="2" fillId="2" fontId="5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quotePrefix="1" borderId="3" fillId="0" fontId="7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left" readingOrder="0" shrinkToFit="0" vertical="center" wrapText="0"/>
    </xf>
    <xf borderId="7" fillId="0" fontId="7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10" fillId="2" fontId="7" numFmtId="0" xfId="0" applyAlignment="1" applyBorder="1" applyFont="1">
      <alignment horizontal="left" readingOrder="0" shrinkToFit="0" vertical="center" wrapText="0"/>
    </xf>
    <xf borderId="11" fillId="0" fontId="5" numFmtId="0" xfId="0" applyAlignment="1" applyBorder="1" applyFont="1">
      <alignment horizontal="left" readingOrder="0" shrinkToFit="0" vertical="center" wrapText="1"/>
    </xf>
    <xf borderId="6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10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readingOrder="0" shrinkToFit="0" vertical="center" wrapText="0"/>
    </xf>
    <xf borderId="15" fillId="3" fontId="7" numFmtId="0" xfId="0" applyAlignment="1" applyBorder="1" applyFont="1">
      <alignment horizontal="left" readingOrder="0" shrinkToFit="0" vertical="center" wrapText="1"/>
    </xf>
    <xf borderId="9" fillId="0" fontId="7" numFmtId="0" xfId="0" applyAlignment="1" applyBorder="1" applyFont="1">
      <alignment horizontal="left" readingOrder="0" shrinkToFit="0" vertical="center" wrapText="1"/>
    </xf>
    <xf borderId="11" fillId="0" fontId="7" numFmtId="0" xfId="0" applyAlignment="1" applyBorder="1" applyFont="1">
      <alignment shrinkToFit="0" vertical="center" wrapText="1"/>
    </xf>
    <xf borderId="9" fillId="0" fontId="7" numFmtId="164" xfId="0" applyAlignment="1" applyBorder="1" applyFont="1" applyNumberFormat="1">
      <alignment horizontal="center" readingOrder="0" shrinkToFit="0" vertical="center" wrapText="1"/>
    </xf>
    <xf borderId="12" fillId="3" fontId="7" numFmtId="0" xfId="0" applyAlignment="1" applyBorder="1" applyFont="1">
      <alignment horizontal="left" readingOrder="0" shrinkToFit="0" vertical="center" wrapText="0"/>
    </xf>
    <xf borderId="12" fillId="3" fontId="7" numFmtId="0" xfId="0" applyAlignment="1" applyBorder="1" applyFont="1">
      <alignment readingOrder="0" shrinkToFit="0" vertical="center" wrapText="0"/>
    </xf>
    <xf borderId="3" fillId="3" fontId="7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15" fillId="0" fontId="7" numFmtId="164" xfId="0" applyAlignment="1" applyBorder="1" applyFont="1" applyNumberFormat="1">
      <alignment horizontal="center" readingOrder="0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left" shrinkToFit="0" vertical="center" wrapText="1"/>
    </xf>
    <xf borderId="3" fillId="0" fontId="7" numFmtId="164" xfId="0" applyAlignment="1" applyBorder="1" applyFont="1" applyNumberFormat="1">
      <alignment horizontal="center" readingOrder="0" shrinkToFit="0" vertical="center" wrapText="1"/>
    </xf>
    <xf borderId="7" fillId="0" fontId="5" numFmtId="0" xfId="0" applyAlignment="1" applyBorder="1" applyFont="1">
      <alignment shrinkToFit="0" vertical="center" wrapText="0"/>
    </xf>
    <xf borderId="8" fillId="0" fontId="17" numFmtId="0" xfId="0" applyAlignment="1" applyBorder="1" applyFont="1">
      <alignment readingOrder="0" shrinkToFit="0" wrapText="0"/>
    </xf>
    <xf borderId="7" fillId="0" fontId="7" numFmtId="0" xfId="0" applyAlignment="1" applyBorder="1" applyFont="1">
      <alignment readingOrder="0" shrinkToFit="0" vertical="center" wrapText="0"/>
    </xf>
    <xf borderId="12" fillId="2" fontId="7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shrinkToFit="0" vertical="center" wrapText="0"/>
    </xf>
    <xf borderId="6" fillId="0" fontId="18" numFmtId="0" xfId="0" applyAlignment="1" applyBorder="1" applyFont="1">
      <alignment readingOrder="0"/>
    </xf>
    <xf borderId="4" fillId="2" fontId="7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2" fillId="3" fontId="7" numFmtId="164" xfId="0" applyAlignment="1" applyBorder="1" applyFont="1" applyNumberForma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19" numFmtId="0" xfId="0" applyAlignment="1" applyBorder="1" applyFont="1">
      <alignment horizontal="left" readingOrder="0" shrinkToFit="0" vertical="center" wrapText="1"/>
    </xf>
    <xf borderId="8" fillId="0" fontId="7" numFmtId="164" xfId="0" applyAlignment="1" applyBorder="1" applyFont="1" applyNumberFormat="1">
      <alignment horizontal="center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2" fillId="2" fontId="20" numFmtId="0" xfId="0" applyAlignment="1" applyBorder="1" applyFont="1">
      <alignment readingOrder="0"/>
    </xf>
    <xf borderId="7" fillId="2" fontId="20" numFmtId="0" xfId="0" applyAlignment="1" applyBorder="1" applyFont="1">
      <alignment readingOrder="0"/>
    </xf>
    <xf borderId="11" fillId="0" fontId="7" numFmtId="0" xfId="0" applyAlignment="1" applyBorder="1" applyFont="1">
      <alignment readingOrder="0" shrinkToFit="0" vertical="center" wrapText="0"/>
    </xf>
    <xf borderId="6" fillId="0" fontId="7" numFmtId="0" xfId="0" applyAlignment="1" applyBorder="1" applyFont="1">
      <alignment horizontal="center" readingOrder="0" shrinkToFit="0" vertical="center" wrapText="1"/>
    </xf>
    <xf borderId="9" fillId="0" fontId="7" numFmtId="164" xfId="0" applyAlignment="1" applyBorder="1" applyFont="1" applyNumberFormat="1">
      <alignment horizontal="center" shrinkToFit="0" vertical="center" wrapText="1"/>
    </xf>
    <xf borderId="8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12" fillId="0" fontId="7" numFmtId="164" xfId="0" applyAlignment="1" applyBorder="1" applyFont="1" applyNumberFormat="1">
      <alignment horizontal="center" shrinkToFit="0" vertical="center" wrapText="1"/>
    </xf>
    <xf borderId="12" fillId="0" fontId="7" numFmtId="164" xfId="0" applyAlignment="1" applyBorder="1" applyFont="1" applyNumberFormat="1">
      <alignment horizontal="center" readingOrder="0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9" fillId="0" fontId="7" numFmtId="164" xfId="0" applyAlignment="1" applyBorder="1" applyFont="1" applyNumberFormat="1">
      <alignment horizontal="center" shrinkToFit="0" vertical="center" wrapText="1"/>
    </xf>
    <xf borderId="10" fillId="0" fontId="21" numFmtId="0" xfId="0" applyAlignment="1" applyBorder="1" applyFont="1">
      <alignment horizontal="left" readingOrder="0" shrinkToFit="0" vertical="center" wrapText="1"/>
    </xf>
    <xf quotePrefix="1" borderId="10" fillId="0" fontId="7" numFmtId="0" xfId="0" applyAlignment="1" applyBorder="1" applyFont="1">
      <alignment horizontal="left" readingOrder="0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10" fillId="0" fontId="5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readingOrder="0" shrinkToFit="0" vertical="center" wrapText="1"/>
    </xf>
    <xf borderId="6" fillId="0" fontId="7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shrinkToFit="0" vertical="center" wrapText="0"/>
    </xf>
    <xf borderId="8" fillId="0" fontId="7" numFmtId="0" xfId="0" applyBorder="1" applyFont="1"/>
    <xf borderId="12" fillId="0" fontId="7" numFmtId="0" xfId="0" applyAlignment="1" applyBorder="1" applyFont="1">
      <alignment readingOrder="0" shrinkToFit="0" vertical="center" wrapText="1"/>
    </xf>
    <xf borderId="11" fillId="0" fontId="7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2" fillId="0" fontId="7" numFmtId="164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14" fillId="0" fontId="4" numFmtId="0" xfId="0" applyBorder="1" applyFont="1"/>
    <xf borderId="2" fillId="2" fontId="7" numFmtId="0" xfId="0" applyAlignment="1" applyBorder="1" applyFont="1">
      <alignment horizontal="center" shrinkToFit="0" vertical="center" wrapText="1"/>
    </xf>
    <xf borderId="2" fillId="2" fontId="22" numFmtId="0" xfId="0" applyAlignment="1" applyBorder="1" applyFont="1">
      <alignment horizontal="left" readingOrder="0" shrinkToFit="0" vertical="center" wrapText="1"/>
    </xf>
    <xf borderId="2" fillId="2" fontId="23" numFmtId="0" xfId="0" applyAlignment="1" applyBorder="1" applyFont="1">
      <alignment horizontal="center" readingOrder="0" shrinkToFit="0" vertical="center" wrapText="1"/>
    </xf>
    <xf borderId="2" fillId="2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13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4" fillId="0" fontId="7" numFmtId="0" xfId="0" applyAlignment="1" applyBorder="1" applyFont="1">
      <alignment horizontal="left" shrinkToFit="0" vertical="center" wrapText="1"/>
    </xf>
    <xf borderId="2" fillId="0" fontId="7" numFmtId="164" xfId="0" applyAlignment="1" applyBorder="1" applyFont="1" applyNumberFormat="1">
      <alignment horizontal="left" shrinkToFit="0" vertical="center" wrapText="1"/>
    </xf>
    <xf borderId="2" fillId="0" fontId="7" numFmtId="0" xfId="0" applyAlignment="1" applyBorder="1" applyFont="1">
      <alignment shrinkToFit="0" vertical="center" wrapText="0"/>
    </xf>
    <xf borderId="7" fillId="5" fontId="5" numFmtId="0" xfId="0" applyAlignment="1" applyBorder="1" applyFill="1" applyFont="1">
      <alignment shrinkToFit="0" vertical="center" wrapText="0"/>
    </xf>
    <xf borderId="8" fillId="5" fontId="7" numFmtId="0" xfId="0" applyAlignment="1" applyBorder="1" applyFont="1">
      <alignment horizontal="left" readingOrder="0" shrinkToFit="0" vertical="center" wrapText="1"/>
    </xf>
    <xf borderId="1" fillId="5" fontId="7" numFmtId="0" xfId="0" applyAlignment="1" applyBorder="1" applyFont="1">
      <alignment readingOrder="0" shrinkToFit="0" vertical="center" wrapText="0"/>
    </xf>
    <xf borderId="0" fillId="5" fontId="7" numFmtId="0" xfId="0" applyAlignment="1" applyFont="1">
      <alignment horizontal="left" readingOrder="0" shrinkToFit="0" vertical="center" wrapText="1"/>
    </xf>
    <xf borderId="8" fillId="5" fontId="7" numFmtId="0" xfId="0" applyAlignment="1" applyBorder="1" applyFont="1">
      <alignment horizontal="left" shrinkToFit="0" vertical="center" wrapText="1"/>
    </xf>
    <xf borderId="12" fillId="5" fontId="7" numFmtId="0" xfId="0" applyAlignment="1" applyBorder="1" applyFont="1">
      <alignment readingOrder="0" shrinkToFit="0" vertical="center" wrapText="0"/>
    </xf>
    <xf borderId="4" fillId="5" fontId="7" numFmtId="0" xfId="0" applyAlignment="1" applyBorder="1" applyFont="1">
      <alignment readingOrder="0" shrinkToFit="0" vertical="center" wrapText="0"/>
    </xf>
    <xf borderId="1" fillId="0" fontId="7" numFmtId="164" xfId="0" applyAlignment="1" applyBorder="1" applyFont="1" applyNumberFormat="1">
      <alignment horizontal="center" shrinkToFit="0" vertical="center" wrapText="1"/>
    </xf>
    <xf borderId="8" fillId="2" fontId="24" numFmtId="0" xfId="0" applyAlignment="1" applyBorder="1" applyFont="1">
      <alignment readingOrder="0"/>
    </xf>
    <xf borderId="8" fillId="2" fontId="8" numFmtId="0" xfId="0" applyAlignment="1" applyBorder="1" applyFont="1">
      <alignment readingOrder="0"/>
    </xf>
    <xf borderId="8" fillId="0" fontId="8" numFmtId="0" xfId="0" applyAlignment="1" applyBorder="1" applyFont="1">
      <alignment horizontal="left" readingOrder="0" shrinkToFit="0" wrapText="0"/>
    </xf>
    <xf borderId="8" fillId="3" fontId="8" numFmtId="0" xfId="0" applyAlignment="1" applyBorder="1" applyFont="1">
      <alignment readingOrder="0" shrinkToFit="0" wrapText="0"/>
    </xf>
    <xf borderId="8" fillId="3" fontId="7" numFmtId="0" xfId="0" applyAlignment="1" applyBorder="1" applyFont="1">
      <alignment readingOrder="0" shrinkToFit="0" vertical="center" wrapText="0"/>
    </xf>
    <xf borderId="6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quotePrefix="1"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readingOrder="0" shrinkToFit="0" vertical="center" wrapText="0"/>
    </xf>
    <xf borderId="8" fillId="0" fontId="24" numFmtId="0" xfId="0" applyAlignment="1" applyBorder="1" applyFont="1">
      <alignment readingOrder="0" shrinkToFit="0" wrapText="0"/>
    </xf>
    <xf borderId="8" fillId="0" fontId="17" numFmtId="0" xfId="0" applyAlignment="1" applyBorder="1" applyFont="1">
      <alignment horizontal="left" readingOrder="0"/>
    </xf>
    <xf borderId="8" fillId="3" fontId="17" numFmtId="0" xfId="0" applyAlignment="1" applyBorder="1" applyFont="1">
      <alignment horizontal="left" readingOrder="0"/>
    </xf>
    <xf borderId="6" fillId="0" fontId="24" numFmtId="0" xfId="0" applyAlignment="1" applyBorder="1" applyFont="1">
      <alignment readingOrder="0" shrinkToFit="0" wrapText="0"/>
    </xf>
    <xf borderId="6" fillId="0" fontId="1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left" readingOrder="0" shrinkToFit="0" vertical="center" wrapText="0"/>
    </xf>
    <xf borderId="2" fillId="0" fontId="8" numFmtId="164" xfId="0" applyAlignment="1" applyBorder="1" applyFont="1" applyNumberFormat="1">
      <alignment horizontal="center" readingOrder="0" shrinkToFit="0" vertical="center" wrapText="1"/>
    </xf>
    <xf borderId="2" fillId="0" fontId="25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readingOrder="0" shrinkToFit="0" wrapText="0"/>
    </xf>
    <xf borderId="7" fillId="0" fontId="8" numFmtId="0" xfId="0" applyAlignment="1" applyBorder="1" applyFont="1">
      <alignment horizontal="left" readingOrder="0"/>
    </xf>
    <xf borderId="12" fillId="0" fontId="8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left" readingOrder="0" shrinkToFit="0" wrapText="0"/>
    </xf>
    <xf borderId="7" fillId="0" fontId="5" numFmtId="0" xfId="0" applyAlignment="1" applyBorder="1" applyFont="1">
      <alignment readingOrder="0" shrinkToFit="0" wrapText="0"/>
    </xf>
    <xf borderId="7" fillId="0" fontId="7" numFmtId="0" xfId="0" applyAlignment="1" applyBorder="1" applyFont="1">
      <alignment horizontal="left" readingOrder="0" shrinkToFit="0" vertical="center" wrapText="0"/>
    </xf>
    <xf borderId="7" fillId="0" fontId="8" numFmtId="0" xfId="0" applyAlignment="1" applyBorder="1" applyFont="1">
      <alignment horizontal="left" readingOrder="0" shrinkToFit="0" wrapText="0"/>
    </xf>
    <xf borderId="12" fillId="0" fontId="7" numFmtId="0" xfId="0" applyAlignment="1" applyBorder="1" applyFont="1">
      <alignment horizontal="left" readingOrder="0"/>
    </xf>
    <xf borderId="12" fillId="0" fontId="7" numFmtId="0" xfId="0" applyAlignment="1" applyBorder="1" applyFont="1">
      <alignment horizontal="left" readingOrder="0" shrinkToFit="0" vertical="bottom" wrapText="0"/>
    </xf>
    <xf borderId="12" fillId="0" fontId="8" numFmtId="0" xfId="0" applyAlignment="1" applyBorder="1" applyFont="1">
      <alignment horizontal="left" readingOrder="0" shrinkToFit="0" vertical="bottom" wrapText="0"/>
    </xf>
    <xf borderId="12" fillId="0" fontId="8" numFmtId="0" xfId="0" applyAlignment="1" applyBorder="1" applyFont="1">
      <alignment horizontal="left" readingOrder="0" vertical="bottom"/>
    </xf>
    <xf borderId="12" fillId="0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left" readingOrder="0"/>
    </xf>
    <xf borderId="12" fillId="0" fontId="7" numFmtId="0" xfId="0" applyAlignment="1" applyBorder="1" applyFont="1">
      <alignment horizontal="left" readingOrder="0" shrinkToFit="0" vertical="center" wrapText="0"/>
    </xf>
    <xf borderId="10" fillId="0" fontId="5" numFmtId="0" xfId="0" applyAlignment="1" applyBorder="1" applyFont="1">
      <alignment readingOrder="0" shrinkToFit="0" vertical="center" wrapText="0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left" readingOrder="0" shrinkToFit="0" vertical="center" wrapText="0"/>
    </xf>
    <xf borderId="5" fillId="0" fontId="7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quotePrefix="1" borderId="6" fillId="0" fontId="7" numFmtId="0" xfId="0" applyAlignment="1" applyBorder="1" applyFont="1">
      <alignment horizontal="left" readingOrder="0" shrinkToFit="0" vertical="center" wrapText="1"/>
    </xf>
    <xf quotePrefix="1" borderId="11" fillId="0" fontId="7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readingOrder="0" shrinkToFit="0" vertical="bottom" wrapText="0"/>
    </xf>
    <xf borderId="8" fillId="0" fontId="7" numFmtId="0" xfId="0" applyAlignment="1" applyBorder="1" applyFont="1">
      <alignment readingOrder="0" shrinkToFit="0" wrapText="0"/>
    </xf>
    <xf borderId="8" fillId="0" fontId="8" numFmtId="0" xfId="0" applyAlignment="1" applyBorder="1" applyFont="1">
      <alignment readingOrder="0"/>
    </xf>
    <xf borderId="9" fillId="2" fontId="7" numFmtId="0" xfId="0" applyAlignment="1" applyBorder="1" applyFont="1">
      <alignment horizontal="center" shrinkToFit="0" wrapText="1"/>
    </xf>
    <xf borderId="15" fillId="0" fontId="7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2" fillId="3" fontId="7" numFmtId="0" xfId="0" applyAlignment="1" applyBorder="1" applyFont="1">
      <alignment horizontal="center" readingOrder="0" shrinkToFit="0" vertical="center" wrapText="1"/>
    </xf>
    <xf borderId="7" fillId="0" fontId="26" numFmtId="0" xfId="0" applyAlignment="1" applyBorder="1" applyFont="1">
      <alignment horizontal="left" readingOrder="0"/>
    </xf>
    <xf borderId="2" fillId="3" fontId="7" numFmtId="0" xfId="0" applyAlignment="1" applyBorder="1" applyFont="1">
      <alignment horizontal="center" readingOrder="0" shrinkToFit="0" wrapText="1"/>
    </xf>
    <xf borderId="2" fillId="3" fontId="7" numFmtId="164" xfId="0" applyAlignment="1" applyBorder="1" applyFont="1" applyNumberFormat="1">
      <alignment horizontal="center" shrinkToFit="0" vertical="center" wrapText="1"/>
    </xf>
    <xf borderId="2" fillId="5" fontId="7" numFmtId="0" xfId="0" applyAlignment="1" applyBorder="1" applyFont="1">
      <alignment readingOrder="0" shrinkToFit="0" vertical="center" wrapText="0"/>
    </xf>
    <xf borderId="3" fillId="5" fontId="7" numFmtId="0" xfId="0" applyAlignment="1" applyBorder="1" applyFont="1">
      <alignment horizontal="left" shrinkToFit="0" vertical="center" wrapText="1"/>
    </xf>
    <xf borderId="9" fillId="5" fontId="7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horizontal="left" readingOrder="0" shrinkToFit="0" vertical="center" wrapText="1"/>
    </xf>
    <xf borderId="15" fillId="0" fontId="27" numFmtId="0" xfId="0" applyAlignment="1" applyBorder="1" applyFont="1">
      <alignment horizontal="left" readingOrder="0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shrinkToFit="0" vertical="center" wrapText="1"/>
    </xf>
    <xf borderId="5" fillId="0" fontId="5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readingOrder="0" shrinkToFit="0" wrapText="0"/>
    </xf>
    <xf borderId="14" fillId="0" fontId="8" numFmtId="0" xfId="0" applyAlignment="1" applyBorder="1" applyFont="1">
      <alignment readingOrder="0" shrinkToFit="0" wrapText="0"/>
    </xf>
    <xf borderId="4" fillId="0" fontId="8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left" shrinkToFit="0" vertical="center" wrapText="1"/>
    </xf>
    <xf borderId="5" fillId="5" fontId="7" numFmtId="0" xfId="0" applyAlignment="1" applyBorder="1" applyFont="1">
      <alignment readingOrder="0" shrinkToFit="0" vertical="center" wrapText="0"/>
    </xf>
    <xf borderId="6" fillId="5" fontId="7" numFmtId="0" xfId="0" applyAlignment="1" applyBorder="1" applyFont="1">
      <alignment horizontal="left" shrinkToFit="0" vertical="center" wrapText="1"/>
    </xf>
    <xf borderId="14" fillId="5" fontId="7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9" fillId="5" fontId="7" numFmtId="0" xfId="0" applyAlignment="1" applyBorder="1" applyFont="1">
      <alignment horizontal="center" shrinkToFit="0" vertical="center" wrapText="1"/>
    </xf>
    <xf borderId="9" fillId="5" fontId="7" numFmtId="164" xfId="0" applyAlignment="1" applyBorder="1" applyFont="1" applyNumberFormat="1">
      <alignment horizontal="center" shrinkToFit="0" vertical="center" wrapText="1"/>
    </xf>
    <xf borderId="3" fillId="0" fontId="7" numFmtId="164" xfId="0" applyAlignment="1" applyBorder="1" applyFont="1" applyNumberFormat="1">
      <alignment horizontal="center" shrinkToFit="0" vertical="center" wrapText="1"/>
    </xf>
    <xf borderId="15" fillId="0" fontId="7" numFmtId="164" xfId="0" applyAlignment="1" applyBorder="1" applyFont="1" applyNumberFormat="1">
      <alignment horizontal="center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9" fillId="0" fontId="7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8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2" fontId="2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2" fillId="4" fontId="3" numFmtId="0" xfId="0" applyAlignment="1" applyBorder="1" applyFont="1">
      <alignment horizontal="center" readingOrder="0" vertical="center"/>
    </xf>
    <xf borderId="15" fillId="0" fontId="4" numFmtId="0" xfId="0" applyBorder="1" applyFont="1"/>
    <xf borderId="10" fillId="4" fontId="3" numFmtId="0" xfId="0" applyAlignment="1" applyBorder="1" applyFont="1">
      <alignment horizontal="center" readingOrder="0" shrinkToFit="0" vertical="center" wrapText="0"/>
    </xf>
    <xf borderId="13" fillId="0" fontId="4" numFmtId="0" xfId="0" applyBorder="1" applyFont="1"/>
    <xf borderId="11" fillId="0" fontId="4" numFmtId="0" xfId="0" applyBorder="1" applyFont="1"/>
    <xf borderId="1" fillId="4" fontId="6" numFmtId="0" xfId="0" applyAlignment="1" applyBorder="1" applyFont="1">
      <alignment horizontal="left" readingOrder="0" shrinkToFit="0" vertical="center" wrapText="1"/>
    </xf>
    <xf borderId="9" fillId="4" fontId="3" numFmtId="0" xfId="0" applyAlignment="1" applyBorder="1" applyFont="1">
      <alignment horizontal="center" readingOrder="0" shrinkToFit="0" vertical="center" wrapText="0"/>
    </xf>
    <xf borderId="9" fillId="4" fontId="3" numFmtId="0" xfId="0" applyAlignment="1" applyBorder="1" applyFont="1">
      <alignment horizontal="center" readingOrder="0" shrinkToFit="0" vertical="center" wrapText="1"/>
    </xf>
    <xf borderId="10" fillId="6" fontId="3" numFmtId="0" xfId="0" applyAlignment="1" applyBorder="1" applyFill="1" applyFont="1">
      <alignment horizontal="left" readingOrder="0" shrinkToFit="0" vertical="center" wrapText="0"/>
    </xf>
    <xf borderId="13" fillId="6" fontId="7" numFmtId="0" xfId="0" applyAlignment="1" applyBorder="1" applyFont="1">
      <alignment horizontal="center" readingOrder="0" shrinkToFit="0" vertical="center" wrapText="1"/>
    </xf>
    <xf borderId="13" fillId="6" fontId="7" numFmtId="164" xfId="0" applyAlignment="1" applyBorder="1" applyFont="1" applyNumberFormat="1">
      <alignment horizontal="center" readingOrder="0" shrinkToFit="0" vertical="center" wrapText="1"/>
    </xf>
    <xf borderId="13" fillId="6" fontId="7" numFmtId="0" xfId="0" applyAlignment="1" applyBorder="1" applyFont="1">
      <alignment horizontal="left" readingOrder="0" shrinkToFit="0" vertical="center" wrapText="1"/>
    </xf>
    <xf borderId="15" fillId="6" fontId="7" numFmtId="0" xfId="0" applyAlignment="1" applyBorder="1" applyFont="1">
      <alignment horizontal="left" readingOrder="0" shrinkToFit="0" vertical="center" wrapText="0"/>
    </xf>
    <xf borderId="13" fillId="6" fontId="7" numFmtId="0" xfId="0" applyAlignment="1" applyBorder="1" applyFont="1">
      <alignment horizontal="center" shrinkToFit="0" vertical="center" wrapText="1"/>
    </xf>
    <xf borderId="11" fillId="6" fontId="7" numFmtId="0" xfId="0" applyAlignment="1" applyBorder="1" applyFont="1">
      <alignment horizontal="center" shrinkToFit="0" vertical="center" wrapText="1"/>
    </xf>
    <xf borderId="0" fillId="6" fontId="7" numFmtId="0" xfId="0" applyAlignment="1" applyFont="1">
      <alignment horizontal="left"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ont="1">
      <alignment horizontal="center" readingOrder="0" shrinkToFit="0" vertical="center" wrapText="0"/>
    </xf>
    <xf borderId="10" fillId="3" fontId="7" numFmtId="164" xfId="0" applyAlignment="1" applyBorder="1" applyFont="1" applyNumberFormat="1">
      <alignment horizontal="center" readingOrder="0" shrinkToFit="0" vertical="center" wrapText="0"/>
    </xf>
    <xf borderId="10" fillId="3" fontId="5" numFmtId="0" xfId="0" applyAlignment="1" applyBorder="1" applyFont="1">
      <alignment horizontal="left" readingOrder="0" shrinkToFit="0" vertical="center" wrapText="0"/>
    </xf>
    <xf borderId="13" fillId="3" fontId="7" numFmtId="0" xfId="0" applyAlignment="1" applyBorder="1" applyFont="1">
      <alignment readingOrder="0" shrinkToFit="0" vertical="center" wrapText="0"/>
    </xf>
    <xf borderId="11" fillId="3" fontId="7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horizontal="left" readingOrder="0" shrinkToFit="0" vertical="center" wrapText="1"/>
    </xf>
    <xf borderId="9" fillId="3" fontId="30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left" readingOrder="0" shrinkToFit="0" vertical="center" wrapText="1"/>
    </xf>
    <xf borderId="10" fillId="3" fontId="7" numFmtId="0" xfId="0" applyAlignment="1" applyBorder="1" applyFont="1">
      <alignment horizontal="center" shrinkToFit="0" vertical="center" wrapText="1"/>
    </xf>
    <xf borderId="10" fillId="3" fontId="7" numFmtId="0" xfId="0" applyAlignment="1" applyBorder="1" applyFont="1">
      <alignment readingOrder="0" shrinkToFit="0" vertical="center" wrapText="0"/>
    </xf>
    <xf borderId="3" fillId="3" fontId="30" numFmtId="0" xfId="0" applyAlignment="1" applyBorder="1" applyFont="1">
      <alignment horizontal="center" readingOrder="0" shrinkToFit="0" vertical="center" wrapText="1"/>
    </xf>
    <xf borderId="9" fillId="3" fontId="7" numFmtId="0" xfId="0" applyAlignment="1" applyBorder="1" applyFont="1">
      <alignment horizontal="center" readingOrder="0" shrinkToFit="0" vertical="center" wrapText="1"/>
    </xf>
    <xf borderId="11" fillId="3" fontId="7" numFmtId="0" xfId="0" applyAlignment="1" applyBorder="1" applyFont="1">
      <alignment horizontal="left" readingOrder="0" shrinkToFit="0" vertical="center" wrapText="1"/>
    </xf>
    <xf borderId="11" fillId="3" fontId="30" numFmtId="0" xfId="0" applyAlignment="1" applyBorder="1" applyFont="1">
      <alignment horizontal="center" readingOrder="0" shrinkToFit="0" vertical="center" wrapText="1"/>
    </xf>
    <xf borderId="2" fillId="3" fontId="7" numFmtId="164" xfId="0" applyAlignment="1" applyBorder="1" applyFont="1" applyNumberFormat="1">
      <alignment horizontal="center" readingOrder="0" shrinkToFit="0" vertical="center" wrapText="0"/>
    </xf>
    <xf borderId="7" fillId="3" fontId="5" numFmtId="0" xfId="0" applyAlignment="1" applyBorder="1" applyFont="1">
      <alignment horizontal="left" shrinkToFit="0" vertical="center" wrapText="1"/>
    </xf>
    <xf borderId="14" fillId="3" fontId="7" numFmtId="0" xfId="0" applyAlignment="1" applyBorder="1" applyFont="1">
      <alignment readingOrder="0" shrinkToFit="0" vertical="center" wrapText="0"/>
    </xf>
    <xf borderId="14" fillId="3" fontId="7" numFmtId="0" xfId="0" applyAlignment="1" applyBorder="1" applyFont="1">
      <alignment readingOrder="0" shrinkToFit="0" vertical="center" wrapText="1"/>
    </xf>
    <xf borderId="10" fillId="0" fontId="7" numFmtId="164" xfId="0" applyAlignment="1" applyBorder="1" applyFont="1" applyNumberFormat="1">
      <alignment horizontal="center" shrinkToFit="0" vertical="center" wrapText="1"/>
    </xf>
    <xf borderId="13" fillId="3" fontId="7" numFmtId="0" xfId="0" applyAlignment="1" applyBorder="1" applyFont="1">
      <alignment horizontal="left" readingOrder="0" shrinkToFit="0" vertical="center" wrapText="0"/>
    </xf>
    <xf borderId="9" fillId="0" fontId="30" numFmtId="0" xfId="0" applyAlignment="1" applyBorder="1" applyFont="1">
      <alignment horizontal="center" shrinkToFit="0" vertical="center" wrapText="1"/>
    </xf>
    <xf borderId="10" fillId="2" fontId="7" numFmtId="164" xfId="0" applyAlignment="1" applyBorder="1" applyFont="1" applyNumberFormat="1">
      <alignment horizontal="center" readingOrder="0" shrinkToFit="0" vertical="center" wrapText="1"/>
    </xf>
    <xf borderId="13" fillId="2" fontId="7" numFmtId="0" xfId="0" applyAlignment="1" applyBorder="1" applyFont="1">
      <alignment horizontal="left" readingOrder="0" shrinkToFit="0" vertical="center" wrapText="0"/>
    </xf>
    <xf borderId="9" fillId="0" fontId="30" numFmtId="0" xfId="0" applyAlignment="1" applyBorder="1" applyFont="1">
      <alignment horizontal="center" readingOrder="0" shrinkToFit="0" vertical="center" wrapText="1"/>
    </xf>
    <xf borderId="2" fillId="3" fontId="7" numFmtId="0" xfId="0" applyAlignment="1" applyBorder="1" applyFont="1">
      <alignment horizontal="left" readingOrder="0" shrinkToFit="0" vertical="center" wrapText="0"/>
    </xf>
    <xf borderId="3" fillId="3" fontId="7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horizontal="left" readingOrder="0" shrinkToFit="0" vertical="center" wrapText="0"/>
    </xf>
    <xf borderId="9" fillId="2" fontId="5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5" fillId="2" fontId="7" numFmtId="0" xfId="0" applyAlignment="1" applyBorder="1" applyFont="1">
      <alignment horizontal="left" readingOrder="0" shrinkToFit="0" vertical="center" wrapText="0"/>
    </xf>
    <xf borderId="9" fillId="2" fontId="30" numFmtId="0" xfId="0" applyAlignment="1" applyBorder="1" applyFont="1">
      <alignment horizontal="center" readingOrder="0" shrinkToFit="0" vertical="center" wrapText="0"/>
    </xf>
    <xf borderId="0" fillId="2" fontId="7" numFmtId="0" xfId="0" applyAlignment="1" applyFont="1">
      <alignment horizontal="left" readingOrder="0" shrinkToFit="0" vertical="center" wrapText="0"/>
    </xf>
    <xf borderId="10" fillId="2" fontId="5" numFmtId="0" xfId="0" applyAlignment="1" applyBorder="1" applyFont="1">
      <alignment horizontal="left" readingOrder="0" shrinkToFit="0" vertical="center" wrapText="0"/>
    </xf>
    <xf borderId="13" fillId="0" fontId="7" numFmtId="0" xfId="0" applyAlignment="1" applyBorder="1" applyFont="1">
      <alignment readingOrder="0" shrinkToFit="0" vertical="center" wrapText="0"/>
    </xf>
    <xf borderId="11" fillId="0" fontId="5" numFmtId="0" xfId="0" applyAlignment="1" applyBorder="1" applyFont="1">
      <alignment readingOrder="0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5" fillId="3" fontId="7" numFmtId="164" xfId="0" applyAlignment="1" applyBorder="1" applyFont="1" applyNumberFormat="1">
      <alignment horizontal="center" shrinkToFit="0" vertical="center" wrapText="1"/>
    </xf>
    <xf borderId="6" fillId="3" fontId="7" numFmtId="0" xfId="0" applyAlignment="1" applyBorder="1" applyFont="1">
      <alignment readingOrder="0" shrinkToFit="0" vertical="center" wrapText="1"/>
    </xf>
    <xf borderId="6" fillId="3" fontId="7" numFmtId="0" xfId="0" applyAlignment="1" applyBorder="1" applyFont="1">
      <alignment readingOrder="0" shrinkToFit="0" vertical="center" wrapText="0"/>
    </xf>
    <xf borderId="11" fillId="3" fontId="7" numFmtId="0" xfId="0" applyAlignment="1" applyBorder="1" applyFont="1">
      <alignment horizontal="left" shrinkToFit="0" vertical="center" wrapText="1"/>
    </xf>
    <xf borderId="13" fillId="0" fontId="7" numFmtId="0" xfId="0" applyAlignment="1" applyBorder="1" applyFont="1">
      <alignment horizontal="left" readingOrder="0" shrinkToFit="0" vertical="center" wrapText="0"/>
    </xf>
    <xf borderId="11" fillId="0" fontId="30" numFmtId="0" xfId="0" applyAlignment="1" applyBorder="1" applyFont="1">
      <alignment horizontal="center" readingOrder="0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9" fillId="3" fontId="7" numFmtId="164" xfId="0" applyAlignment="1" applyBorder="1" applyFont="1" applyNumberFormat="1">
      <alignment horizontal="center" readingOrder="0" shrinkToFit="0" vertical="center" wrapText="1"/>
    </xf>
    <xf borderId="10" fillId="3" fontId="5" numFmtId="0" xfId="0" applyAlignment="1" applyBorder="1" applyFont="1">
      <alignment shrinkToFit="0" vertical="center" wrapText="1"/>
    </xf>
    <xf borderId="10" fillId="3" fontId="7" numFmtId="0" xfId="0" applyAlignment="1" applyBorder="1" applyFont="1">
      <alignment horizontal="left" readingOrder="0" shrinkToFit="0" vertical="center" wrapText="1"/>
    </xf>
    <xf borderId="10" fillId="3" fontId="30" numFmtId="0" xfId="0" applyAlignment="1" applyBorder="1" applyFont="1">
      <alignment horizontal="center" readingOrder="0" shrinkToFit="0" vertical="center" wrapText="1"/>
    </xf>
    <xf borderId="14" fillId="3" fontId="7" numFmtId="0" xfId="0" applyAlignment="1" applyBorder="1" applyFont="1">
      <alignment horizontal="left" readingOrder="0" shrinkToFit="0" vertical="center" wrapText="0"/>
    </xf>
    <xf borderId="6" fillId="3" fontId="7" numFmtId="0" xfId="0" applyAlignment="1" applyBorder="1" applyFont="1">
      <alignment horizontal="left" readingOrder="0" shrinkToFit="0" vertical="center" wrapText="1"/>
    </xf>
    <xf borderId="9" fillId="3" fontId="7" numFmtId="0" xfId="0" applyAlignment="1" applyBorder="1" applyFont="1">
      <alignment readingOrder="0" shrinkToFit="0" vertical="center" wrapText="0"/>
    </xf>
    <xf borderId="6" fillId="3" fontId="30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horizontal="left" shrinkToFit="0" vertical="center" wrapText="1"/>
    </xf>
    <xf borderId="7" fillId="3" fontId="7" numFmtId="0" xfId="0" applyAlignment="1" applyBorder="1" applyFont="1">
      <alignment horizontal="center" readingOrder="0" shrinkToFit="0" vertical="center" wrapText="1"/>
    </xf>
    <xf borderId="11" fillId="3" fontId="30" numFmtId="0" xfId="0" applyAlignment="1" applyBorder="1" applyFont="1">
      <alignment horizontal="center" shrinkToFit="0" vertical="center" wrapText="1"/>
    </xf>
    <xf borderId="10" fillId="3" fontId="7" numFmtId="164" xfId="0" applyAlignment="1" applyBorder="1" applyFont="1" applyNumberFormat="1">
      <alignment horizontal="center" shrinkToFit="0" vertical="center" wrapText="1"/>
    </xf>
    <xf borderId="2" fillId="3" fontId="7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readingOrder="0" shrinkToFit="0" vertical="center" wrapText="0"/>
    </xf>
    <xf borderId="3" fillId="3" fontId="30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horizontal="left" readingOrder="0" shrinkToFit="0" vertical="center" wrapText="1"/>
    </xf>
    <xf borderId="9" fillId="3" fontId="7" numFmtId="0" xfId="0" applyAlignment="1" applyBorder="1" applyFont="1">
      <alignment horizontal="left" readingOrder="0" shrinkToFit="0" vertical="center" wrapText="1"/>
    </xf>
    <xf borderId="0" fillId="3" fontId="31" numFmtId="0" xfId="0" applyAlignment="1" applyFont="1">
      <alignment horizontal="left" readingOrder="0" shrinkToFit="0" vertical="center" wrapText="1"/>
    </xf>
    <xf borderId="5" fillId="3" fontId="7" numFmtId="0" xfId="0" applyAlignment="1" applyBorder="1" applyFont="1">
      <alignment readingOrder="0" shrinkToFit="0" vertical="center" wrapText="0"/>
    </xf>
    <xf borderId="6" fillId="3" fontId="30" numFmtId="0" xfId="0" applyAlignment="1" applyBorder="1" applyFont="1">
      <alignment horizontal="center" readingOrder="0" shrinkToFit="0" vertical="center" wrapText="1"/>
    </xf>
    <xf borderId="13" fillId="6" fontId="8" numFmtId="0" xfId="0" applyAlignment="1" applyBorder="1" applyFont="1">
      <alignment horizontal="center" readingOrder="0" shrinkToFit="0" vertical="center" wrapText="0"/>
    </xf>
    <xf borderId="13" fillId="6" fontId="8" numFmtId="164" xfId="0" applyAlignment="1" applyBorder="1" applyFont="1" applyNumberFormat="1">
      <alignment horizontal="center" readingOrder="0" shrinkToFit="0" vertical="center" wrapText="0"/>
    </xf>
    <xf borderId="15" fillId="6" fontId="32" numFmtId="0" xfId="0" applyAlignment="1" applyBorder="1" applyFont="1">
      <alignment readingOrder="0" shrinkToFit="0" vertical="center" wrapText="0"/>
    </xf>
    <xf borderId="13" fillId="6" fontId="7" numFmtId="0" xfId="0" applyAlignment="1" applyBorder="1" applyFont="1">
      <alignment horizontal="left" shrinkToFit="0" vertical="center" wrapText="0"/>
    </xf>
    <xf borderId="15" fillId="6" fontId="7" numFmtId="0" xfId="0" applyAlignment="1" applyBorder="1" applyFont="1">
      <alignment horizontal="left" shrinkToFit="0" vertical="center" wrapText="1"/>
    </xf>
    <xf borderId="13" fillId="6" fontId="7" numFmtId="0" xfId="0" applyAlignment="1" applyBorder="1" applyFont="1">
      <alignment readingOrder="0" shrinkToFit="0" vertical="center" wrapText="0"/>
    </xf>
    <xf borderId="13" fillId="6" fontId="7" numFmtId="0" xfId="0" applyAlignment="1" applyBorder="1" applyFont="1">
      <alignment horizontal="left" shrinkToFit="0" vertical="center" wrapText="1"/>
    </xf>
    <xf borderId="13" fillId="6" fontId="30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readingOrder="0" shrinkToFit="0" vertical="center" wrapText="0"/>
    </xf>
    <xf borderId="14" fillId="0" fontId="7" numFmtId="0" xfId="0" applyAlignment="1" applyBorder="1" applyFont="1">
      <alignment horizontal="left" readingOrder="0" shrinkToFit="0" vertical="center" wrapText="0"/>
    </xf>
    <xf borderId="5" fillId="2" fontId="7" numFmtId="0" xfId="0" applyAlignment="1" applyBorder="1" applyFont="1">
      <alignment horizontal="left" readingOrder="0" shrinkToFit="0" vertical="center" wrapText="1"/>
    </xf>
    <xf borderId="5" fillId="0" fontId="30" numFmtId="0" xfId="0" applyAlignment="1" applyBorder="1" applyFont="1">
      <alignment horizontal="center" readingOrder="0" shrinkToFit="0" vertical="center" wrapText="1"/>
    </xf>
    <xf borderId="6" fillId="0" fontId="30" numFmtId="0" xfId="0" applyAlignment="1" applyBorder="1" applyFont="1">
      <alignment horizontal="center" readingOrder="0" shrinkToFit="0" vertical="center" wrapText="1"/>
    </xf>
    <xf borderId="6" fillId="0" fontId="30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readingOrder="0" shrinkToFit="0" vertical="center" wrapText="0"/>
    </xf>
    <xf borderId="11" fillId="3" fontId="7" numFmtId="164" xfId="0" applyAlignment="1" applyBorder="1" applyFont="1" applyNumberFormat="1">
      <alignment horizontal="center" readingOrder="0" shrinkToFit="0" vertical="center" wrapText="0"/>
    </xf>
    <xf borderId="11" fillId="3" fontId="30" numFmtId="0" xfId="0" applyAlignment="1" applyBorder="1" applyFont="1">
      <alignment horizontal="center" readingOrder="0" shrinkToFit="0" vertical="center" wrapText="0"/>
    </xf>
    <xf borderId="9" fillId="3" fontId="7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7" numFmtId="164" xfId="0" applyAlignment="1" applyBorder="1" applyFont="1" applyNumberFormat="1">
      <alignment horizontal="center" readingOrder="0" shrinkToFit="0" vertical="center" wrapText="0"/>
    </xf>
    <xf borderId="9" fillId="3" fontId="5" numFmtId="0" xfId="0" applyAlignment="1" applyBorder="1" applyFont="1">
      <alignment horizontal="left" readingOrder="0" shrinkToFit="0" vertical="center" wrapText="0"/>
    </xf>
    <xf borderId="1" fillId="3" fontId="5" numFmtId="0" xfId="0" applyAlignment="1" applyBorder="1" applyFont="1">
      <alignment horizontal="left" readingOrder="0" shrinkToFit="0" vertical="center" wrapText="0"/>
    </xf>
    <xf borderId="1" fillId="3" fontId="5" numFmtId="0" xfId="0" applyAlignment="1" applyBorder="1" applyFont="1">
      <alignment horizontal="left" readingOrder="0" shrinkToFit="0" vertical="center" wrapText="1"/>
    </xf>
    <xf borderId="9" fillId="3" fontId="8" numFmtId="0" xfId="0" applyAlignment="1" applyBorder="1" applyFont="1">
      <alignment readingOrder="0" shrinkToFit="0" vertical="center" wrapText="0"/>
    </xf>
    <xf borderId="9" fillId="3" fontId="30" numFmtId="0" xfId="0" applyAlignment="1" applyBorder="1" applyFont="1">
      <alignment horizontal="center" readingOrder="0" shrinkToFit="0" vertical="center" wrapText="0"/>
    </xf>
    <xf borderId="11" fillId="3" fontId="8" numFmtId="0" xfId="0" applyAlignment="1" applyBorder="1" applyFont="1">
      <alignment readingOrder="0" shrinkToFit="0" vertical="center" wrapText="0"/>
    </xf>
    <xf borderId="9" fillId="3" fontId="30" numFmtId="0" xfId="0" applyAlignment="1" applyBorder="1" applyFont="1">
      <alignment horizontal="center" readingOrder="0" shrinkToFit="0" vertical="center" wrapText="0"/>
    </xf>
    <xf borderId="9" fillId="3" fontId="7" numFmtId="0" xfId="0" applyAlignment="1" applyBorder="1" applyFont="1">
      <alignment horizontal="center" readingOrder="0" shrinkToFit="0" vertical="center" wrapText="0"/>
    </xf>
    <xf borderId="10" fillId="3" fontId="5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horizontal="left" readingOrder="0" shrinkToFit="0" vertical="center" wrapText="0"/>
    </xf>
    <xf borderId="9" fillId="3" fontId="7" numFmtId="164" xfId="0" applyAlignment="1" applyBorder="1" applyFont="1" applyNumberFormat="1">
      <alignment horizontal="center" readingOrder="0" shrinkToFit="0" vertical="center" wrapText="0"/>
    </xf>
    <xf borderId="10" fillId="2" fontId="7" numFmtId="164" xfId="0" applyAlignment="1" applyBorder="1" applyFont="1" applyNumberFormat="1">
      <alignment horizontal="center" readingOrder="0" shrinkToFit="0" vertical="center" wrapText="0"/>
    </xf>
    <xf borderId="9" fillId="2" fontId="7" numFmtId="0" xfId="0" applyAlignment="1" applyBorder="1" applyFont="1">
      <alignment horizontal="left" readingOrder="0" shrinkToFit="0" vertical="center" wrapText="1"/>
    </xf>
    <xf borderId="9" fillId="3" fontId="8" numFmtId="0" xfId="0" applyAlignment="1" applyBorder="1" applyFont="1">
      <alignment horizontal="left" readingOrder="0"/>
    </xf>
    <xf borderId="13" fillId="3" fontId="8" numFmtId="0" xfId="0" applyAlignment="1" applyBorder="1" applyFont="1">
      <alignment horizontal="left" readingOrder="0" shrinkToFit="0" vertical="center" wrapText="0"/>
    </xf>
    <xf borderId="6" fillId="3" fontId="8" numFmtId="0" xfId="0" applyAlignment="1" applyBorder="1" applyFont="1">
      <alignment horizontal="left" readingOrder="0" shrinkToFit="0" vertical="center" wrapText="1"/>
    </xf>
    <xf borderId="2" fillId="6" fontId="3" numFmtId="0" xfId="0" applyAlignment="1" applyBorder="1" applyFont="1">
      <alignment horizontal="left" readingOrder="0" shrinkToFit="0" vertical="center" wrapText="0"/>
    </xf>
    <xf borderId="15" fillId="6" fontId="8" numFmtId="0" xfId="0" applyAlignment="1" applyBorder="1" applyFont="1">
      <alignment horizontal="center" readingOrder="0" shrinkToFit="0" vertical="center" wrapText="0"/>
    </xf>
    <xf borderId="15" fillId="6" fontId="8" numFmtId="164" xfId="0" applyAlignment="1" applyBorder="1" applyFont="1" applyNumberFormat="1">
      <alignment horizontal="center" readingOrder="0" shrinkToFit="0" vertical="center" wrapText="0"/>
    </xf>
    <xf borderId="15" fillId="6" fontId="7" numFmtId="0" xfId="0" applyAlignment="1" applyBorder="1" applyFont="1">
      <alignment readingOrder="0" shrinkToFit="0" vertical="center" wrapText="0"/>
    </xf>
    <xf borderId="15" fillId="6" fontId="30" numFmtId="0" xfId="0" applyAlignment="1" applyBorder="1" applyFont="1">
      <alignment horizontal="center" shrinkToFit="0" vertical="center" wrapText="1"/>
    </xf>
    <xf borderId="3" fillId="6" fontId="7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left" readingOrder="0" shrinkToFit="0" vertical="center" wrapText="0"/>
    </xf>
    <xf borderId="4" fillId="3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1"/>
    </xf>
    <xf borderId="2" fillId="2" fontId="7" numFmtId="164" xfId="0" applyAlignment="1" applyBorder="1" applyFont="1" applyNumberForma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left" readingOrder="0" shrinkToFit="0" vertical="center" wrapText="0"/>
    </xf>
    <xf borderId="3" fillId="2" fontId="30" numFmtId="0" xfId="0" applyAlignment="1" applyBorder="1" applyFont="1">
      <alignment horizontal="center" readingOrder="0" shrinkToFit="0" vertical="center" wrapText="1"/>
    </xf>
    <xf borderId="3" fillId="2" fontId="30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left" shrinkToFit="0" vertical="center" wrapText="1"/>
    </xf>
    <xf borderId="3" fillId="0" fontId="30" numFmtId="0" xfId="0" applyAlignment="1" applyBorder="1" applyFont="1">
      <alignment horizontal="center" readingOrder="0" shrinkToFit="0" vertical="center" wrapText="1"/>
    </xf>
    <xf borderId="3" fillId="0" fontId="30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readingOrder="0" shrinkToFit="0" wrapText="0"/>
    </xf>
    <xf borderId="11" fillId="0" fontId="8" numFmtId="0" xfId="0" applyAlignment="1" applyBorder="1" applyFont="1">
      <alignment readingOrder="0" shrinkToFit="0" wrapText="0"/>
    </xf>
    <xf borderId="13" fillId="0" fontId="8" numFmtId="0" xfId="0" applyAlignment="1" applyBorder="1" applyFont="1">
      <alignment readingOrder="0" shrinkToFit="0" wrapText="0"/>
    </xf>
    <xf borderId="3" fillId="2" fontId="7" numFmtId="0" xfId="0" applyAlignment="1" applyBorder="1" applyFont="1">
      <alignment horizontal="left" shrinkToFit="0" vertical="center" wrapText="1"/>
    </xf>
    <xf borderId="11" fillId="2" fontId="7" numFmtId="0" xfId="0" applyAlignment="1" applyBorder="1" applyFont="1">
      <alignment horizontal="center" readingOrder="0" shrinkToFit="0" vertical="center" wrapText="0"/>
    </xf>
    <xf borderId="10" fillId="0" fontId="7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left" readingOrder="0" shrinkToFit="0" wrapText="0"/>
    </xf>
    <xf borderId="6" fillId="3" fontId="7" numFmtId="0" xfId="0" applyAlignment="1" applyBorder="1" applyFont="1">
      <alignment horizontal="left" shrinkToFit="0" vertical="center" wrapText="1"/>
    </xf>
    <xf borderId="4" fillId="3" fontId="33" numFmtId="0" xfId="0" applyAlignment="1" applyBorder="1" applyFont="1">
      <alignment readingOrder="0" shrinkToFit="0" vertical="center" wrapText="0"/>
    </xf>
    <xf borderId="2" fillId="3" fontId="7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shrinkToFit="0" vertical="center" wrapText="1"/>
    </xf>
    <xf borderId="9" fillId="3" fontId="7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left" readingOrder="0" shrinkToFit="0" wrapText="0"/>
    </xf>
    <xf borderId="13" fillId="3" fontId="8" numFmtId="0" xfId="0" applyAlignment="1" applyBorder="1" applyFont="1">
      <alignment readingOrder="0" shrinkToFit="0" wrapText="0"/>
    </xf>
    <xf borderId="2" fillId="3" fontId="5" numFmtId="0" xfId="0" applyAlignment="1" applyBorder="1" applyFont="1">
      <alignment readingOrder="0" shrinkToFit="0" vertical="center" wrapText="0"/>
    </xf>
    <xf borderId="10" fillId="3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4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6" numFmtId="0" xfId="0" applyAlignment="1" applyFont="1">
      <alignment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36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0"/>
    </xf>
    <xf borderId="0" fillId="0" fontId="36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6" numFmtId="0" xfId="0" applyAlignment="1" applyFont="1">
      <alignment shrinkToFit="0" vertical="center" wrapText="0"/>
    </xf>
    <xf borderId="0" fillId="0" fontId="36" numFmtId="0" xfId="0" applyAlignment="1" applyFont="1">
      <alignment horizontal="left" shrinkToFit="0" vertical="center" wrapText="1"/>
    </xf>
    <xf borderId="0" fillId="0" fontId="37" numFmtId="0" xfId="0" applyAlignment="1" applyFont="1">
      <alignment horizontal="left" shrinkToFit="0" vertical="center" wrapText="1"/>
    </xf>
    <xf borderId="0" fillId="0" fontId="3" numFmtId="10" xfId="0" applyAlignment="1" applyFont="1" applyNumberFormat="1">
      <alignment shrinkToFit="0" vertical="center" wrapText="0"/>
    </xf>
    <xf borderId="0" fillId="0" fontId="3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0"/>
    </xf>
    <xf borderId="0" fillId="0" fontId="30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7" numFmtId="0" xfId="0" applyFont="1"/>
    <xf borderId="9" fillId="4" fontId="5" numFmtId="0" xfId="0" applyAlignment="1" applyBorder="1" applyFont="1">
      <alignment horizontal="center" readingOrder="0" vertical="center"/>
    </xf>
    <xf borderId="9" fillId="4" fontId="5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9" fillId="2" fontId="7" numFmtId="0" xfId="0" applyAlignment="1" applyBorder="1" applyFont="1">
      <alignment horizontal="center" readingOrder="0" shrinkToFit="0" vertical="center" wrapText="1"/>
    </xf>
    <xf borderId="9" fillId="0" fontId="7" numFmtId="164" xfId="0" applyAlignment="1" applyBorder="1" applyFont="1" applyNumberFormat="1">
      <alignment horizontal="center" readingOrder="0" vertical="center"/>
    </xf>
    <xf borderId="9" fillId="0" fontId="7" numFmtId="0" xfId="0" applyAlignment="1" applyBorder="1" applyFont="1">
      <alignment readingOrder="0" vertical="center"/>
    </xf>
    <xf borderId="9" fillId="0" fontId="7" numFmtId="0" xfId="0" applyAlignment="1" applyBorder="1" applyFont="1">
      <alignment horizontal="center" readingOrder="0" vertical="center"/>
    </xf>
    <xf borderId="9" fillId="0" fontId="38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9" fillId="0" fontId="7" numFmtId="0" xfId="0" applyAlignment="1" applyBorder="1" applyFont="1">
      <alignment readingOrder="0"/>
    </xf>
    <xf borderId="9" fillId="0" fontId="39" numFmtId="0" xfId="0" applyAlignment="1" applyBorder="1" applyFont="1">
      <alignment readingOrder="0"/>
    </xf>
    <xf borderId="9" fillId="0" fontId="8" numFmtId="0" xfId="0" applyAlignment="1" applyBorder="1" applyFont="1">
      <alignment readingOrder="0" shrinkToFit="0" vertical="bottom" wrapText="0"/>
    </xf>
    <xf borderId="9" fillId="0" fontId="7" numFmtId="0" xfId="0" applyAlignment="1" applyBorder="1" applyFont="1">
      <alignment horizontal="center" readingOrder="0"/>
    </xf>
    <xf borderId="9" fillId="0" fontId="7" numFmtId="0" xfId="0" applyBorder="1" applyFont="1"/>
    <xf borderId="9" fillId="0" fontId="7" numFmtId="164" xfId="0" applyAlignment="1" applyBorder="1" applyFont="1" applyNumberFormat="1">
      <alignment horizontal="center" readingOrder="0"/>
    </xf>
    <xf borderId="9" fillId="0" fontId="7" numFmtId="0" xfId="0" applyAlignment="1" applyBorder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9" fillId="0" fontId="7" numFmtId="0" xfId="0" applyAlignment="1" applyBorder="1" applyFont="1">
      <alignment vertical="center"/>
    </xf>
    <xf borderId="9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Qq3B3rAqtmOzpqfr_JCpyJkdo5VQQBe/view?usp=sharing" TargetMode="External"/><Relationship Id="rId42" Type="http://schemas.openxmlformats.org/officeDocument/2006/relationships/hyperlink" Target="https://drive.google.com/file/d/1uIaQ4l0MBgZqHOmpL_GzI3iC3gJd6CG9/view?usp=sharing" TargetMode="External"/><Relationship Id="rId41" Type="http://schemas.openxmlformats.org/officeDocument/2006/relationships/hyperlink" Target="https://drive.google.com/file/d/1xl3__LBTZDvQJ0jbmC3_pdmcsYkN_bEJ/view?usp=sharing" TargetMode="External"/><Relationship Id="rId44" Type="http://schemas.openxmlformats.org/officeDocument/2006/relationships/hyperlink" Target="https://drive.google.com/file/d/1_qGP7hyQxT2g3Bd1MbeHtuQUbIbxqjBW/view?usp=sharing" TargetMode="External"/><Relationship Id="rId43" Type="http://schemas.openxmlformats.org/officeDocument/2006/relationships/hyperlink" Target="https://drive.google.com/file/d/11LqLpWm6t2qe8t9ME41TzhXSJliSMOqg/view?usp=sharing" TargetMode="External"/><Relationship Id="rId46" Type="http://schemas.openxmlformats.org/officeDocument/2006/relationships/hyperlink" Target="https://drive.google.com/file/d/1oP-E0lIR7Q5vlcajuyCltFwZwvY9QzlT/view?usp=sharing" TargetMode="External"/><Relationship Id="rId45" Type="http://schemas.openxmlformats.org/officeDocument/2006/relationships/hyperlink" Target="https://drive.google.com/file/d/1RWeMz0RORTrBy_vvShj82D20xbTUuyrm/view?usp=sharing" TargetMode="External"/><Relationship Id="rId107" Type="http://schemas.openxmlformats.org/officeDocument/2006/relationships/hyperlink" Target="https://drive.google.com/file/d/1fhgWP6GVlcbhOsjOwE7toZqNsO96b39q/view?usp=sharing" TargetMode="External"/><Relationship Id="rId106" Type="http://schemas.openxmlformats.org/officeDocument/2006/relationships/hyperlink" Target="https://drive.google.com/file/d/145Xs1LiL-NF6zrCbJdbu7pSdp2PS-RY3/view?usp=sharing" TargetMode="External"/><Relationship Id="rId105" Type="http://schemas.openxmlformats.org/officeDocument/2006/relationships/hyperlink" Target="https://drive.google.com/file/d/1pTSnYckwSYccDaxn5U7CrLNV0Y1UXX7p/view?usp=sharing" TargetMode="External"/><Relationship Id="rId104" Type="http://schemas.openxmlformats.org/officeDocument/2006/relationships/hyperlink" Target="https://drive.google.com/file/d/1EeY4VyebKSwBZfSIK3ZGPTg-v73ahCJZ/view?usp=sharing" TargetMode="External"/><Relationship Id="rId109" Type="http://schemas.openxmlformats.org/officeDocument/2006/relationships/hyperlink" Target="https://drive.google.com/file/d/1eQEMfJZ2Xq3MnW2xaOlorST0c3CTciEu/view?usp=sharing" TargetMode="External"/><Relationship Id="rId108" Type="http://schemas.openxmlformats.org/officeDocument/2006/relationships/hyperlink" Target="https://drive.google.com/file/d/14Nzwx6Eftqp0KUVjRgR3X6RZTtLm8t9f/view?usp=sharing" TargetMode="External"/><Relationship Id="rId48" Type="http://schemas.openxmlformats.org/officeDocument/2006/relationships/hyperlink" Target="https://drive.google.com/file/d/1c3glMmWlopysqp1sFRjPIK7y6Whw13Tx/view?usp=sharing" TargetMode="External"/><Relationship Id="rId47" Type="http://schemas.openxmlformats.org/officeDocument/2006/relationships/hyperlink" Target="https://drive.google.com/file/d/1UudAWlefrjv_ailUdwfLWCm9amlD9m7L/view?usp=sharing" TargetMode="External"/><Relationship Id="rId49" Type="http://schemas.openxmlformats.org/officeDocument/2006/relationships/hyperlink" Target="https://drive.google.com/file/d/1SKdUCtbLM0d354vu3rz48KcT1D4sTOEr/view?usp=sharing" TargetMode="External"/><Relationship Id="rId103" Type="http://schemas.openxmlformats.org/officeDocument/2006/relationships/hyperlink" Target="https://drive.google.com/file/d/14c644kQIP9RubaPJbc19qn-EgNy1tvhC/view?usp=sharing" TargetMode="External"/><Relationship Id="rId102" Type="http://schemas.openxmlformats.org/officeDocument/2006/relationships/hyperlink" Target="https://drive.google.com/file/d/11XGgkIw5-WknLLJq_Oy6PLU5-LayosCH/view?usp=sharing" TargetMode="External"/><Relationship Id="rId101" Type="http://schemas.openxmlformats.org/officeDocument/2006/relationships/hyperlink" Target="https://drive.google.com/file/d/1wW_ek08gCaKfSG3VRaCY-QGi4I0iTkh9/view?usp=sharing" TargetMode="External"/><Relationship Id="rId100" Type="http://schemas.openxmlformats.org/officeDocument/2006/relationships/hyperlink" Target="https://drive.google.com/file/d/18O-mzQbGo7DBMxPShLDdaWYSiN76Ys98/view?usp=sharing" TargetMode="External"/><Relationship Id="rId31" Type="http://schemas.openxmlformats.org/officeDocument/2006/relationships/hyperlink" Target="https://drive.google.com/file/d/1il_XifhSYPVwPV1cbaWooMyI1nmH9iqV/view?usp=sharing" TargetMode="External"/><Relationship Id="rId30" Type="http://schemas.openxmlformats.org/officeDocument/2006/relationships/hyperlink" Target="https://drive.google.com/file/d/1jBM38AOrkh68hNxBn5Bn3pOZL-Yu5NUq/view?usp=sharing" TargetMode="External"/><Relationship Id="rId33" Type="http://schemas.openxmlformats.org/officeDocument/2006/relationships/hyperlink" Target="https://drive.google.com/file/d/1YBlLOzvhWVeOb4Nl6SMfJ77g4h4K6t4s/view?usp=sharing" TargetMode="External"/><Relationship Id="rId32" Type="http://schemas.openxmlformats.org/officeDocument/2006/relationships/hyperlink" Target="https://drive.google.com/file/d/1uwVvxYxqPnsQr43jveQveFJhK9wijWHy/view?usp=sharing" TargetMode="External"/><Relationship Id="rId35" Type="http://schemas.openxmlformats.org/officeDocument/2006/relationships/hyperlink" Target="https://drive.google.com/file/d/1Bwl6N7rsqLbRCyPo2HSNG4ZGgZQ_bbO5/view?usp=sharing" TargetMode="External"/><Relationship Id="rId34" Type="http://schemas.openxmlformats.org/officeDocument/2006/relationships/hyperlink" Target="https://drive.google.com/file/d/1UyngBv0CODkYoH91knkefGtQHUd9qAx_/view?usp=sharing" TargetMode="External"/><Relationship Id="rId37" Type="http://schemas.openxmlformats.org/officeDocument/2006/relationships/hyperlink" Target="https://drive.google.com/file/d/1V3LA2tiwNDo-prBSoE10yEbAx4dCEPfj/view?usp=sharing" TargetMode="External"/><Relationship Id="rId36" Type="http://schemas.openxmlformats.org/officeDocument/2006/relationships/hyperlink" Target="https://drive.google.com/file/d/1FaiCOV9vLOequb-90-PDqCHItDi1BiqP/view?usp=sharing" TargetMode="External"/><Relationship Id="rId39" Type="http://schemas.openxmlformats.org/officeDocument/2006/relationships/hyperlink" Target="https://drive.google.com/file/d/1VjmzxtpBIvNURC49YllmN3HNAf7Nnqlx/view?usp=sharing" TargetMode="External"/><Relationship Id="rId38" Type="http://schemas.openxmlformats.org/officeDocument/2006/relationships/hyperlink" Target="https://drive.google.com/file/d/1TE5fVe5huTEiI5G6JYsEzOwDb8gVZTrt/view?usp=sharing" TargetMode="External"/><Relationship Id="rId20" Type="http://schemas.openxmlformats.org/officeDocument/2006/relationships/hyperlink" Target="https://drive.google.com/file/d/1GtEjxl2xbjZDavlRvHtVJ04zypw7uSnl/view?usp=sharing" TargetMode="External"/><Relationship Id="rId22" Type="http://schemas.openxmlformats.org/officeDocument/2006/relationships/hyperlink" Target="https://drive.google.com/file/d/1cp3gsikONTe2e_JnOYB3N0jcLp_oS7YO/view?usp=sharing" TargetMode="External"/><Relationship Id="rId21" Type="http://schemas.openxmlformats.org/officeDocument/2006/relationships/hyperlink" Target="https://drive.google.com/file/d/1xemBMDrWeta0PlG6m64Cw1iao-JCGq-A/view?usp=sharing" TargetMode="External"/><Relationship Id="rId24" Type="http://schemas.openxmlformats.org/officeDocument/2006/relationships/hyperlink" Target="https://drive.google.com/file/d/1KnBt-uBdWtIx_ZLSGHPrPxdDOW8g5sLH/view?usp=sharing" TargetMode="External"/><Relationship Id="rId23" Type="http://schemas.openxmlformats.org/officeDocument/2006/relationships/hyperlink" Target="https://drive.google.com/file/d/1sprcUbl_n0c9EXNAkH5DWHol-skbYgLJ/view?usp=sharing" TargetMode="External"/><Relationship Id="rId129" Type="http://schemas.openxmlformats.org/officeDocument/2006/relationships/hyperlink" Target="https://drive.google.com/file/d/1gTV_gqStM5wjygewn7cI5DfBguDGHb7x/view?usp=sharing" TargetMode="External"/><Relationship Id="rId128" Type="http://schemas.openxmlformats.org/officeDocument/2006/relationships/hyperlink" Target="https://drive.google.com/file/d/14piPG62e1pw188ErVqArr5un-Mwrq1-z/view?usp=sharing" TargetMode="External"/><Relationship Id="rId127" Type="http://schemas.openxmlformats.org/officeDocument/2006/relationships/hyperlink" Target="https://drive.google.com/file/d/17NpipdVbKT5nCZg_4YrFCMtD7UMyQwbi/view?usp=sharing" TargetMode="External"/><Relationship Id="rId126" Type="http://schemas.openxmlformats.org/officeDocument/2006/relationships/hyperlink" Target="https://drive.google.com/file/d/1OdbgWzGVRgpQRTjZ53lnxFkeyVE19GHT/view?usp=sharing" TargetMode="External"/><Relationship Id="rId26" Type="http://schemas.openxmlformats.org/officeDocument/2006/relationships/hyperlink" Target="https://drive.google.com/file/d/1mNPEuvSwVfYee3DPczZGCjYl8ONU05Mh/view?usp=sharing" TargetMode="External"/><Relationship Id="rId121" Type="http://schemas.openxmlformats.org/officeDocument/2006/relationships/hyperlink" Target="https://drive.google.com/file/d/1kOZaHzaebtOGYTUE7OSRbb13WTuEKtSk/view?usp=sharing" TargetMode="External"/><Relationship Id="rId25" Type="http://schemas.openxmlformats.org/officeDocument/2006/relationships/hyperlink" Target="https://drive.google.com/file/d/1ec68Z_e1qFy7u9sm0fMqSETkcAd5nQLD/view?usp=sharing" TargetMode="External"/><Relationship Id="rId120" Type="http://schemas.openxmlformats.org/officeDocument/2006/relationships/hyperlink" Target="https://drive.google.com/file/d/1Lr4Pu0vm3XGSdUmEBR09Aou-MOSmCtRF/view?usp=sharing" TargetMode="External"/><Relationship Id="rId28" Type="http://schemas.openxmlformats.org/officeDocument/2006/relationships/hyperlink" Target="https://drive.google.com/file/d/11FBl0Tot2_TXFWCJSyc3_TVX_WKhBQ8x/view?usp=sharing" TargetMode="External"/><Relationship Id="rId27" Type="http://schemas.openxmlformats.org/officeDocument/2006/relationships/hyperlink" Target="https://drive.google.com/file/d/15S8kmmS-LAdRn2nky-80Q6DUnDXm24BQ/view?usp=sharing" TargetMode="External"/><Relationship Id="rId125" Type="http://schemas.openxmlformats.org/officeDocument/2006/relationships/hyperlink" Target="https://drive.google.com/file/d/1J6ut1R4f7TJTmn1Dal-ZmE7ztk2DqkrN/view?usp=sharing" TargetMode="External"/><Relationship Id="rId29" Type="http://schemas.openxmlformats.org/officeDocument/2006/relationships/hyperlink" Target="https://drive.google.com/file/d/1cwcA9UcEerbL2JkMx2rGLtKLDWVAek37/view?usp=sharing" TargetMode="External"/><Relationship Id="rId124" Type="http://schemas.openxmlformats.org/officeDocument/2006/relationships/hyperlink" Target="https://drive.google.com/file/d/12J9AY8jYlTzXB_LjrQJGoJ2ZNI3RlSzb/view?usp=sharing" TargetMode="External"/><Relationship Id="rId123" Type="http://schemas.openxmlformats.org/officeDocument/2006/relationships/hyperlink" Target="https://drive.google.com/file/d/1QnfvJ88Fz9UO1FuCkQp7zPuAFShPuKyl/view?usp=sharing" TargetMode="External"/><Relationship Id="rId122" Type="http://schemas.openxmlformats.org/officeDocument/2006/relationships/hyperlink" Target="https://drive.google.com/file/d/1smipRyZM1ZCbjxZOX-m-d0Apqk1k0Stb/view?usp=sharing" TargetMode="External"/><Relationship Id="rId95" Type="http://schemas.openxmlformats.org/officeDocument/2006/relationships/hyperlink" Target="https://drive.google.com/file/d/1tfqX2jGtMt_BqMQ_Exwz_BjNTJSTbhbG/view?usp=sharing" TargetMode="External"/><Relationship Id="rId94" Type="http://schemas.openxmlformats.org/officeDocument/2006/relationships/hyperlink" Target="https://drive.google.com/file/d/1wkGWGQZKF10GnxZ7A_7EA8XvJBnrza3U/view?usp=sharing" TargetMode="External"/><Relationship Id="rId97" Type="http://schemas.openxmlformats.org/officeDocument/2006/relationships/hyperlink" Target="https://drive.google.com/file/d/15SBDUYvYCyoGjGGfX3pQCs5OMK2BcmfA/view?usp=sharing" TargetMode="External"/><Relationship Id="rId96" Type="http://schemas.openxmlformats.org/officeDocument/2006/relationships/hyperlink" Target="https://drive.google.com/file/d/1YBrt77f8jeDE3A9YcPp0jVsA5oqt1_k4/view?usp=sharing" TargetMode="External"/><Relationship Id="rId11" Type="http://schemas.openxmlformats.org/officeDocument/2006/relationships/hyperlink" Target="https://drive.google.com/file/d/11WwuitCoc8NL41tNewEzy5UWP8TPd0jb/view?usp=sharing" TargetMode="External"/><Relationship Id="rId99" Type="http://schemas.openxmlformats.org/officeDocument/2006/relationships/hyperlink" Target="https://drive.google.com/file/d/1DF5Tm6y222Pn_gXiPSYxxzI_yMj3HtpT/view?usp=sharing" TargetMode="External"/><Relationship Id="rId10" Type="http://schemas.openxmlformats.org/officeDocument/2006/relationships/hyperlink" Target="https://drive.google.com/file/d/1ttmCddH792xSHtxly8LM9UpUuCjlmNjA/view?usp=sharing" TargetMode="External"/><Relationship Id="rId98" Type="http://schemas.openxmlformats.org/officeDocument/2006/relationships/hyperlink" Target="https://drive.google.com/file/d/1nDVpPCNT2qHT6SaDc74hyxm-34-99jGG/view?usp=sharing" TargetMode="External"/><Relationship Id="rId13" Type="http://schemas.openxmlformats.org/officeDocument/2006/relationships/hyperlink" Target="https://drive.google.com/file/d/1291vTMOSL7KfaKmFvNLGzBJkqPh8gbgQ/view?usp=sharing" TargetMode="External"/><Relationship Id="rId12" Type="http://schemas.openxmlformats.org/officeDocument/2006/relationships/hyperlink" Target="https://drive.google.com/file/d/1GVpbXu16XjRWUCnc7dciwB429HOqQ7MH/view?usp=sharing" TargetMode="External"/><Relationship Id="rId91" Type="http://schemas.openxmlformats.org/officeDocument/2006/relationships/hyperlink" Target="https://drive.google.com/file/d/1B1dUEog_Ty2D-U0re50yl_qpBrzxvvn8/view?usp=sharing" TargetMode="External"/><Relationship Id="rId90" Type="http://schemas.openxmlformats.org/officeDocument/2006/relationships/hyperlink" Target="https://drive.google.com/file/d/1pHFmEGNTtd6XZXvYrEMlKHrpq6_AXHgQ/view?usp=sharing" TargetMode="External"/><Relationship Id="rId93" Type="http://schemas.openxmlformats.org/officeDocument/2006/relationships/hyperlink" Target="https://drive.google.com/file/d/1e6y8cKgSHVKLFhQP40sS3Q-F8J0eLCzi/view?usp=sharing" TargetMode="External"/><Relationship Id="rId92" Type="http://schemas.openxmlformats.org/officeDocument/2006/relationships/hyperlink" Target="https://drive.google.com/file/d/1idsOiSwDS6ICZFdqXI5OikF_00aiuyom/view?usp=sharing" TargetMode="External"/><Relationship Id="rId118" Type="http://schemas.openxmlformats.org/officeDocument/2006/relationships/hyperlink" Target="https://drive.google.com/file/d/1yjetO0woo7hdQDmn2uMaaWxhEvYN9grb/view?usp=sharing" TargetMode="External"/><Relationship Id="rId117" Type="http://schemas.openxmlformats.org/officeDocument/2006/relationships/hyperlink" Target="https://drive.google.com/file/d/1YSW74_GrfF2NI8OD114p7X3yfZ8JL5Gt/view?usp=sharing" TargetMode="External"/><Relationship Id="rId116" Type="http://schemas.openxmlformats.org/officeDocument/2006/relationships/hyperlink" Target="https://drive.google.com/file/d/1UGZFrXLFaLgFPxDwgwLX37f-i1-y-4Sn/view?usp=sharing" TargetMode="External"/><Relationship Id="rId115" Type="http://schemas.openxmlformats.org/officeDocument/2006/relationships/hyperlink" Target="https://drive.google.com/file/d/1OyrTbz-30kNSei75PRverJr5Jr3eK4n1/view?usp=sharing" TargetMode="External"/><Relationship Id="rId119" Type="http://schemas.openxmlformats.org/officeDocument/2006/relationships/hyperlink" Target="https://drive.google.com/file/d/1In9SeN94HCwiKkF0zMyzSBlzKcop7cNr/view?usp=sharing" TargetMode="External"/><Relationship Id="rId15" Type="http://schemas.openxmlformats.org/officeDocument/2006/relationships/hyperlink" Target="https://drive.google.com/file/d/1pkF6WfeTXjfWjV9MwpyXWG7-yoa0RxGD/view?usp=sharing" TargetMode="External"/><Relationship Id="rId110" Type="http://schemas.openxmlformats.org/officeDocument/2006/relationships/hyperlink" Target="https://drive.google.com/file/d/13ffe3_xrFsaoYtbVvH6RpqYPFgQ890Hu/view?usp=sharing" TargetMode="External"/><Relationship Id="rId14" Type="http://schemas.openxmlformats.org/officeDocument/2006/relationships/hyperlink" Target="https://drive.google.com/file/d/1iS253u1oFqweXmbbiNm5Fsw3ZnDWuF_H/view?usp=sharing" TargetMode="External"/><Relationship Id="rId17" Type="http://schemas.openxmlformats.org/officeDocument/2006/relationships/hyperlink" Target="https://drive.google.com/file/d/1U_rI-QZel_z_gmGGysk0jJby6BwSK3BF/view?usp=sharing" TargetMode="External"/><Relationship Id="rId16" Type="http://schemas.openxmlformats.org/officeDocument/2006/relationships/hyperlink" Target="https://drive.google.com/file/d/1NUsOr5QnQKRL6QoLvKa_ZWkJjZNBt2qn/view?usp=sharing" TargetMode="External"/><Relationship Id="rId19" Type="http://schemas.openxmlformats.org/officeDocument/2006/relationships/hyperlink" Target="https://drive.google.com/file/d/1Mm8xyzRjRI9O8wPeEOTXpJozKkNzJuh4/view?usp=sharing" TargetMode="External"/><Relationship Id="rId114" Type="http://schemas.openxmlformats.org/officeDocument/2006/relationships/hyperlink" Target="https://drive.google.com/file/d/1x_QYRkSiFJHknz8sVhLnFM6-s1zjK5Fq/view?usp=sharing" TargetMode="External"/><Relationship Id="rId18" Type="http://schemas.openxmlformats.org/officeDocument/2006/relationships/hyperlink" Target="https://drive.google.com/file/d/1JNg-xxMmE_e-YLeOgsNDtmu_oCDHErDf/view?usp=sharing" TargetMode="External"/><Relationship Id="rId113" Type="http://schemas.openxmlformats.org/officeDocument/2006/relationships/hyperlink" Target="https://drive.google.com/file/d/1vo428dzapYedpEZPJBWxg4ngpwwz7fUI/view?usp=sharing" TargetMode="External"/><Relationship Id="rId112" Type="http://schemas.openxmlformats.org/officeDocument/2006/relationships/hyperlink" Target="https://drive.google.com/file/d/14V8Si2gAwBCG65dwhcKxk7NmPmdbNvuL/view?usp=sharing" TargetMode="External"/><Relationship Id="rId111" Type="http://schemas.openxmlformats.org/officeDocument/2006/relationships/hyperlink" Target="https://drive.google.com/file/d/1iLKnCDO7Y4_znlpoxkKttQH8KZr81kv9/view?usp=sharing" TargetMode="External"/><Relationship Id="rId84" Type="http://schemas.openxmlformats.org/officeDocument/2006/relationships/hyperlink" Target="https://drive.google.com/file/d/1MuXms6YpHYHOHmONmhpNbqxsRbvnTlHz/view?usp=sharing" TargetMode="External"/><Relationship Id="rId83" Type="http://schemas.openxmlformats.org/officeDocument/2006/relationships/hyperlink" Target="https://drive.google.com/file/d/1PhJeEDh5BOFISj3_E5dWAa5jU9UyMOBv/view?usp=sharing" TargetMode="External"/><Relationship Id="rId86" Type="http://schemas.openxmlformats.org/officeDocument/2006/relationships/hyperlink" Target="https://drive.google.com/file/d/121CPbYfu3drFsjhFPsT0aMUM8s9X4lMR/view?usp=sharing" TargetMode="External"/><Relationship Id="rId85" Type="http://schemas.openxmlformats.org/officeDocument/2006/relationships/hyperlink" Target="https://drive.google.com/file/d/1ToNbhUlGfOO1PExRM9SUtqL3JxKw_RdQ/view?usp=sharing" TargetMode="External"/><Relationship Id="rId88" Type="http://schemas.openxmlformats.org/officeDocument/2006/relationships/hyperlink" Target="https://drive.google.com/file/d/1yCKxB7CA5zjRH10cjEqCiUj9TyYbWAys/view?usp=sharing" TargetMode="External"/><Relationship Id="rId87" Type="http://schemas.openxmlformats.org/officeDocument/2006/relationships/hyperlink" Target="https://drive.google.com/file/d/17Xq8vwaQi3Stvxf2Pt8uFSmQ8QE09onN/view?usp=sharing" TargetMode="External"/><Relationship Id="rId89" Type="http://schemas.openxmlformats.org/officeDocument/2006/relationships/hyperlink" Target="https://drive.google.com/file/d/1F6jvs4kkgk7-HzDk986wPYtdQeTmAt08/view?usp=sharing" TargetMode="External"/><Relationship Id="rId80" Type="http://schemas.openxmlformats.org/officeDocument/2006/relationships/hyperlink" Target="https://drive.google.com/file/d/1i8b3oVx4RBUhV6LGsqam6qlfj5N_ATfZ/view?usp=sharing" TargetMode="External"/><Relationship Id="rId82" Type="http://schemas.openxmlformats.org/officeDocument/2006/relationships/hyperlink" Target="https://drive.google.com/file/d/1Ypzn-bfgbtcwABbsIweYilgkpOkVhzxm/view?usp=sharing" TargetMode="External"/><Relationship Id="rId81" Type="http://schemas.openxmlformats.org/officeDocument/2006/relationships/hyperlink" Target="https://drive.google.com/file/d/1Xlp3Zqik1HPAb5xrEbx9OO4jK1x9sfcQ/view?usp=sharing" TargetMode="External"/><Relationship Id="rId1" Type="http://schemas.openxmlformats.org/officeDocument/2006/relationships/hyperlink" Target="https://drive.google.com/file/d/1AVVyDgKUwMTV-az-xSUkzoriyiFB9Cux/view?usp=sharing" TargetMode="External"/><Relationship Id="rId2" Type="http://schemas.openxmlformats.org/officeDocument/2006/relationships/hyperlink" Target="https://drive.google.com/file/d/15WFuVpSS0C7MCFxL5Y9gBzPF7eH99mw1/view?usp=sharing" TargetMode="External"/><Relationship Id="rId3" Type="http://schemas.openxmlformats.org/officeDocument/2006/relationships/hyperlink" Target="https://drive.google.com/file/d/1uwVvxYxqPnsQr43jveQveFJhK9wijWHy/view?usp=sharing" TargetMode="External"/><Relationship Id="rId4" Type="http://schemas.openxmlformats.org/officeDocument/2006/relationships/hyperlink" Target="https://drive.google.com/file/d/1ZxjxehY1ExIpuonAAP7aBCWC5mwyj1A3/view?usp=sharing" TargetMode="External"/><Relationship Id="rId9" Type="http://schemas.openxmlformats.org/officeDocument/2006/relationships/hyperlink" Target="https://drive.google.com/file/d/1Ivp76Y2Tv5nDOlo1Zzw6E2DLwwI9q-22/view?usp=sharing" TargetMode="External"/><Relationship Id="rId141" Type="http://schemas.openxmlformats.org/officeDocument/2006/relationships/drawing" Target="../drawings/drawing1.xml"/><Relationship Id="rId140" Type="http://schemas.openxmlformats.org/officeDocument/2006/relationships/hyperlink" Target="https://drive.google.com/file/d/1hpkz9oUs6aPYGu4vPqq7iIPGd6TzQd1r/view?usp=sharing" TargetMode="External"/><Relationship Id="rId5" Type="http://schemas.openxmlformats.org/officeDocument/2006/relationships/hyperlink" Target="https://drive.google.com/file/d/1UIJzCPI1E3_qhFy0YVe8k0bBsMiVZ2Tn/view?usp=sharing" TargetMode="External"/><Relationship Id="rId6" Type="http://schemas.openxmlformats.org/officeDocument/2006/relationships/hyperlink" Target="https://drive.google.com/file/d/1tbaAphm1hW2B48GlaZFBpWLPuySTBNC3/view?usp=sharing" TargetMode="External"/><Relationship Id="rId7" Type="http://schemas.openxmlformats.org/officeDocument/2006/relationships/hyperlink" Target="https://drive.google.com/file/d/1m7t0NpBXl5xofEJ5rNIiScXw9Uv-Gknh/view?usp=sharing" TargetMode="External"/><Relationship Id="rId8" Type="http://schemas.openxmlformats.org/officeDocument/2006/relationships/hyperlink" Target="https://drive.google.com/file/d/1Pys8H4Bg0ZpTJD8mKqld5ObE_EicRPtd/view?usp=sharing" TargetMode="External"/><Relationship Id="rId73" Type="http://schemas.openxmlformats.org/officeDocument/2006/relationships/hyperlink" Target="https://drive.google.com/file/d/1E08xvnAO5reN9M1ip7t201zj9sEiMWPz/view?usp=sharing" TargetMode="External"/><Relationship Id="rId72" Type="http://schemas.openxmlformats.org/officeDocument/2006/relationships/hyperlink" Target="https://drive.google.com/file/d/1nT1jbSRkd30YmLJzsb-kRi4fHWovZIBt/view?usp=sharing" TargetMode="External"/><Relationship Id="rId75" Type="http://schemas.openxmlformats.org/officeDocument/2006/relationships/hyperlink" Target="https://drive.google.com/file/d/1M2whToyBICqVo2CO38tgdX9AqbhPQ6WX/view?usp=sharing" TargetMode="External"/><Relationship Id="rId74" Type="http://schemas.openxmlformats.org/officeDocument/2006/relationships/hyperlink" Target="https://drive.google.com/file/d/1jPkeEisJ6tQtPo-rwLsFuOl6MmGxFpse/view?usp=sharing" TargetMode="External"/><Relationship Id="rId77" Type="http://schemas.openxmlformats.org/officeDocument/2006/relationships/hyperlink" Target="https://drive.google.com/file/d/1gYy4UBUkuJ4xB86y0Lut941BYZab7xDZ/view?usp=sharing" TargetMode="External"/><Relationship Id="rId76" Type="http://schemas.openxmlformats.org/officeDocument/2006/relationships/hyperlink" Target="https://drive.google.com/file/d/1hO7cyq1Hs8OxDQ1DTdUxVpIsyZFCnX2b/view?usp=sharing" TargetMode="External"/><Relationship Id="rId79" Type="http://schemas.openxmlformats.org/officeDocument/2006/relationships/hyperlink" Target="https://drive.google.com/file/d/1H9aENtsM-2wz8AwFQD4olEdx0DMy3XYc/view?usp=sharing" TargetMode="External"/><Relationship Id="rId78" Type="http://schemas.openxmlformats.org/officeDocument/2006/relationships/hyperlink" Target="https://drive.google.com/file/d/1iLKnCDO7Y4_znlpoxkKttQH8KZr81kv9/view?usp=sharing" TargetMode="External"/><Relationship Id="rId71" Type="http://schemas.openxmlformats.org/officeDocument/2006/relationships/hyperlink" Target="https://drive.google.com/file/d/1LtByX2qowyIqs9F04gi-wZrUH5_vFjIq/view?usp=sharing" TargetMode="External"/><Relationship Id="rId70" Type="http://schemas.openxmlformats.org/officeDocument/2006/relationships/hyperlink" Target="https://drive.google.com/file/d/15kbxCrqYzARp7Ib_wxEHj1g6HcmKv29L/view?usp=sharing" TargetMode="External"/><Relationship Id="rId139" Type="http://schemas.openxmlformats.org/officeDocument/2006/relationships/hyperlink" Target="https://drive.google.com/file/d/1YYU7aBLxcYo2HpnnOYUCTlOTQp5Nlg5D/view?usp=sharing" TargetMode="External"/><Relationship Id="rId138" Type="http://schemas.openxmlformats.org/officeDocument/2006/relationships/hyperlink" Target="https://drive.google.com/file/d/11qb7kZqS0pcA-o08ubxrFaZtff7sFBqR/view?usp=sharing" TargetMode="External"/><Relationship Id="rId137" Type="http://schemas.openxmlformats.org/officeDocument/2006/relationships/hyperlink" Target="https://drive.google.com/file/d/1iR-ez16KbEKAzp4KDX52L0dCLX0UclvS/view?usp=sharing" TargetMode="External"/><Relationship Id="rId132" Type="http://schemas.openxmlformats.org/officeDocument/2006/relationships/hyperlink" Target="https://drive.google.com/file/d/1ckjyG8fNrS5uxZlPGXKtSEnOjrCnuMlF/view?usp=sharing" TargetMode="External"/><Relationship Id="rId131" Type="http://schemas.openxmlformats.org/officeDocument/2006/relationships/hyperlink" Target="https://drive.google.com/file/d/16VatN6OlJNGV4ilGs9I3KyJMo8aQz9BW/view?usp=sharing" TargetMode="External"/><Relationship Id="rId130" Type="http://schemas.openxmlformats.org/officeDocument/2006/relationships/hyperlink" Target="https://drive.google.com/file/d/1NB-A7A1l1Mj8AVCqSQPmg50l8N3Uycud/view?usp=sharing" TargetMode="External"/><Relationship Id="rId136" Type="http://schemas.openxmlformats.org/officeDocument/2006/relationships/hyperlink" Target="https://drive.google.com/file/d/1sb6N54ZvWRwvgXlT12uL6W-EXo-LXYLJ/view?usp=sharing" TargetMode="External"/><Relationship Id="rId135" Type="http://schemas.openxmlformats.org/officeDocument/2006/relationships/hyperlink" Target="https://drive.google.com/file/d/12WzvBHdYdQfw8Kb3oVqL8KLnPYmGRO_y/view?usp=sharing" TargetMode="External"/><Relationship Id="rId134" Type="http://schemas.openxmlformats.org/officeDocument/2006/relationships/hyperlink" Target="https://drive.google.com/file/d/1cvGE_evnQFoER9qp0GmcP-b4JzXwEiBM/view?usp=sharing" TargetMode="External"/><Relationship Id="rId133" Type="http://schemas.openxmlformats.org/officeDocument/2006/relationships/hyperlink" Target="https://drive.google.com/file/d/10l_6VeVVVeGp9gEtg2hR6E6Kbp1zOdzT/view?usp=sharing" TargetMode="External"/><Relationship Id="rId62" Type="http://schemas.openxmlformats.org/officeDocument/2006/relationships/hyperlink" Target="https://drive.google.com/file/d/1z30uEeIaZNKfilvpaH2lgJCS5b61QVcs/view?usp=sharing" TargetMode="External"/><Relationship Id="rId61" Type="http://schemas.openxmlformats.org/officeDocument/2006/relationships/hyperlink" Target="https://drive.google.com/file/d/1lR5qr8p12wvi31G6boG31TGySjYLxum3/view?usp=sharing" TargetMode="External"/><Relationship Id="rId64" Type="http://schemas.openxmlformats.org/officeDocument/2006/relationships/hyperlink" Target="https://drive.google.com/file/d/1kDPut9mZuYp8NBl6jQr-hkgqdL2-emQR/view?usp=sharing" TargetMode="External"/><Relationship Id="rId63" Type="http://schemas.openxmlformats.org/officeDocument/2006/relationships/hyperlink" Target="https://drive.google.com/file/d/1vxnLebwzjkqrz8JT2SssmrOBH_CV8DD8/view?usp=sharing" TargetMode="External"/><Relationship Id="rId66" Type="http://schemas.openxmlformats.org/officeDocument/2006/relationships/hyperlink" Target="https://drive.google.com/file/d/1RivhmrF7AryT9p9y-I4ilPiNbzkau5dO/view?usp=sharing" TargetMode="External"/><Relationship Id="rId65" Type="http://schemas.openxmlformats.org/officeDocument/2006/relationships/hyperlink" Target="https://drive.google.com/file/d/11LqLpWm6t2qe8t9ME41TzhXSJliSMOqg/view?usp=sharing" TargetMode="External"/><Relationship Id="rId68" Type="http://schemas.openxmlformats.org/officeDocument/2006/relationships/hyperlink" Target="https://drive.google.com/file/d/1PG1EsUc9QF-TjnmA48vPeJgbv9djU7Uw/view?usp=sharing" TargetMode="External"/><Relationship Id="rId67" Type="http://schemas.openxmlformats.org/officeDocument/2006/relationships/hyperlink" Target="https://drive.google.com/file/d/1FhECnZgXFfl-8_kpMrA0GyajtKxa2Ch0/view?usp=sharing" TargetMode="External"/><Relationship Id="rId60" Type="http://schemas.openxmlformats.org/officeDocument/2006/relationships/hyperlink" Target="https://drive.google.com/file/d/1yCKxB7CA5zjRH10cjEqCiUj9TyYbWAys/view?usp=sharing" TargetMode="External"/><Relationship Id="rId69" Type="http://schemas.openxmlformats.org/officeDocument/2006/relationships/hyperlink" Target="https://drive.google.com/file/d/1ytpmsS4DLJdR5Oi_XiVRVn2tc4rM95mV/view?usp=sharing" TargetMode="External"/><Relationship Id="rId51" Type="http://schemas.openxmlformats.org/officeDocument/2006/relationships/hyperlink" Target="https://drive.google.com/file/d/1EPCJAnP14uDpMglSQmdPQlFtzSEV1nVi/view?usp=sharing" TargetMode="External"/><Relationship Id="rId50" Type="http://schemas.openxmlformats.org/officeDocument/2006/relationships/hyperlink" Target="https://drive.google.com/file/d/1WrylkY8Nvky086wlA5DngFi53clt-w7x/view?usp=sharing" TargetMode="External"/><Relationship Id="rId53" Type="http://schemas.openxmlformats.org/officeDocument/2006/relationships/hyperlink" Target="https://drive.google.com/file/d/1BMofVkN2bBhcU5-k7MKQ63p1gtymarz8/view?usp=sharing" TargetMode="External"/><Relationship Id="rId52" Type="http://schemas.openxmlformats.org/officeDocument/2006/relationships/hyperlink" Target="https://drive.google.com/file/d/1tbfos9yvzDoB26lCupFuI7BS9W8TNPcf/view?usp=sharing" TargetMode="External"/><Relationship Id="rId55" Type="http://schemas.openxmlformats.org/officeDocument/2006/relationships/hyperlink" Target="https://drive.google.com/file/d/1quUFXIk7DMiouaH1QaXUJ_ePV2MK9TeT/view?usp=sharing" TargetMode="External"/><Relationship Id="rId54" Type="http://schemas.openxmlformats.org/officeDocument/2006/relationships/hyperlink" Target="https://drive.google.com/file/d/12sGRax3HJqxJ5c9bxzkOSp7VbbhG5Osi/view?usp=sharing" TargetMode="External"/><Relationship Id="rId57" Type="http://schemas.openxmlformats.org/officeDocument/2006/relationships/hyperlink" Target="https://drive.google.com/file/d/1odBo9b0pqOKT-4dTUDOov54k9pR8yzi2/view?usp=sharing" TargetMode="External"/><Relationship Id="rId56" Type="http://schemas.openxmlformats.org/officeDocument/2006/relationships/hyperlink" Target="https://drive.google.com/file/d/18unZixSjGKP-qJAyhoil-QE3f9sHGtyn/view?usp=sharing" TargetMode="External"/><Relationship Id="rId59" Type="http://schemas.openxmlformats.org/officeDocument/2006/relationships/hyperlink" Target="https://drive.google.com/file/d/1g2PRTP5ojbXAmHF7nthEh8ZgJgg-1X9h/view?usp=sharing" TargetMode="External"/><Relationship Id="rId58" Type="http://schemas.openxmlformats.org/officeDocument/2006/relationships/hyperlink" Target="https://drive.google.com/file/d/1kuRzaAvzXQrs_LZPsXsz3PE-2jwVKnTc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Prqji2GJv0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1j2E_0PRdR8CjcUbtskXl6d6_5nLTGK/view?usp=sharing" TargetMode="External"/><Relationship Id="rId42" Type="http://schemas.openxmlformats.org/officeDocument/2006/relationships/hyperlink" Target="https://drive.google.com/file/d/17WUyrIJtQuxmbIPymA2zwwIyCJoYIM64/view?usp=sharing" TargetMode="External"/><Relationship Id="rId41" Type="http://schemas.openxmlformats.org/officeDocument/2006/relationships/hyperlink" Target="https://drive.google.com/file/d/16qb_7UKC271i0SZAiPpOIpmT2_kyhFG3/view?usp=sharing" TargetMode="External"/><Relationship Id="rId44" Type="http://schemas.openxmlformats.org/officeDocument/2006/relationships/hyperlink" Target="https://drive.google.com/file/d/1pNOuP2L5ILlQogEKa1w6koE0mXRQXbSH/view?usp=sharing" TargetMode="External"/><Relationship Id="rId43" Type="http://schemas.openxmlformats.org/officeDocument/2006/relationships/hyperlink" Target="https://drive.google.com/file/d/1J-DEuLdFHCU8ttbvVu9XvAcuQ89seAtt/view?usp=sharing" TargetMode="External"/><Relationship Id="rId46" Type="http://schemas.openxmlformats.org/officeDocument/2006/relationships/hyperlink" Target="https://drive.google.com/file/d/1i_eXaUbNYFQDncyxZ-TJZnRV1zEEuS8r/view?usp=sharing" TargetMode="External"/><Relationship Id="rId45" Type="http://schemas.openxmlformats.org/officeDocument/2006/relationships/hyperlink" Target="https://drive.google.com/file/d/1QiIe8Qj1q4oUCWeb07PWA3RxsCSv63G9/view?usp=sharing" TargetMode="External"/><Relationship Id="rId107" Type="http://schemas.openxmlformats.org/officeDocument/2006/relationships/hyperlink" Target="https://drive.google.com/file/d/1E2L7roHO-SUN0yfb73NiwJDWl07v3bY6/view?usp=sharing" TargetMode="External"/><Relationship Id="rId106" Type="http://schemas.openxmlformats.org/officeDocument/2006/relationships/hyperlink" Target="https://drive.google.com/file/d/1_BYmsFBaKIj7c7V7jiXVRfQv0_FaqoaR/view?usp=sharing" TargetMode="External"/><Relationship Id="rId105" Type="http://schemas.openxmlformats.org/officeDocument/2006/relationships/hyperlink" Target="https://drive.google.com/file/d/1maFrSQJ8kKM5zLhlHlxNpEjIHYb6bR4Z/view?usp=sharing" TargetMode="External"/><Relationship Id="rId104" Type="http://schemas.openxmlformats.org/officeDocument/2006/relationships/hyperlink" Target="https://drive.google.com/file/d/13MAQ66pEzSLm7oxJLgs7plJaUP5b7JYl/view?usp=sharing" TargetMode="External"/><Relationship Id="rId109" Type="http://schemas.openxmlformats.org/officeDocument/2006/relationships/hyperlink" Target="https://drive.google.com/file/d/1IgVta4AY_p2kNzoUGMLxZivtaJ0Ej1eU/view?usp=sharing" TargetMode="External"/><Relationship Id="rId108" Type="http://schemas.openxmlformats.org/officeDocument/2006/relationships/hyperlink" Target="https://drive.google.com/file/d/17UzSbabMN4koJHWt_Me18xokUHp1n9_j/view?usp=sharing" TargetMode="External"/><Relationship Id="rId48" Type="http://schemas.openxmlformats.org/officeDocument/2006/relationships/hyperlink" Target="https://drive.google.com/file/d/19IFjkuylSNe3rOjkwKRD7HniiApN2RIF/view?usp=sharing" TargetMode="External"/><Relationship Id="rId47" Type="http://schemas.openxmlformats.org/officeDocument/2006/relationships/hyperlink" Target="https://drive.google.com/file/d/1NQxaWi2af9ZfhgKGzL2y0Z6m2gG2czO0/view?usp=sharing" TargetMode="External"/><Relationship Id="rId49" Type="http://schemas.openxmlformats.org/officeDocument/2006/relationships/hyperlink" Target="https://drive.google.com/file/d/1GFUzdaOyqI3o2hQ_Gz5FMTpNdrzD-iRd/view?usp=sharing" TargetMode="External"/><Relationship Id="rId103" Type="http://schemas.openxmlformats.org/officeDocument/2006/relationships/hyperlink" Target="https://drive.google.com/file/d/1kfj3o4SyVbOhUtcO1H6W4piKfZxtrwxy/view?usp=sharing" TargetMode="External"/><Relationship Id="rId102" Type="http://schemas.openxmlformats.org/officeDocument/2006/relationships/hyperlink" Target="https://drive.google.com/file/d/1MJWmN2E-jqW-SQJzWxXXXa9zUpU6WDX3/view?usp=sharing" TargetMode="External"/><Relationship Id="rId101" Type="http://schemas.openxmlformats.org/officeDocument/2006/relationships/hyperlink" Target="https://drive.google.com/file/d/1afUb-mGKnJtxHSpw5d0cqJDQbvadwJry/view?usp=sharing" TargetMode="External"/><Relationship Id="rId100" Type="http://schemas.openxmlformats.org/officeDocument/2006/relationships/hyperlink" Target="https://drive.google.com/file/d/16HDFmRbwuedoraW9mQoI2lzvJNtVLJKS/view?usp=sharing" TargetMode="External"/><Relationship Id="rId31" Type="http://schemas.openxmlformats.org/officeDocument/2006/relationships/hyperlink" Target="https://drive.google.com/file/d/1FNZQ0xXqYxHXB-swJlcl2-skEyTq1FmO/view?usp=sharing" TargetMode="External"/><Relationship Id="rId30" Type="http://schemas.openxmlformats.org/officeDocument/2006/relationships/hyperlink" Target="https://drive.google.com/file/d/1E7q8aD4uoWsvo-p-ocKrN1jmErOYnw6O/view?usp=sharing" TargetMode="External"/><Relationship Id="rId33" Type="http://schemas.openxmlformats.org/officeDocument/2006/relationships/hyperlink" Target="https://drive.google.com/file/d/1jww0ZZKd_R4yOA3Wv84rnBkbzpnbuIw6/view?usp=sharing" TargetMode="External"/><Relationship Id="rId32" Type="http://schemas.openxmlformats.org/officeDocument/2006/relationships/hyperlink" Target="https://drive.google.com/file/d/1a2igkJGoIo4xuS5hfQFuOgaI3iK_NAqc/view?usp=sharing" TargetMode="External"/><Relationship Id="rId35" Type="http://schemas.openxmlformats.org/officeDocument/2006/relationships/hyperlink" Target="https://drive.google.com/file/d/1637lpyo-MSHoPfXCCNoGjkzu7poS99EG/view?usp=sharing" TargetMode="External"/><Relationship Id="rId34" Type="http://schemas.openxmlformats.org/officeDocument/2006/relationships/hyperlink" Target="https://drive.google.com/file/d/14g4WywR1Glwe7rCLOODbdP5wF8SnKCpf/view?usp=sharing" TargetMode="External"/><Relationship Id="rId37" Type="http://schemas.openxmlformats.org/officeDocument/2006/relationships/hyperlink" Target="https://drive.google.com/file/d/14q_DDYfuz2bqQdr8kRYxipQNS4uxZQPA/view?usp=sharing" TargetMode="External"/><Relationship Id="rId36" Type="http://schemas.openxmlformats.org/officeDocument/2006/relationships/hyperlink" Target="https://drive.google.com/file/d/1hwZ4e6RwCV5XXc0sUZH4LCzPX9nPrV4N/view?usp=sharing" TargetMode="External"/><Relationship Id="rId39" Type="http://schemas.openxmlformats.org/officeDocument/2006/relationships/hyperlink" Target="https://drive.google.com/file/d/1H_SG_0A7L8Z9fh9XstcTzelySLeWWFYN/view?usp=sharing" TargetMode="External"/><Relationship Id="rId38" Type="http://schemas.openxmlformats.org/officeDocument/2006/relationships/hyperlink" Target="https://drive.google.com/file/d/1B7X1Oq0HdMY_R__IIhoCkwoQgeHtfbwj/view?usp=sharing" TargetMode="External"/><Relationship Id="rId20" Type="http://schemas.openxmlformats.org/officeDocument/2006/relationships/hyperlink" Target="https://drive.google.com/file/d/1pauxohaunQ8dN1zqGwE-9HdW3T0090Zk/view?usp=sharing" TargetMode="External"/><Relationship Id="rId22" Type="http://schemas.openxmlformats.org/officeDocument/2006/relationships/hyperlink" Target="https://drive.google.com/file/d/1wajq8izsI9Xia3bSsFl5P_v53019DyfX/view?usp=sharing" TargetMode="External"/><Relationship Id="rId21" Type="http://schemas.openxmlformats.org/officeDocument/2006/relationships/hyperlink" Target="https://drive.google.com/file/d/1RlEy_4Y5iIh46MCIvpGDOHauL4ajzD6V/view?usp=sharing" TargetMode="External"/><Relationship Id="rId24" Type="http://schemas.openxmlformats.org/officeDocument/2006/relationships/hyperlink" Target="https://drive.google.com/file/d/1eYhGaC9Tc4L_iv063aEWpt_eprrrL1bl/view?usp=sharing" TargetMode="External"/><Relationship Id="rId23" Type="http://schemas.openxmlformats.org/officeDocument/2006/relationships/hyperlink" Target="https://drive.google.com/file/d/1gBCUMjW7KmXineP8NwSdFUBpBpHEL9Ix/view?usp=sharing" TargetMode="External"/><Relationship Id="rId129" Type="http://schemas.openxmlformats.org/officeDocument/2006/relationships/hyperlink" Target="https://drive.google.com/file/d/1hWbwEsVuDa27Rli5BFLwbOahEc645gfm/view?usp=sharing" TargetMode="External"/><Relationship Id="rId128" Type="http://schemas.openxmlformats.org/officeDocument/2006/relationships/hyperlink" Target="https://drive.google.com/file/d/1j2ytY05HduLHusUE6MHXjgBQkKFnLHmv/view?usp=sharing" TargetMode="External"/><Relationship Id="rId127" Type="http://schemas.openxmlformats.org/officeDocument/2006/relationships/hyperlink" Target="https://drive.google.com/file/d/1Xj4vxasoS_-CCHVFwBMunu3189HjefHc/view?usp=sharing" TargetMode="External"/><Relationship Id="rId126" Type="http://schemas.openxmlformats.org/officeDocument/2006/relationships/hyperlink" Target="https://drive.google.com/file/d/16BgwlYe5e1O4goe08dHiYrz2fQJGyNR0/view?usp=sharing" TargetMode="External"/><Relationship Id="rId26" Type="http://schemas.openxmlformats.org/officeDocument/2006/relationships/hyperlink" Target="https://drive.google.com/file/d/1txH1x7C1PAosblvfKxAnsd-QsjSEMqX7/view?usp=sharing" TargetMode="External"/><Relationship Id="rId121" Type="http://schemas.openxmlformats.org/officeDocument/2006/relationships/hyperlink" Target="https://drive.google.com/file/d/1Vkk1u7m8KBXLOAxcffY242apgTuF0msm/view?usp=sharing" TargetMode="External"/><Relationship Id="rId25" Type="http://schemas.openxmlformats.org/officeDocument/2006/relationships/hyperlink" Target="https://drive.google.com/file/d/1iq3k8XveHwP5Gajhc9IFfH2OMiKG6Oj7/view?usp=sharing" TargetMode="External"/><Relationship Id="rId120" Type="http://schemas.openxmlformats.org/officeDocument/2006/relationships/hyperlink" Target="https://drive.google.com/file/d/15Rh8YMT_-YNgZ1nj-rn95HsfXHQ742Q3/view?usp=sharing" TargetMode="External"/><Relationship Id="rId28" Type="http://schemas.openxmlformats.org/officeDocument/2006/relationships/hyperlink" Target="https://drive.google.com/file/d/1CWVolgjpKqZszZl8ZPkPXRZ7bP53Pfko/view?usp=sharing" TargetMode="External"/><Relationship Id="rId27" Type="http://schemas.openxmlformats.org/officeDocument/2006/relationships/hyperlink" Target="https://drive.google.com/file/d/1Mster1hFgr4v4fRVmuwmG3jfmW791a0t/view?usp=sharing" TargetMode="External"/><Relationship Id="rId125" Type="http://schemas.openxmlformats.org/officeDocument/2006/relationships/hyperlink" Target="https://drive.google.com/file/d/1i4rxD-QVyL24hZ_notwaCNt6WB82cuAH/view?usp=sharing" TargetMode="External"/><Relationship Id="rId29" Type="http://schemas.openxmlformats.org/officeDocument/2006/relationships/hyperlink" Target="https://drive.google.com/file/d/1Gdilm9-VeLIhqU56fKW7QQ3VhCc9CsCE/view?usp=sharing" TargetMode="External"/><Relationship Id="rId124" Type="http://schemas.openxmlformats.org/officeDocument/2006/relationships/hyperlink" Target="https://drive.google.com/file/d/19GNkrbJ7PMgc_1AqqARNL93y7t-LtFPT/view?usp=sharing" TargetMode="External"/><Relationship Id="rId123" Type="http://schemas.openxmlformats.org/officeDocument/2006/relationships/hyperlink" Target="https://drive.google.com/file/d/19ord9T76yD8JckGPbQ63_JtLUMi8UI-9/view?usp=sharing" TargetMode="External"/><Relationship Id="rId122" Type="http://schemas.openxmlformats.org/officeDocument/2006/relationships/hyperlink" Target="https://drive.google.com/file/d/1rNywylpIy8gr1d7D7HjuZVP4mkPcH40j/view?usp=sharing" TargetMode="External"/><Relationship Id="rId95" Type="http://schemas.openxmlformats.org/officeDocument/2006/relationships/hyperlink" Target="https://drive.google.com/file/d/1-KnVdZqbmRCb9HUadqcKgIO9I4QtiPrL/view?usp=sharing" TargetMode="External"/><Relationship Id="rId94" Type="http://schemas.openxmlformats.org/officeDocument/2006/relationships/hyperlink" Target="https://drive.google.com/file/d/1_rCoZwke8ITV92dwOIz28zcJF4OJ0x9E/view?usp=sharing" TargetMode="External"/><Relationship Id="rId97" Type="http://schemas.openxmlformats.org/officeDocument/2006/relationships/hyperlink" Target="https://drive.google.com/file/d/1257Bwf0AZyMY3GuFYoxBFzosvp8xT06Z/view?usp=sharing" TargetMode="External"/><Relationship Id="rId96" Type="http://schemas.openxmlformats.org/officeDocument/2006/relationships/hyperlink" Target="https://drive.google.com/file/d/1vbjz4La2Gw_pu1Bt4cSICVxD0QHejz0u/view?usp=sharing" TargetMode="External"/><Relationship Id="rId11" Type="http://schemas.openxmlformats.org/officeDocument/2006/relationships/hyperlink" Target="https://drive.google.com/file/d/1gm-TbAUMlqyGkS_0sbWkE8LBwgRUCExt/view?usp=sharing" TargetMode="External"/><Relationship Id="rId99" Type="http://schemas.openxmlformats.org/officeDocument/2006/relationships/hyperlink" Target="https://drive.google.com/file/d/1eoDtzg2cP67clpgl_XkPiCVYHbca9Ec4/view?usp=sharing" TargetMode="External"/><Relationship Id="rId10" Type="http://schemas.openxmlformats.org/officeDocument/2006/relationships/hyperlink" Target="https://drive.google.com/file/d/1xRmcpJQtQSxkQm6H6QVSQ5WXzdkvNbps/view?usp=sharing" TargetMode="External"/><Relationship Id="rId98" Type="http://schemas.openxmlformats.org/officeDocument/2006/relationships/hyperlink" Target="https://drive.google.com/file/d/1mCgrYt9Or5KZpOlilA4FgiIp0_fuoYJ8/view?usp=sharing" TargetMode="External"/><Relationship Id="rId13" Type="http://schemas.openxmlformats.org/officeDocument/2006/relationships/hyperlink" Target="https://drive.google.com/file/d/1_jKCSZdiGC9-JUHj15hVazrNtBt3jRv3/view?usp=sharing" TargetMode="External"/><Relationship Id="rId12" Type="http://schemas.openxmlformats.org/officeDocument/2006/relationships/hyperlink" Target="https://drive.google.com/file/d/1rS91S_nMRSqIabvVXpz5e0Xh1SsCMZG1/view?usp=sharing" TargetMode="External"/><Relationship Id="rId91" Type="http://schemas.openxmlformats.org/officeDocument/2006/relationships/hyperlink" Target="https://drive.google.com/file/d/1PkFr4y58yN44E9TBqs91wN1zmo1VeA6A/view?usp=sharing" TargetMode="External"/><Relationship Id="rId90" Type="http://schemas.openxmlformats.org/officeDocument/2006/relationships/hyperlink" Target="https://drive.google.com/file/d/1ubDarw1Lp9GGB1blgAuVJwV2vmEF2mEj/view?usp=sharing" TargetMode="External"/><Relationship Id="rId93" Type="http://schemas.openxmlformats.org/officeDocument/2006/relationships/hyperlink" Target="https://drive.google.com/file/d/1Qs6s_v-XL2wrY3v-dgOoVm8Xe3KaSxXS/view?usp=sharing" TargetMode="External"/><Relationship Id="rId92" Type="http://schemas.openxmlformats.org/officeDocument/2006/relationships/hyperlink" Target="https://drive.google.com/file/d/1XyIexjgEJN7x44wvXeeBNwal2FFwKiNz/view?usp=sharing" TargetMode="External"/><Relationship Id="rId118" Type="http://schemas.openxmlformats.org/officeDocument/2006/relationships/hyperlink" Target="https://drive.google.com/file/d/15fIKNCmkg5tHmURjuBSEXMePgf8WPCw7/view?usp=sharing" TargetMode="External"/><Relationship Id="rId117" Type="http://schemas.openxmlformats.org/officeDocument/2006/relationships/hyperlink" Target="https://drive.google.com/file/d/1Aw4w13HWFjolQK6N0KTDN7FVdzPhVTwK/view?usp=sharing" TargetMode="External"/><Relationship Id="rId116" Type="http://schemas.openxmlformats.org/officeDocument/2006/relationships/hyperlink" Target="https://drive.google.com/file/d/1Q2VUT3V9vy4LGadnehSMDtG9oVn8w21u/view?usp=sharing" TargetMode="External"/><Relationship Id="rId115" Type="http://schemas.openxmlformats.org/officeDocument/2006/relationships/hyperlink" Target="https://drive.google.com/file/d/1NU5TFBvz1UwU8JeVD44wGQry8Ycb3_5P/view?usp=sharing" TargetMode="External"/><Relationship Id="rId119" Type="http://schemas.openxmlformats.org/officeDocument/2006/relationships/hyperlink" Target="https://drive.google.com/file/d/1t5RVx1i7p5n9uSE7uea9-swTIFZTLV28/view?usp=sharing" TargetMode="External"/><Relationship Id="rId15" Type="http://schemas.openxmlformats.org/officeDocument/2006/relationships/hyperlink" Target="https://drive.google.com/file/d/14VXsk3iyO0wgdaknnhkL-DbPwl6JEXDI/view?usp=sharing" TargetMode="External"/><Relationship Id="rId110" Type="http://schemas.openxmlformats.org/officeDocument/2006/relationships/hyperlink" Target="https://drive.google.com/file/d/1GXID-1YB1xOqLRwBTPk0vnY4uDANa7SS/view?usp=sharing" TargetMode="External"/><Relationship Id="rId14" Type="http://schemas.openxmlformats.org/officeDocument/2006/relationships/hyperlink" Target="https://drive.google.com/file/d/12J7P5WODB5JhZIyL46Efq3PWtQey8ZLn/view?usp=sharing" TargetMode="External"/><Relationship Id="rId17" Type="http://schemas.openxmlformats.org/officeDocument/2006/relationships/hyperlink" Target="https://drive.google.com/file/d/1vdvlUqZhYaMuKnR4CPAHpPkS9G6FzpdZ/view?usp=sharing" TargetMode="External"/><Relationship Id="rId16" Type="http://schemas.openxmlformats.org/officeDocument/2006/relationships/hyperlink" Target="https://drive.google.com/file/d/1ytBNzqIxlR3dwrM0rUvlwGQI2jtEj219/view?usp=sharing" TargetMode="External"/><Relationship Id="rId19" Type="http://schemas.openxmlformats.org/officeDocument/2006/relationships/hyperlink" Target="https://drive.google.com/file/d/1GD_wY6m6Vrr_dYPwezUxisdYtgnefVbS/view?usp=sharing" TargetMode="External"/><Relationship Id="rId114" Type="http://schemas.openxmlformats.org/officeDocument/2006/relationships/hyperlink" Target="https://drive.google.com/file/d/12LtoKN3W1dvr9486rPG27YCj90HkqD6B/view?usp=sharing" TargetMode="External"/><Relationship Id="rId18" Type="http://schemas.openxmlformats.org/officeDocument/2006/relationships/hyperlink" Target="https://drive.google.com/file/d/1Kvm3j_jPLBFZtQ7Cfj-yoKLQmTlIA7cC/view?usp=sharing" TargetMode="External"/><Relationship Id="rId113" Type="http://schemas.openxmlformats.org/officeDocument/2006/relationships/hyperlink" Target="https://drive.google.com/file/d/1eoemEtvcfKzmZ-YVnXHE_SrIoKbsIxPc/view?usp=sharing" TargetMode="External"/><Relationship Id="rId112" Type="http://schemas.openxmlformats.org/officeDocument/2006/relationships/hyperlink" Target="https://drive.google.com/file/d/1seuVMhgwmQ8YzyGTxVy-2XlOEAz3fA35/view?usp=sharing" TargetMode="External"/><Relationship Id="rId111" Type="http://schemas.openxmlformats.org/officeDocument/2006/relationships/hyperlink" Target="https://drive.google.com/file/d/1hLVOUQtyje79sAdOyFroBa0ZjvQy9ZyM/view?usp=sharing" TargetMode="External"/><Relationship Id="rId84" Type="http://schemas.openxmlformats.org/officeDocument/2006/relationships/hyperlink" Target="https://drive.google.com/file/d/1ftncIOhzC4WUMNvLf6CSnO31Ye4B2tKA/view?usp=sharing" TargetMode="External"/><Relationship Id="rId83" Type="http://schemas.openxmlformats.org/officeDocument/2006/relationships/hyperlink" Target="https://drive.google.com/file/d/12H6PhCdYE0fPZrkP8vLQrOxFpQPODgMx/view?usp=sharing" TargetMode="External"/><Relationship Id="rId86" Type="http://schemas.openxmlformats.org/officeDocument/2006/relationships/hyperlink" Target="https://drive.google.com/file/d/1pLX7wGs6QDBY2imG_eBETk7yR4T7oQts/view?usp=sharing" TargetMode="External"/><Relationship Id="rId85" Type="http://schemas.openxmlformats.org/officeDocument/2006/relationships/hyperlink" Target="https://drive.google.com/file/d/1yQVZNcRBpHo7V38N6u3XY83r-i7BoI9q/view?usp=sharing" TargetMode="External"/><Relationship Id="rId88" Type="http://schemas.openxmlformats.org/officeDocument/2006/relationships/hyperlink" Target="https://drive.google.com/file/d/1E3isA4wSA5hFZmFpfkmcsfgr-a3xI7lr/view?usp=sharing" TargetMode="External"/><Relationship Id="rId87" Type="http://schemas.openxmlformats.org/officeDocument/2006/relationships/hyperlink" Target="https://drive.google.com/file/d/1w2P49tNP8FSFdYjsrJCjQT68nnk54Lbc/view?usp=sharing" TargetMode="External"/><Relationship Id="rId89" Type="http://schemas.openxmlformats.org/officeDocument/2006/relationships/hyperlink" Target="https://drive.google.com/file/d/1xiyHY6tT9mqHITD6v990jqkfoKuY_FqR/view?usp=sharing" TargetMode="External"/><Relationship Id="rId80" Type="http://schemas.openxmlformats.org/officeDocument/2006/relationships/hyperlink" Target="https://drive.google.com/file/d/1CSDojRqXWyJzU4XzE3ORVtiM2jth7Wok/view?usp=sharing" TargetMode="External"/><Relationship Id="rId82" Type="http://schemas.openxmlformats.org/officeDocument/2006/relationships/hyperlink" Target="https://drive.google.com/file/d/1V0aOIjqFMEX9vUy1O-UlAU3syS3SOa8K/view?usp=sharing" TargetMode="External"/><Relationship Id="rId81" Type="http://schemas.openxmlformats.org/officeDocument/2006/relationships/hyperlink" Target="https://drive.google.com/file/d/1YHuCVYNx_1YONSjwT7yiXRCL01RyQHjO/view?usp=sharing" TargetMode="External"/><Relationship Id="rId1" Type="http://schemas.openxmlformats.org/officeDocument/2006/relationships/hyperlink" Target="https://drive.google.com/file/d/1dNSg1BbBwUJTDNznTu9FAF1_50BwWlwg/view?usp=sharing" TargetMode="External"/><Relationship Id="rId2" Type="http://schemas.openxmlformats.org/officeDocument/2006/relationships/hyperlink" Target="https://drive.google.com/file/d/1oeHgPilzvqk0LLi86RSFfpoGbUpP_ZHr/view?usp=sharing" TargetMode="External"/><Relationship Id="rId3" Type="http://schemas.openxmlformats.org/officeDocument/2006/relationships/hyperlink" Target="https://drive.google.com/file/d/1hDhQMfCkb6zyIMcrpWRBPhpvEAC5wkDd/view?usp=sharing" TargetMode="External"/><Relationship Id="rId4" Type="http://schemas.openxmlformats.org/officeDocument/2006/relationships/hyperlink" Target="https://drive.google.com/file/d/16nkOWip5FY02jYJvzeAcw1nIP1MnKidM/view?usp=sharing" TargetMode="External"/><Relationship Id="rId9" Type="http://schemas.openxmlformats.org/officeDocument/2006/relationships/hyperlink" Target="https://drive.google.com/file/d/1ybhFOy-LwXpB54mlkduWlFxoF3JD8y5_/view?usp=sharing" TargetMode="External"/><Relationship Id="rId5" Type="http://schemas.openxmlformats.org/officeDocument/2006/relationships/hyperlink" Target="https://drive.google.com/file/d/1CWaJEMKUlLBMbyJSm20tYRooypdNvAzA/view?usp=sharing" TargetMode="External"/><Relationship Id="rId6" Type="http://schemas.openxmlformats.org/officeDocument/2006/relationships/hyperlink" Target="https://drive.google.com/file/d/1eay_2WC3buy3LIgtIHt5KD5trelDJkvi/view?usp=sharing" TargetMode="External"/><Relationship Id="rId7" Type="http://schemas.openxmlformats.org/officeDocument/2006/relationships/hyperlink" Target="https://drive.google.com/file/d/1aSc9SjxjuZuhoI-DbblFLcBEVVMXY2He/view?usp=sharing" TargetMode="External"/><Relationship Id="rId8" Type="http://schemas.openxmlformats.org/officeDocument/2006/relationships/hyperlink" Target="https://drive.google.com/file/d/1U1nAjF5wB2C_exQNqyMu8kHj1kI5MY1Z/view?usp=sharing" TargetMode="External"/><Relationship Id="rId73" Type="http://schemas.openxmlformats.org/officeDocument/2006/relationships/hyperlink" Target="https://drive.google.com/file/d/1A7gfXA_H7p5_UU0HjXqOxYmKE8zIFmXG/view?usp=sharing" TargetMode="External"/><Relationship Id="rId72" Type="http://schemas.openxmlformats.org/officeDocument/2006/relationships/hyperlink" Target="https://drive.google.com/file/d/1w6xKwvVA7D-IE57wiOfSTHvhVK2rug5B/view?usp=sharing" TargetMode="External"/><Relationship Id="rId75" Type="http://schemas.openxmlformats.org/officeDocument/2006/relationships/hyperlink" Target="https://drive.google.com/file/d/1lGPSiSr0C2zyF2rI2et5Wtcq4EzWWajE/view?usp=sharing" TargetMode="External"/><Relationship Id="rId74" Type="http://schemas.openxmlformats.org/officeDocument/2006/relationships/hyperlink" Target="https://drive.google.com/file/d/1h68Ev9p5_35GhW_SmcN2gOwRO4HTG9M3/view?usp=sharing" TargetMode="External"/><Relationship Id="rId77" Type="http://schemas.openxmlformats.org/officeDocument/2006/relationships/hyperlink" Target="https://drive.google.com/file/d/1EO_EErfDRYz0FNG-7rQr-LCXRzIEwclv/view?usp=sharing" TargetMode="External"/><Relationship Id="rId76" Type="http://schemas.openxmlformats.org/officeDocument/2006/relationships/hyperlink" Target="https://drive.google.com/file/d/1-w402u2GcaCAdFQTKwdINtNAByIhZwyW/view?usp=sharing" TargetMode="External"/><Relationship Id="rId79" Type="http://schemas.openxmlformats.org/officeDocument/2006/relationships/hyperlink" Target="https://drive.google.com/file/d/1I-t6awahCmcJkA7dyAHd06o3vFFritI0/view?usp=sharing" TargetMode="External"/><Relationship Id="rId78" Type="http://schemas.openxmlformats.org/officeDocument/2006/relationships/hyperlink" Target="https://drive.google.com/file/d/1hdtLnJlhbQO2exveijG69A0eESEIdNzS/view?usp=sharing" TargetMode="External"/><Relationship Id="rId71" Type="http://schemas.openxmlformats.org/officeDocument/2006/relationships/hyperlink" Target="https://drive.google.com/file/d/1He5t24whfEOke_wz02gc2QIvoLmTHAto/view?usp=sharing" TargetMode="External"/><Relationship Id="rId70" Type="http://schemas.openxmlformats.org/officeDocument/2006/relationships/hyperlink" Target="https://drive.google.com/file/d/1W2xy3yMQP3r-n6aVNLJGSAhU1LrXEpnq/view?usp=sharing" TargetMode="External"/><Relationship Id="rId139" Type="http://schemas.openxmlformats.org/officeDocument/2006/relationships/drawing" Target="../drawings/drawing3.xml"/><Relationship Id="rId138" Type="http://schemas.openxmlformats.org/officeDocument/2006/relationships/hyperlink" Target="https://drive.google.com/file/d/1Iqif40G-gFrFSosLm0TCDQpbKbu9Pf7U/view?usp=sharing" TargetMode="External"/><Relationship Id="rId137" Type="http://schemas.openxmlformats.org/officeDocument/2006/relationships/hyperlink" Target="https://drive.google.com/file/d/1syDpZksmCPDVsYO50iADv89RnePJwRQY/view?usp=sharing" TargetMode="External"/><Relationship Id="rId132" Type="http://schemas.openxmlformats.org/officeDocument/2006/relationships/hyperlink" Target="https://drive.google.com/file/d/1lqEfhkpAKVxnw0DupW0MIlY2cvHZATpF/view?usp=sharing" TargetMode="External"/><Relationship Id="rId131" Type="http://schemas.openxmlformats.org/officeDocument/2006/relationships/hyperlink" Target="https://drive.google.com/file/d/1b461DTUBpCTkobvLwh93PGohUkPWYMee/view?usp=sharing" TargetMode="External"/><Relationship Id="rId130" Type="http://schemas.openxmlformats.org/officeDocument/2006/relationships/hyperlink" Target="https://drive.google.com/file/d/1ocktAcLdkeiEmvPdOqfCII8VMKyIkAKj/view?usp=sharing" TargetMode="External"/><Relationship Id="rId136" Type="http://schemas.openxmlformats.org/officeDocument/2006/relationships/hyperlink" Target="https://drive.google.com/file/d/1ahj__8HW_MAa7tEZ6epCHJQJqBVDl8O-/view?usp=sharing" TargetMode="External"/><Relationship Id="rId135" Type="http://schemas.openxmlformats.org/officeDocument/2006/relationships/hyperlink" Target="https://drive.google.com/file/d/1eTJTilrH0NSj-p5uSJKB49-KvbpTpY_4/view?usp=sharing" TargetMode="External"/><Relationship Id="rId134" Type="http://schemas.openxmlformats.org/officeDocument/2006/relationships/hyperlink" Target="https://drive.google.com/file/d/1r0gncEf3A6YMPvXOj7PYC5Fg_kWs7ZD1/view?usp=sharing" TargetMode="External"/><Relationship Id="rId133" Type="http://schemas.openxmlformats.org/officeDocument/2006/relationships/hyperlink" Target="https://drive.google.com/file/d/1u0q3eaR_ZY10ivBhON8gM0qEEpUz3UyI/view?usp=sharing" TargetMode="External"/><Relationship Id="rId62" Type="http://schemas.openxmlformats.org/officeDocument/2006/relationships/hyperlink" Target="https://drive.google.com/file/d/1C-J8HLO3auxEhBXzU7rzYwWdOYAPnejz/view?usp=sharing" TargetMode="External"/><Relationship Id="rId61" Type="http://schemas.openxmlformats.org/officeDocument/2006/relationships/hyperlink" Target="https://drive.google.com/file/d/1lwaavy8NXE8ISaQXm_0275eLWgQkbTtS/view?usp=sharing" TargetMode="External"/><Relationship Id="rId64" Type="http://schemas.openxmlformats.org/officeDocument/2006/relationships/hyperlink" Target="https://drive.google.com/file/d/1tEKDYXWY5jrqNolqDEN9VXM-MgmZs6hz/view?usp=sharing" TargetMode="External"/><Relationship Id="rId63" Type="http://schemas.openxmlformats.org/officeDocument/2006/relationships/hyperlink" Target="https://drive.google.com/file/d/17aGfj9QkjOzmt1LipJzFWakaOEerneQR/view?usp=sharing" TargetMode="External"/><Relationship Id="rId66" Type="http://schemas.openxmlformats.org/officeDocument/2006/relationships/hyperlink" Target="https://drive.google.com/file/d/1A7gfXA_H7p5_UU0HjXqOxYmKE8zIFmXG/view?usp=sharing" TargetMode="External"/><Relationship Id="rId65" Type="http://schemas.openxmlformats.org/officeDocument/2006/relationships/hyperlink" Target="https://drive.google.com/file/d/1YdIPrT6sXkEHZrQjH00fTWNSInDgydxe/view?usp=sharing" TargetMode="External"/><Relationship Id="rId68" Type="http://schemas.openxmlformats.org/officeDocument/2006/relationships/hyperlink" Target="https://drive.google.com/file/d/13uC7MI4yqClRdHqzuDWy1LtB-h11A8wC/view?usp=sharing" TargetMode="External"/><Relationship Id="rId67" Type="http://schemas.openxmlformats.org/officeDocument/2006/relationships/hyperlink" Target="https://drive.google.com/file/d/1XqVDPLZADn5OuqyyJ5d5_9JMdghi4WQC/view?usp=sharing" TargetMode="External"/><Relationship Id="rId60" Type="http://schemas.openxmlformats.org/officeDocument/2006/relationships/hyperlink" Target="https://drive.google.com/file/d/1yB2tdHGLwwffXqIJOOjyY5MuUftJoyZN/view?usp=sharing" TargetMode="External"/><Relationship Id="rId69" Type="http://schemas.openxmlformats.org/officeDocument/2006/relationships/hyperlink" Target="https://drive.google.com/file/d/1uCbG-gUNtoQ162MqsMS43utcZm-PAGUk/view?usp=sharing" TargetMode="External"/><Relationship Id="rId51" Type="http://schemas.openxmlformats.org/officeDocument/2006/relationships/hyperlink" Target="https://drive.google.com/file/d/1uxtedZB06Z2MhrR3NtwtxszrMIIUy4kv/view?usp=sharing" TargetMode="External"/><Relationship Id="rId50" Type="http://schemas.openxmlformats.org/officeDocument/2006/relationships/hyperlink" Target="https://drive.google.com/file/d/1Z4ScTqYakF0hvTpFjZaHtqh7diSrD13L/view?usp=sharing" TargetMode="External"/><Relationship Id="rId53" Type="http://schemas.openxmlformats.org/officeDocument/2006/relationships/hyperlink" Target="https://drive.google.com/file/d/1cQ5B9dg6Bksj7WGS44Ih0SsDVrQmGpfd/view?usp=sharing" TargetMode="External"/><Relationship Id="rId52" Type="http://schemas.openxmlformats.org/officeDocument/2006/relationships/hyperlink" Target="https://drive.google.com/file/d/18ChAQs_ArnBkT0PoMeQRwHDcHl3LYHbA/view?usp=sharing" TargetMode="External"/><Relationship Id="rId55" Type="http://schemas.openxmlformats.org/officeDocument/2006/relationships/hyperlink" Target="https://drive.google.com/file/d/1mSTpvFz4LyiBcl3HOlO3WOGNul6xlPZt/view?usp=sharing" TargetMode="External"/><Relationship Id="rId54" Type="http://schemas.openxmlformats.org/officeDocument/2006/relationships/hyperlink" Target="https://drive.google.com/file/d/1KYBo5aCiuShTeqg8H5J3o7a6r6iLGbRq/view?usp=sharing" TargetMode="External"/><Relationship Id="rId57" Type="http://schemas.openxmlformats.org/officeDocument/2006/relationships/hyperlink" Target="https://drive.google.com/file/d/1YFWfH4cmoRXxjuleJr_5yC81CsBeePKu/view?usp=sharing" TargetMode="External"/><Relationship Id="rId56" Type="http://schemas.openxmlformats.org/officeDocument/2006/relationships/hyperlink" Target="https://drive.google.com/file/d/1KGb_JvzlrOkYqlcER6BQFUzmNj2sB-Yy/view?usp=sharing" TargetMode="External"/><Relationship Id="rId59" Type="http://schemas.openxmlformats.org/officeDocument/2006/relationships/hyperlink" Target="https://drive.google.com/file/d/1t2f2q_lGt8bw-bmAusRMVvGHtPDAKDcD/view?usp=sharing" TargetMode="External"/><Relationship Id="rId58" Type="http://schemas.openxmlformats.org/officeDocument/2006/relationships/hyperlink" Target="https://drive.google.com/file/d/1jQtJ3NgtyI7gsLOhGFm671fesWX5hq23/view?usp=sharing" TargetMode="External"/></Relationships>
</file>

<file path=xl/worksheets/_rels/sheet4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file/d/1_GgSJ6VhPaTxhHl3Xf-qNkYAR0rpFZRS/view?usp=sharing" TargetMode="External"/><Relationship Id="rId30" Type="http://schemas.openxmlformats.org/officeDocument/2006/relationships/hyperlink" Target="https://drive.google.com/file/d/1B3E8yqZVUZj3LrKVyMVavG5P4KSWm0qQ/view?usp=sharing" TargetMode="External"/><Relationship Id="rId33" Type="http://schemas.openxmlformats.org/officeDocument/2006/relationships/drawing" Target="../drawings/drawing4.xml"/><Relationship Id="rId32" Type="http://schemas.openxmlformats.org/officeDocument/2006/relationships/hyperlink" Target="https://drive.google.com/file/d/1BxZNNe0VXTreOnYgzxpbVqAfiZduaeEg/view?usp=sharing" TargetMode="External"/><Relationship Id="rId20" Type="http://schemas.openxmlformats.org/officeDocument/2006/relationships/hyperlink" Target="https://drive.google.com/file/d/1PQiqPIrYwr_qaU5BwLJFngrsXIcoIM4D/view?usp=sharing" TargetMode="External"/><Relationship Id="rId22" Type="http://schemas.openxmlformats.org/officeDocument/2006/relationships/hyperlink" Target="https://drive.google.com/file/d/1BFiFebKWlggbRz7NkpOq_G2hw7jAQoqE/view?usp=sharing" TargetMode="External"/><Relationship Id="rId21" Type="http://schemas.openxmlformats.org/officeDocument/2006/relationships/hyperlink" Target="https://drive.google.com/file/d/1Z6gGJXABUK2W5ZukN3pYZEDYoAOi1dot/view?usp=sharing" TargetMode="External"/><Relationship Id="rId24" Type="http://schemas.openxmlformats.org/officeDocument/2006/relationships/hyperlink" Target="https://drive.google.com/file/d/1QosgitJ084e665AGSoFgBZtEo2EvsAH0/view?usp=sharing" TargetMode="External"/><Relationship Id="rId23" Type="http://schemas.openxmlformats.org/officeDocument/2006/relationships/hyperlink" Target="https://drive.google.com/file/d/1M5Io6ZjoW2YQRTp6jcWVRYCO7cnm0ZRl/view?usp=sharing" TargetMode="External"/><Relationship Id="rId26" Type="http://schemas.openxmlformats.org/officeDocument/2006/relationships/hyperlink" Target="https://drive.google.com/file/d/1Vyfx0aFCaPHZInESrUD9AfksFOVbdJ9O/view?usp=sharing" TargetMode="External"/><Relationship Id="rId25" Type="http://schemas.openxmlformats.org/officeDocument/2006/relationships/hyperlink" Target="https://drive.google.com/file/d/1lAzXOKznY2KRZaoge-ntl3kZCpORqWjf/view?usp=sharing" TargetMode="External"/><Relationship Id="rId28" Type="http://schemas.openxmlformats.org/officeDocument/2006/relationships/hyperlink" Target="https://drive.google.com/file/d/1QosgitJ084e665AGSoFgBZtEo2EvsAH0/view?usp=sharing" TargetMode="External"/><Relationship Id="rId27" Type="http://schemas.openxmlformats.org/officeDocument/2006/relationships/hyperlink" Target="https://drive.google.com/file/d/1BVQo-PTrl5EtIsdGNJeeCep3mOoCjWny/view?usp=sharing" TargetMode="External"/><Relationship Id="rId29" Type="http://schemas.openxmlformats.org/officeDocument/2006/relationships/hyperlink" Target="https://drive.google.com/file/d/14GUsfrGCY3Ty0xkRPg49as8iOJWu7FUa/view?usp=sharing" TargetMode="External"/><Relationship Id="rId11" Type="http://schemas.openxmlformats.org/officeDocument/2006/relationships/hyperlink" Target="https://drive.google.com/file/d/1dQRGLVYyUDJm-Dge7fprvuAxGwKu4ySO/view?usp=sharing" TargetMode="External"/><Relationship Id="rId10" Type="http://schemas.openxmlformats.org/officeDocument/2006/relationships/hyperlink" Target="https://drive.google.com/file/d/1MTArkqQpZEelPTJVz8LV-sD79TcET3C4/view?usp=sharing" TargetMode="External"/><Relationship Id="rId13" Type="http://schemas.openxmlformats.org/officeDocument/2006/relationships/hyperlink" Target="https://drive.google.com/file/d/1GBThPZMABAg1e6Kr5sv6toxElDe03dzE/view?usp=sharing" TargetMode="External"/><Relationship Id="rId12" Type="http://schemas.openxmlformats.org/officeDocument/2006/relationships/hyperlink" Target="https://drive.google.com/file/d/1muOj_LJ8YC9TwJ1w_NP5ir0omTuiS0h1/view?usp=sharing" TargetMode="External"/><Relationship Id="rId15" Type="http://schemas.openxmlformats.org/officeDocument/2006/relationships/hyperlink" Target="https://drive.google.com/file/d/1WNU4Ytsv5a5w3BHJRmSajDbSdaNug2Gc/view?usp=sharing" TargetMode="External"/><Relationship Id="rId14" Type="http://schemas.openxmlformats.org/officeDocument/2006/relationships/hyperlink" Target="https://drive.google.com/file/d/1tXDp4qzpBIDHTF7Pm22GYH-5aLlXcm6U/view?usp=sharing" TargetMode="External"/><Relationship Id="rId17" Type="http://schemas.openxmlformats.org/officeDocument/2006/relationships/hyperlink" Target="https://drive.google.com/file/d/1DgeLEGFvLyTNvOIE6zQUrgmw0D9GHskM/view?usp=sharing" TargetMode="External"/><Relationship Id="rId16" Type="http://schemas.openxmlformats.org/officeDocument/2006/relationships/hyperlink" Target="https://drive.google.com/file/d/10uaDPsoViQ3yl3R9zX7L87Nguap_ZwkT/view?usp=sharing" TargetMode="External"/><Relationship Id="rId19" Type="http://schemas.openxmlformats.org/officeDocument/2006/relationships/hyperlink" Target="https://drive.google.com/file/d/1czEJ5MzqxWw83x7N8NALwcujNAb8-qq4/view?usp=sharing" TargetMode="External"/><Relationship Id="rId18" Type="http://schemas.openxmlformats.org/officeDocument/2006/relationships/hyperlink" Target="https://drive.google.com/file/d/1GtYoBPZemP9IQn_rhinDp2zKDOYHaSwa/view?usp=sharing" TargetMode="External"/><Relationship Id="rId1" Type="http://schemas.openxmlformats.org/officeDocument/2006/relationships/hyperlink" Target="https://drive.google.com/file/d/19IvmXCEO4hmKf5XnmoQt6S32WTr1mwZ_/view?usp=sharing" TargetMode="External"/><Relationship Id="rId2" Type="http://schemas.openxmlformats.org/officeDocument/2006/relationships/hyperlink" Target="https://drive.google.com/file/d/1smQcB3x-Pd12htb4oYkU6fWE-tT3pB9b/view?usp=sharing" TargetMode="External"/><Relationship Id="rId3" Type="http://schemas.openxmlformats.org/officeDocument/2006/relationships/hyperlink" Target="https://drive.google.com/file/d/1vJe1NRCyWj61GYqQb-Dv8Juktq02PZ6K/view?usp=sharing" TargetMode="External"/><Relationship Id="rId4" Type="http://schemas.openxmlformats.org/officeDocument/2006/relationships/hyperlink" Target="https://drive.google.com/file/d/1ht_KiSY5dMJpGHWyYxanYk0qtqCi9ycO/view?usp=sharing" TargetMode="External"/><Relationship Id="rId9" Type="http://schemas.openxmlformats.org/officeDocument/2006/relationships/hyperlink" Target="https://drive.google.com/file/d/1Aw1tRWsXzRdWOkPp5CiEi0YXYilPjFTV/view?usp=sharing" TargetMode="External"/><Relationship Id="rId5" Type="http://schemas.openxmlformats.org/officeDocument/2006/relationships/hyperlink" Target="https://drive.google.com/file/d/10qlH0hRBcNQYbp0xBTM3bo2EExPRo9JY/view?usp=sharing" TargetMode="External"/><Relationship Id="rId6" Type="http://schemas.openxmlformats.org/officeDocument/2006/relationships/hyperlink" Target="https://drive.google.com/file/d/1xBgMUsHq7aQN0zBjD6cFTBYe-8xemsdC/view?usp=sharing" TargetMode="External"/><Relationship Id="rId7" Type="http://schemas.openxmlformats.org/officeDocument/2006/relationships/hyperlink" Target="https://drive.google.com/file/d/1cmlkVp-K70VBj3EL2MuNWhxwyE-jLwkY/view?usp=sharing" TargetMode="External"/><Relationship Id="rId8" Type="http://schemas.openxmlformats.org/officeDocument/2006/relationships/hyperlink" Target="https://drive.google.com/file/d/1IcoKyAXlwXa0Nie5CvJ9L30o8xKwqLie/view?usp=sharing" TargetMode="External"/></Relationships>
</file>

<file path=xl/worksheets/_rels/sheet5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5.xml"/><Relationship Id="rId20" Type="http://schemas.openxmlformats.org/officeDocument/2006/relationships/hyperlink" Target="https://drive.google.com/file/d/1xl3__LBTZDvQJ0jbmC3_pdmcsYkN_bEJ/view?usp=sharing" TargetMode="External"/><Relationship Id="rId22" Type="http://schemas.openxmlformats.org/officeDocument/2006/relationships/hyperlink" Target="https://drive.google.com/file/d/1UudAWlefrjv_ailUdwfLWCm9amlD9m7L/view?usp=sharing" TargetMode="External"/><Relationship Id="rId21" Type="http://schemas.openxmlformats.org/officeDocument/2006/relationships/hyperlink" Target="https://drive.google.com/file/d/11LqLpWm6t2qe8t9ME41TzhXSJliSMOqg/view?usp=sharing" TargetMode="External"/><Relationship Id="rId24" Type="http://schemas.openxmlformats.org/officeDocument/2006/relationships/hyperlink" Target="https://drive.google.com/file/d/15S8kmmS-LAdRn2nky-80Q6DUnDXm24BQ/view?usp=sharing" TargetMode="External"/><Relationship Id="rId23" Type="http://schemas.openxmlformats.org/officeDocument/2006/relationships/hyperlink" Target="https://drive.google.com/file/d/1jPkeEisJ6tQtPo-rwLsFuOl6MmGxFpse/view?usp=sharing" TargetMode="External"/><Relationship Id="rId26" Type="http://schemas.openxmlformats.org/officeDocument/2006/relationships/hyperlink" Target="https://drive.google.com/file/d/13T6BXrLQEOz-4Vj6_zosFP5moyfyAJRO/view?usp=sharing" TargetMode="External"/><Relationship Id="rId25" Type="http://schemas.openxmlformats.org/officeDocument/2006/relationships/hyperlink" Target="https://drive.google.com/file/d/1r7PKrDc4Bl67e36Nit6yP3FiPkWFXzoj/view?usp=sharing" TargetMode="External"/><Relationship Id="rId28" Type="http://schemas.openxmlformats.org/officeDocument/2006/relationships/hyperlink" Target="https://drive.google.com/file/d/1SKdUCtbLM0d354vu3rz48KcT1D4sTOEr/view?usp=sharing" TargetMode="External"/><Relationship Id="rId27" Type="http://schemas.openxmlformats.org/officeDocument/2006/relationships/hyperlink" Target="https://drive.google.com/file/d/1idsOiSwDS6ICZFdqXI5OikF_00aiuyom/view?usp=sharing" TargetMode="External"/><Relationship Id="rId29" Type="http://schemas.openxmlformats.org/officeDocument/2006/relationships/hyperlink" Target="https://drive.google.com/file/d/1wbqGH8nnw1EU3oVvHMOkxy3GYxhPVzig/view?usp=sharing" TargetMode="External"/><Relationship Id="rId11" Type="http://schemas.openxmlformats.org/officeDocument/2006/relationships/hyperlink" Target="https://drive.google.com/file/d/1x_QYRkSiFJHknz8sVhLnFM6-s1zjK5Fq/view?usp=sharing" TargetMode="External"/><Relationship Id="rId10" Type="http://schemas.openxmlformats.org/officeDocument/2006/relationships/hyperlink" Target="https://drive.google.com/file/d/1OXakaVDMQbVxzJB-CHa3canyg0gTZ3k1/view?usp=sharing" TargetMode="External"/><Relationship Id="rId13" Type="http://schemas.openxmlformats.org/officeDocument/2006/relationships/hyperlink" Target="https://drive.google.com/file/d/1i8b3oVx4RBUhV6LGsqam6qlfj5N_ATfZ/view?usp=sharing" TargetMode="External"/><Relationship Id="rId12" Type="http://schemas.openxmlformats.org/officeDocument/2006/relationships/hyperlink" Target="https://drive.google.com/file/d/1CtiRiQIG5QPF39oL6kOzWFrs0JqHgftE/view?usp=sharing" TargetMode="External"/><Relationship Id="rId15" Type="http://schemas.openxmlformats.org/officeDocument/2006/relationships/hyperlink" Target="https://drive.google.com/file/d/1UCQiABI8kY2owVaAfyBQgo9qpMljAYSb/view?usp=sharing" TargetMode="External"/><Relationship Id="rId14" Type="http://schemas.openxmlformats.org/officeDocument/2006/relationships/hyperlink" Target="https://drive.google.com/file/d/1G7sI-Izer-MdU5gB71shhJuxbOy7lf32/view?usp=sharing" TargetMode="External"/><Relationship Id="rId17" Type="http://schemas.openxmlformats.org/officeDocument/2006/relationships/hyperlink" Target="https://drive.google.com/file/d/1VjmzxtpBIvNURC49YllmN3HNAf7Nnqlx/view?usp=sharing" TargetMode="External"/><Relationship Id="rId16" Type="http://schemas.openxmlformats.org/officeDocument/2006/relationships/hyperlink" Target="https://drive.google.com/file/d/1X1gfouKcSRuSpbS0eqzMXKfFzOs8lHg4/view?usp=sharing" TargetMode="External"/><Relationship Id="rId19" Type="http://schemas.openxmlformats.org/officeDocument/2006/relationships/hyperlink" Target="https://drive.google.com/file/d/1ec68Z_e1qFy7u9sm0fMqSETkcAd5nQLD/view?usp=sharing" TargetMode="External"/><Relationship Id="rId18" Type="http://schemas.openxmlformats.org/officeDocument/2006/relationships/hyperlink" Target="https://drive.google.com/file/d/1V3LA2tiwNDo-prBSoE10yEbAx4dCEPfj/view?usp=sharing" TargetMode="External"/><Relationship Id="rId1" Type="http://schemas.openxmlformats.org/officeDocument/2006/relationships/hyperlink" Target="https://drive.google.com/file/d/1iLKnCDO7Y4_znlpoxkKttQH8KZr81kv9/view?usp=sharing" TargetMode="External"/><Relationship Id="rId2" Type="http://schemas.openxmlformats.org/officeDocument/2006/relationships/hyperlink" Target="https://drive.google.com/file/d/1cwcA9UcEerbL2JkMx2rGLtKLDWVAek37/view?usp=sharing" TargetMode="External"/><Relationship Id="rId3" Type="http://schemas.openxmlformats.org/officeDocument/2006/relationships/hyperlink" Target="https://drive.google.com/file/d/1wkGWGQZKF10GnxZ7A_7EA8XvJBnrza3U/view?usp=sharing" TargetMode="External"/><Relationship Id="rId4" Type="http://schemas.openxmlformats.org/officeDocument/2006/relationships/hyperlink" Target="https://drive.google.com/file/d/1NUsOr5QnQKRL6QoLvKa_ZWkJjZNBt2qn/view?usp=sharing" TargetMode="External"/><Relationship Id="rId9" Type="http://schemas.openxmlformats.org/officeDocument/2006/relationships/hyperlink" Target="https://drive.google.com/file/d/12rOSG01AIQS-SWnwt1oK9icjS101D591/view?usp=sharing" TargetMode="External"/><Relationship Id="rId5" Type="http://schemas.openxmlformats.org/officeDocument/2006/relationships/hyperlink" Target="https://drive.google.com/file/d/1yCKxB7CA5zjRH10cjEqCiUj9TyYbWAys/view?usp=sharing" TargetMode="External"/><Relationship Id="rId6" Type="http://schemas.openxmlformats.org/officeDocument/2006/relationships/hyperlink" Target="https://drive.google.com/file/d/1EPCJAnP14uDpMglSQmdPQlFtzSEV1nVi/view?usp=sharing" TargetMode="External"/><Relationship Id="rId7" Type="http://schemas.openxmlformats.org/officeDocument/2006/relationships/hyperlink" Target="https://drive.google.com/file/d/1Xjc_WHZeTklWlTmutcLG_KiI8pGlbK5l/view?usp=sharing" TargetMode="External"/><Relationship Id="rId8" Type="http://schemas.openxmlformats.org/officeDocument/2006/relationships/hyperlink" Target="https://drive.google.com/file/d/1kuRzaAvzXQrs_LZPsXsz3PE-2jwVKnTc/view?usp=sharing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QxCeFvbbNZ00YTWeG2dRi2k0BxIH5QG/view?usp=sharing" TargetMode="External"/><Relationship Id="rId10" Type="http://schemas.openxmlformats.org/officeDocument/2006/relationships/hyperlink" Target="https://drive.google.com/file/d/1DcnMVFX9qH01iey3VBWGchut4t36_7IM/view?usp=sharing" TargetMode="External"/><Relationship Id="rId13" Type="http://schemas.openxmlformats.org/officeDocument/2006/relationships/hyperlink" Target="https://drive.google.com/file/d/1FfAx0GrEdH9AF41EdkQl07cAPzD57PmY/view?usp=sharing" TargetMode="External"/><Relationship Id="rId12" Type="http://schemas.openxmlformats.org/officeDocument/2006/relationships/hyperlink" Target="https://drive.google.com/file/d/1AexBGFP3w--cxMZwYSP9VY4dq1WPv_1c/view?usp=sharing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drive.google.com/file/d/19cRHyyCFYYltqJTrC0LqcOHVSG3IcYNk/view?usp=sharing" TargetMode="External"/><Relationship Id="rId1" Type="http://schemas.openxmlformats.org/officeDocument/2006/relationships/hyperlink" Target="https://drive.google.com/file/d/19NCTvRwWgKUA1fVycAQAvYZoa7Zs_-2u/view?usp=sharing" TargetMode="External"/><Relationship Id="rId2" Type="http://schemas.openxmlformats.org/officeDocument/2006/relationships/hyperlink" Target="https://drive.google.com/file/d/14qaZsykUa6VNLdI6lYI_MzHu6dDapiRI/view?usp=sharing" TargetMode="External"/><Relationship Id="rId3" Type="http://schemas.openxmlformats.org/officeDocument/2006/relationships/hyperlink" Target="https://drive.google.com/file/d/1jnkixVoqX3Lt0Y-3dGCM48J5nDiq94Q3/view?usp=sharing" TargetMode="External"/><Relationship Id="rId4" Type="http://schemas.openxmlformats.org/officeDocument/2006/relationships/hyperlink" Target="https://drive.google.com/file/d/1C1kOlneY1IpnLMYj2HrUp36c04w5rhTO/view?usp=sharing" TargetMode="External"/><Relationship Id="rId9" Type="http://schemas.openxmlformats.org/officeDocument/2006/relationships/hyperlink" Target="https://drive.google.com/file/d/1dukH2q1-FhahZHWYh4p1Z5hjbxA98kxG/view?usp=sharing" TargetMode="External"/><Relationship Id="rId5" Type="http://schemas.openxmlformats.org/officeDocument/2006/relationships/hyperlink" Target="https://drive.google.com/file/d/1PqdG2ZNKA6r2xkVAepytK_A5ZOZZHE11/view?usp=sharing" TargetMode="External"/><Relationship Id="rId6" Type="http://schemas.openxmlformats.org/officeDocument/2006/relationships/hyperlink" Target="https://drive.google.com/file/d/1Yadx09-eN-bLtqlqJgMLJiu8EjnSGa9h/view?usp=sharing" TargetMode="External"/><Relationship Id="rId7" Type="http://schemas.openxmlformats.org/officeDocument/2006/relationships/hyperlink" Target="https://drive.google.com/file/d/1wvJ1ZZSxF85uI7GYz_fjgWduuoDY9bdg/view?usp=sharing" TargetMode="External"/><Relationship Id="rId8" Type="http://schemas.openxmlformats.org/officeDocument/2006/relationships/hyperlink" Target="https://drive.google.com/file/d/1EY4PjqULoEYb15cHIt5-jF_QVMuJNtQH/view?usp=sharing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Lhlt3p5VSfA9HiQGyr7tH2GDBNgOdvuK/view?usp=sharing" TargetMode="External"/><Relationship Id="rId10" Type="http://schemas.openxmlformats.org/officeDocument/2006/relationships/hyperlink" Target="https://drive.google.com/file/d/1tD2kEG3-JGf9hsgdydefdP9kF2npYO7J/view?usp=sharing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drive.google.com/file/d/1tcXhKF6eRjKtGlIsSz9o9MPph8IqQOW0/view?usp=sharing" TargetMode="External"/><Relationship Id="rId1" Type="http://schemas.openxmlformats.org/officeDocument/2006/relationships/hyperlink" Target="https://drive.google.com/file/d/1liptBFg1m46Kt0s6Ajdmc-3zG8Qtu6_H/view?usp=sharing" TargetMode="External"/><Relationship Id="rId2" Type="http://schemas.openxmlformats.org/officeDocument/2006/relationships/hyperlink" Target="https://drive.google.com/file/d/1vKyf8xxemQbytJ3A3RLNynUlPIKuG2xP/view?usp=sharing" TargetMode="External"/><Relationship Id="rId3" Type="http://schemas.openxmlformats.org/officeDocument/2006/relationships/hyperlink" Target="https://drive.google.com/file/d/1vti4Bb9IeSGZq5WnlIbN-cdnoVUUNaFU/view?usp=sharing" TargetMode="External"/><Relationship Id="rId4" Type="http://schemas.openxmlformats.org/officeDocument/2006/relationships/hyperlink" Target="https://drive.google.com/file/d/1ENiyrmcNeZqwZ4F9rmI7_jsj6RhZ6NZE/view?usp=sharing" TargetMode="External"/><Relationship Id="rId9" Type="http://schemas.openxmlformats.org/officeDocument/2006/relationships/hyperlink" Target="https://drive.google.com/file/d/1WbyUSceTQnLnTwN9tWqeNVRtzM_v7sDa/view?usp=sharing" TargetMode="External"/><Relationship Id="rId5" Type="http://schemas.openxmlformats.org/officeDocument/2006/relationships/hyperlink" Target="https://drive.google.com/file/d/1fTS6H2gmrClnyHiEoy3lgsi3sH5E7OBY/view?usp=sharing" TargetMode="External"/><Relationship Id="rId6" Type="http://schemas.openxmlformats.org/officeDocument/2006/relationships/hyperlink" Target="https://drive.google.com/file/d/11FH9MWLBoPWc531gmjs2tyygd6kF6cUv/view?usp=sharing" TargetMode="External"/><Relationship Id="rId7" Type="http://schemas.openxmlformats.org/officeDocument/2006/relationships/hyperlink" Target="https://drive.google.com/file/d/1Zix1rLQb47gl2XlbiZzZ739We_43F3tg/view?usp=sharing" TargetMode="External"/><Relationship Id="rId8" Type="http://schemas.openxmlformats.org/officeDocument/2006/relationships/hyperlink" Target="https://drive.google.com/file/d/1jhCRsGoWFWH2o6VLd1dk5UJa4Y7sZgB6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5.75"/>
    <col customWidth="1" min="2" max="2" width="27.25"/>
    <col customWidth="1" min="3" max="3" width="12.88"/>
    <col customWidth="1" min="4" max="4" width="4.0"/>
    <col customWidth="1" min="5" max="5" width="39.13"/>
    <col customWidth="1" min="6" max="6" width="41.63"/>
    <col customWidth="1" min="7" max="7" width="33.75"/>
    <col customWidth="1" hidden="1" min="8" max="8" width="18.38"/>
    <col customWidth="1" hidden="1" min="9" max="9" width="7.38"/>
    <col customWidth="1" min="10" max="10" width="14.63"/>
    <col customWidth="1" min="11" max="11" width="13.75"/>
    <col customWidth="1" min="12" max="12" width="39.75"/>
    <col customWidth="1" min="13" max="13" width="19.25"/>
    <col customWidth="1" min="14" max="14" width="12.88"/>
    <col customWidth="1" min="15" max="16" width="22.5"/>
    <col customWidth="1" hidden="1" min="17" max="17" width="20.38"/>
  </cols>
  <sheetData>
    <row r="1" ht="36.0" customHeight="1">
      <c r="A1" s="1"/>
      <c r="B1" s="1"/>
      <c r="C1" s="1"/>
      <c r="D1" s="2"/>
      <c r="E1" s="2"/>
      <c r="F1" s="1" t="s">
        <v>0</v>
      </c>
      <c r="Q1" s="3"/>
    </row>
    <row r="2">
      <c r="A2" s="4" t="s">
        <v>1</v>
      </c>
      <c r="B2" s="4" t="s">
        <v>2</v>
      </c>
      <c r="C2" s="5" t="s">
        <v>3</v>
      </c>
      <c r="D2" s="6" t="s">
        <v>4</v>
      </c>
      <c r="E2" s="7"/>
      <c r="F2" s="8" t="s">
        <v>5</v>
      </c>
      <c r="G2" s="5" t="s">
        <v>6</v>
      </c>
      <c r="H2" s="5" t="s">
        <v>7</v>
      </c>
      <c r="I2" s="9" t="s">
        <v>8</v>
      </c>
      <c r="J2" s="7"/>
      <c r="K2" s="10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11" t="s">
        <v>14</v>
      </c>
      <c r="Q2" s="12"/>
    </row>
    <row r="3" ht="40.5" customHeight="1">
      <c r="A3" s="13"/>
      <c r="B3" s="13"/>
      <c r="C3" s="13"/>
      <c r="D3" s="14"/>
      <c r="E3" s="15"/>
      <c r="F3" s="13"/>
      <c r="G3" s="13"/>
      <c r="H3" s="13"/>
      <c r="I3" s="16"/>
      <c r="J3" s="17"/>
      <c r="K3" s="13"/>
      <c r="L3" s="13"/>
      <c r="M3" s="13"/>
      <c r="N3" s="13"/>
      <c r="O3" s="13"/>
      <c r="P3" s="13"/>
      <c r="Q3" s="13"/>
    </row>
    <row r="4" ht="33.75" customHeight="1">
      <c r="A4" s="18">
        <f t="shared" ref="A4:A6" si="1">IF(ISBLANK(B4),"",COUNTA($B$4:B4))</f>
        <v>1</v>
      </c>
      <c r="B4" s="19" t="s">
        <v>15</v>
      </c>
      <c r="C4" s="20">
        <v>45666.0</v>
      </c>
      <c r="D4" s="21" t="s">
        <v>16</v>
      </c>
      <c r="E4" s="22"/>
      <c r="F4" s="22" t="s">
        <v>17</v>
      </c>
      <c r="G4" s="23" t="s">
        <v>18</v>
      </c>
      <c r="H4" s="24" t="s">
        <v>19</v>
      </c>
      <c r="I4" s="25"/>
      <c r="J4" s="26">
        <v>45659.0</v>
      </c>
      <c r="K4" s="27" t="s">
        <v>20</v>
      </c>
      <c r="L4" s="28" t="s">
        <v>21</v>
      </c>
      <c r="M4" s="29" t="s">
        <v>22</v>
      </c>
      <c r="N4" s="30"/>
      <c r="O4" s="30"/>
      <c r="P4" s="31"/>
      <c r="Q4" s="32">
        <v>45687.0</v>
      </c>
    </row>
    <row r="5" ht="33.75" customHeight="1">
      <c r="A5" s="18">
        <f t="shared" si="1"/>
        <v>2</v>
      </c>
      <c r="B5" s="19" t="s">
        <v>23</v>
      </c>
      <c r="C5" s="20">
        <v>45666.0</v>
      </c>
      <c r="D5" s="21" t="s">
        <v>24</v>
      </c>
      <c r="E5" s="22"/>
      <c r="F5" s="22" t="s">
        <v>25</v>
      </c>
      <c r="G5" s="33" t="s">
        <v>26</v>
      </c>
      <c r="H5" s="34" t="s">
        <v>19</v>
      </c>
      <c r="I5" s="25"/>
      <c r="J5" s="26">
        <v>45659.0</v>
      </c>
      <c r="K5" s="27" t="s">
        <v>20</v>
      </c>
      <c r="L5" s="28" t="s">
        <v>27</v>
      </c>
      <c r="M5" s="35" t="s">
        <v>28</v>
      </c>
      <c r="N5" s="30"/>
      <c r="O5" s="30"/>
      <c r="P5" s="31"/>
      <c r="Q5" s="32">
        <v>45687.0</v>
      </c>
    </row>
    <row r="6" ht="19.5" customHeight="1">
      <c r="A6" s="36">
        <f t="shared" si="1"/>
        <v>3</v>
      </c>
      <c r="B6" s="37" t="s">
        <v>29</v>
      </c>
      <c r="C6" s="20">
        <v>45669.0</v>
      </c>
      <c r="D6" s="38" t="s">
        <v>30</v>
      </c>
      <c r="E6" s="39"/>
      <c r="F6" s="40"/>
      <c r="G6" s="41" t="s">
        <v>31</v>
      </c>
      <c r="H6" s="37" t="s">
        <v>32</v>
      </c>
      <c r="I6" s="42"/>
      <c r="J6" s="43">
        <v>45659.0</v>
      </c>
      <c r="K6" s="44" t="s">
        <v>20</v>
      </c>
      <c r="L6" s="45" t="s">
        <v>33</v>
      </c>
      <c r="M6" s="46" t="s">
        <v>34</v>
      </c>
      <c r="N6" s="42"/>
      <c r="O6" s="42"/>
      <c r="P6" s="47"/>
      <c r="Q6" s="48">
        <v>45687.0</v>
      </c>
    </row>
    <row r="7" ht="19.5" customHeight="1">
      <c r="A7" s="49"/>
      <c r="B7" s="16"/>
      <c r="C7" s="16"/>
      <c r="D7" s="50"/>
      <c r="E7" s="51" t="s">
        <v>35</v>
      </c>
      <c r="F7" s="52" t="s">
        <v>36</v>
      </c>
      <c r="G7" s="16"/>
      <c r="H7" s="16"/>
      <c r="I7" s="16"/>
      <c r="J7" s="49"/>
      <c r="K7" s="49"/>
      <c r="L7" s="16"/>
      <c r="M7" s="49"/>
      <c r="N7" s="16"/>
      <c r="O7" s="16"/>
      <c r="P7" s="49"/>
      <c r="Q7" s="49"/>
    </row>
    <row r="8" ht="19.5" customHeight="1">
      <c r="A8" s="13"/>
      <c r="B8" s="14"/>
      <c r="C8" s="16"/>
      <c r="D8" s="50"/>
      <c r="E8" s="51" t="s">
        <v>37</v>
      </c>
      <c r="F8" s="53" t="s">
        <v>38</v>
      </c>
      <c r="G8" s="14"/>
      <c r="H8" s="14"/>
      <c r="I8" s="14"/>
      <c r="J8" s="13"/>
      <c r="K8" s="13"/>
      <c r="L8" s="14"/>
      <c r="M8" s="13"/>
      <c r="N8" s="14"/>
      <c r="O8" s="14"/>
      <c r="P8" s="13"/>
      <c r="Q8" s="13"/>
    </row>
    <row r="9" ht="19.5" customHeight="1">
      <c r="A9" s="36">
        <f>IF(ISBLANK(B9),"",COUNTA($B$4:B9))</f>
        <v>4</v>
      </c>
      <c r="B9" s="54" t="s">
        <v>39</v>
      </c>
      <c r="C9" s="55">
        <v>45669.0</v>
      </c>
      <c r="D9" s="56" t="s">
        <v>40</v>
      </c>
      <c r="E9" s="57"/>
      <c r="F9" s="51" t="s">
        <v>41</v>
      </c>
      <c r="G9" s="58" t="s">
        <v>42</v>
      </c>
      <c r="H9" s="54" t="s">
        <v>43</v>
      </c>
      <c r="I9" s="59"/>
      <c r="J9" s="43">
        <v>45659.0</v>
      </c>
      <c r="K9" s="44" t="s">
        <v>20</v>
      </c>
      <c r="L9" s="60" t="s">
        <v>44</v>
      </c>
      <c r="M9" s="61" t="s">
        <v>22</v>
      </c>
      <c r="N9" s="59"/>
      <c r="O9" s="59"/>
      <c r="P9" s="62"/>
      <c r="Q9" s="48">
        <v>45687.0</v>
      </c>
    </row>
    <row r="10" ht="19.5" customHeight="1">
      <c r="A10" s="49"/>
      <c r="B10" s="16"/>
      <c r="C10" s="49"/>
      <c r="D10" s="50"/>
      <c r="E10" s="63" t="s">
        <v>45</v>
      </c>
      <c r="F10" s="17"/>
      <c r="G10" s="17"/>
      <c r="H10" s="16"/>
      <c r="I10" s="16"/>
      <c r="J10" s="49"/>
      <c r="K10" s="49"/>
      <c r="L10" s="16"/>
      <c r="M10" s="49"/>
      <c r="N10" s="16"/>
      <c r="O10" s="16"/>
      <c r="P10" s="49"/>
      <c r="Q10" s="49"/>
    </row>
    <row r="11" ht="19.5" customHeight="1">
      <c r="A11" s="13"/>
      <c r="B11" s="14"/>
      <c r="C11" s="13"/>
      <c r="D11" s="64"/>
      <c r="E11" s="65" t="s">
        <v>46</v>
      </c>
      <c r="F11" s="15"/>
      <c r="G11" s="15"/>
      <c r="H11" s="14"/>
      <c r="I11" s="14"/>
      <c r="J11" s="13"/>
      <c r="K11" s="13"/>
      <c r="L11" s="14"/>
      <c r="M11" s="13"/>
      <c r="N11" s="14"/>
      <c r="O11" s="14"/>
      <c r="P11" s="13"/>
      <c r="Q11" s="13"/>
    </row>
    <row r="12" ht="19.5" customHeight="1">
      <c r="A12" s="36">
        <f>IF(ISBLANK(B12),"",COUNTA($B$4:B12))</f>
        <v>5</v>
      </c>
      <c r="B12" s="54" t="s">
        <v>47</v>
      </c>
      <c r="C12" s="59">
        <v>45669.0</v>
      </c>
      <c r="D12" s="56" t="s">
        <v>40</v>
      </c>
      <c r="E12" s="57"/>
      <c r="F12" s="51" t="s">
        <v>48</v>
      </c>
      <c r="G12" s="58" t="s">
        <v>49</v>
      </c>
      <c r="H12" s="54" t="s">
        <v>43</v>
      </c>
      <c r="I12" s="59"/>
      <c r="J12" s="43">
        <v>45659.0</v>
      </c>
      <c r="K12" s="44" t="s">
        <v>20</v>
      </c>
      <c r="L12" s="60" t="s">
        <v>50</v>
      </c>
      <c r="M12" s="61" t="s">
        <v>22</v>
      </c>
      <c r="N12" s="59"/>
      <c r="O12" s="59"/>
      <c r="P12" s="62"/>
      <c r="Q12" s="48">
        <v>45687.0</v>
      </c>
    </row>
    <row r="13" ht="19.5" customHeight="1">
      <c r="A13" s="49"/>
      <c r="B13" s="16"/>
      <c r="C13" s="16"/>
      <c r="D13" s="50"/>
      <c r="E13" s="63" t="s">
        <v>45</v>
      </c>
      <c r="F13" s="17"/>
      <c r="G13" s="17"/>
      <c r="H13" s="16"/>
      <c r="I13" s="16"/>
      <c r="J13" s="49"/>
      <c r="K13" s="49"/>
      <c r="L13" s="16"/>
      <c r="M13" s="49"/>
      <c r="N13" s="16"/>
      <c r="O13" s="16"/>
      <c r="P13" s="49"/>
      <c r="Q13" s="49"/>
    </row>
    <row r="14" ht="19.5" customHeight="1">
      <c r="A14" s="13"/>
      <c r="B14" s="14"/>
      <c r="C14" s="14"/>
      <c r="D14" s="64"/>
      <c r="E14" s="65" t="s">
        <v>46</v>
      </c>
      <c r="F14" s="15"/>
      <c r="G14" s="15"/>
      <c r="H14" s="14"/>
      <c r="I14" s="14"/>
      <c r="J14" s="13"/>
      <c r="K14" s="13"/>
      <c r="L14" s="14"/>
      <c r="M14" s="13"/>
      <c r="N14" s="14"/>
      <c r="O14" s="14"/>
      <c r="P14" s="13"/>
      <c r="Q14" s="13"/>
    </row>
    <row r="15" ht="18.75" customHeight="1">
      <c r="A15" s="36">
        <f>IF(ISBLANK(B15),"",COUNTA($B$4:B15))</f>
        <v>6</v>
      </c>
      <c r="B15" s="66" t="s">
        <v>51</v>
      </c>
      <c r="C15" s="67">
        <v>45669.0</v>
      </c>
      <c r="D15" s="38" t="s">
        <v>52</v>
      </c>
      <c r="E15" s="68"/>
      <c r="F15" s="40"/>
      <c r="G15" s="69"/>
      <c r="H15" s="66" t="s">
        <v>53</v>
      </c>
      <c r="I15" s="70"/>
      <c r="J15" s="43">
        <v>45659.0</v>
      </c>
      <c r="K15" s="44" t="s">
        <v>20</v>
      </c>
      <c r="L15" s="71" t="s">
        <v>54</v>
      </c>
      <c r="M15" s="72" t="s">
        <v>55</v>
      </c>
      <c r="N15" s="66"/>
      <c r="O15" s="66"/>
      <c r="P15" s="70"/>
      <c r="Q15" s="48">
        <v>45687.0</v>
      </c>
    </row>
    <row r="16" ht="18.75" customHeight="1">
      <c r="A16" s="13"/>
      <c r="B16" s="13"/>
      <c r="C16" s="13"/>
      <c r="D16" s="50"/>
      <c r="E16" s="63" t="s">
        <v>56</v>
      </c>
      <c r="F16" s="52" t="s">
        <v>57</v>
      </c>
      <c r="G16" s="69" t="s">
        <v>58</v>
      </c>
      <c r="H16" s="13"/>
      <c r="I16" s="13"/>
      <c r="J16" s="13"/>
      <c r="K16" s="13"/>
      <c r="L16" s="13"/>
      <c r="M16" s="15"/>
      <c r="N16" s="13"/>
      <c r="O16" s="13"/>
      <c r="P16" s="13"/>
      <c r="Q16" s="13"/>
    </row>
    <row r="17" ht="28.5" customHeight="1">
      <c r="A17" s="18">
        <f t="shared" ref="A17:A20" si="2">IF(ISBLANK(B17),"",COUNTA($B$4:B17))</f>
        <v>7</v>
      </c>
      <c r="B17" s="73" t="s">
        <v>59</v>
      </c>
      <c r="C17" s="74">
        <v>45669.0</v>
      </c>
      <c r="D17" s="21" t="s">
        <v>60</v>
      </c>
      <c r="E17" s="75"/>
      <c r="F17" s="76"/>
      <c r="G17" s="33" t="s">
        <v>61</v>
      </c>
      <c r="H17" s="34"/>
      <c r="I17" s="30"/>
      <c r="J17" s="26">
        <v>45659.0</v>
      </c>
      <c r="K17" s="27" t="s">
        <v>20</v>
      </c>
      <c r="L17" s="28" t="s">
        <v>62</v>
      </c>
      <c r="M17" s="77"/>
      <c r="N17" s="30"/>
      <c r="O17" s="30"/>
      <c r="P17" s="25"/>
      <c r="Q17" s="32"/>
    </row>
    <row r="18" ht="25.5" customHeight="1">
      <c r="A18" s="18">
        <f t="shared" si="2"/>
        <v>8</v>
      </c>
      <c r="B18" s="37" t="s">
        <v>63</v>
      </c>
      <c r="C18" s="74">
        <v>45669.0</v>
      </c>
      <c r="D18" s="78" t="s">
        <v>64</v>
      </c>
      <c r="E18" s="79"/>
      <c r="F18" s="53" t="s">
        <v>65</v>
      </c>
      <c r="G18" s="80" t="s">
        <v>66</v>
      </c>
      <c r="H18" s="81"/>
      <c r="I18" s="30"/>
      <c r="J18" s="26">
        <v>45659.0</v>
      </c>
      <c r="K18" s="27" t="s">
        <v>20</v>
      </c>
      <c r="L18" s="35" t="s">
        <v>67</v>
      </c>
      <c r="M18" s="82"/>
      <c r="N18" s="83"/>
      <c r="O18" s="83"/>
      <c r="P18" s="84"/>
      <c r="Q18" s="85"/>
    </row>
    <row r="19" ht="28.5" customHeight="1">
      <c r="A19" s="18">
        <f t="shared" si="2"/>
        <v>9</v>
      </c>
      <c r="B19" s="73" t="s">
        <v>68</v>
      </c>
      <c r="C19" s="74">
        <v>45669.0</v>
      </c>
      <c r="D19" s="78" t="s">
        <v>69</v>
      </c>
      <c r="E19" s="65"/>
      <c r="F19" s="53" t="s">
        <v>70</v>
      </c>
      <c r="G19" s="86" t="s">
        <v>71</v>
      </c>
      <c r="H19" s="87" t="s">
        <v>72</v>
      </c>
      <c r="I19" s="30"/>
      <c r="J19" s="26">
        <v>45659.0</v>
      </c>
      <c r="K19" s="27" t="s">
        <v>20</v>
      </c>
      <c r="L19" s="28" t="s">
        <v>73</v>
      </c>
      <c r="M19" s="35" t="s">
        <v>74</v>
      </c>
      <c r="N19" s="30"/>
      <c r="O19" s="30"/>
      <c r="P19" s="25"/>
      <c r="Q19" s="32">
        <v>45687.0</v>
      </c>
    </row>
    <row r="20" ht="19.5" customHeight="1">
      <c r="A20" s="36">
        <f t="shared" si="2"/>
        <v>10</v>
      </c>
      <c r="B20" s="88" t="s">
        <v>75</v>
      </c>
      <c r="C20" s="89">
        <v>45669.0</v>
      </c>
      <c r="D20" s="90" t="s">
        <v>76</v>
      </c>
      <c r="E20" s="68"/>
      <c r="F20" s="40"/>
      <c r="G20" s="41"/>
      <c r="H20" s="91" t="s">
        <v>77</v>
      </c>
      <c r="I20" s="92"/>
      <c r="J20" s="43">
        <v>45659.0</v>
      </c>
      <c r="K20" s="44" t="s">
        <v>20</v>
      </c>
      <c r="L20" s="72" t="s">
        <v>78</v>
      </c>
      <c r="M20" s="93" t="s">
        <v>22</v>
      </c>
      <c r="N20" s="94"/>
      <c r="O20" s="94"/>
      <c r="P20" s="94"/>
      <c r="Q20" s="48">
        <v>45687.0</v>
      </c>
    </row>
    <row r="21" ht="19.5" customHeight="1">
      <c r="A21" s="49"/>
      <c r="B21" s="16"/>
      <c r="C21" s="16"/>
      <c r="D21" s="95"/>
      <c r="E21" s="63" t="s">
        <v>79</v>
      </c>
      <c r="F21" s="52" t="s">
        <v>80</v>
      </c>
      <c r="G21" s="96" t="s">
        <v>81</v>
      </c>
      <c r="H21" s="49"/>
      <c r="I21" s="49"/>
      <c r="J21" s="49"/>
      <c r="K21" s="49"/>
      <c r="L21" s="17"/>
      <c r="M21" s="17"/>
      <c r="N21" s="17"/>
      <c r="O21" s="17"/>
      <c r="P21" s="17"/>
      <c r="Q21" s="49"/>
    </row>
    <row r="22" ht="19.5" customHeight="1">
      <c r="A22" s="13"/>
      <c r="B22" s="16"/>
      <c r="C22" s="16"/>
      <c r="D22" s="95"/>
      <c r="E22" s="63" t="s">
        <v>82</v>
      </c>
      <c r="F22" s="53" t="s">
        <v>83</v>
      </c>
      <c r="G22" s="97" t="s">
        <v>81</v>
      </c>
      <c r="H22" s="13"/>
      <c r="I22" s="13"/>
      <c r="J22" s="13"/>
      <c r="K22" s="13"/>
      <c r="L22" s="15"/>
      <c r="M22" s="15"/>
      <c r="N22" s="15"/>
      <c r="O22" s="15"/>
      <c r="P22" s="15"/>
      <c r="Q22" s="13"/>
    </row>
    <row r="23" ht="19.5" customHeight="1">
      <c r="A23" s="18">
        <f t="shared" ref="A23:A24" si="3">IF(ISBLANK(B23),"",COUNTA($B$4:B23))</f>
        <v>11</v>
      </c>
      <c r="B23" s="88" t="s">
        <v>84</v>
      </c>
      <c r="C23" s="89">
        <v>45669.0</v>
      </c>
      <c r="D23" s="98" t="s">
        <v>85</v>
      </c>
      <c r="E23" s="99"/>
      <c r="F23" s="100" t="s">
        <v>86</v>
      </c>
      <c r="G23" s="80" t="s">
        <v>81</v>
      </c>
      <c r="H23" s="87" t="s">
        <v>87</v>
      </c>
      <c r="I23" s="25"/>
      <c r="J23" s="26">
        <v>45659.0</v>
      </c>
      <c r="K23" s="27" t="s">
        <v>20</v>
      </c>
      <c r="L23" s="28" t="s">
        <v>88</v>
      </c>
      <c r="M23" s="35" t="s">
        <v>89</v>
      </c>
      <c r="N23" s="30"/>
      <c r="O23" s="30"/>
      <c r="P23" s="101"/>
      <c r="Q23" s="32">
        <v>45687.0</v>
      </c>
    </row>
    <row r="24" ht="19.5" customHeight="1">
      <c r="A24" s="36">
        <f t="shared" si="3"/>
        <v>12</v>
      </c>
      <c r="B24" s="37" t="s">
        <v>90</v>
      </c>
      <c r="C24" s="20">
        <v>45669.0</v>
      </c>
      <c r="D24" s="102" t="s">
        <v>91</v>
      </c>
      <c r="E24" s="63"/>
      <c r="F24" s="103" t="s">
        <v>92</v>
      </c>
      <c r="G24" s="58" t="s">
        <v>93</v>
      </c>
      <c r="H24" s="37" t="s">
        <v>94</v>
      </c>
      <c r="I24" s="44"/>
      <c r="J24" s="43">
        <v>45659.0</v>
      </c>
      <c r="K24" s="44" t="s">
        <v>20</v>
      </c>
      <c r="L24" s="45" t="s">
        <v>95</v>
      </c>
      <c r="M24" s="45" t="s">
        <v>96</v>
      </c>
      <c r="N24" s="42"/>
      <c r="O24" s="42"/>
      <c r="P24" s="47"/>
      <c r="Q24" s="48">
        <v>45707.0</v>
      </c>
    </row>
    <row r="25" ht="19.5" customHeight="1">
      <c r="A25" s="49"/>
      <c r="B25" s="16"/>
      <c r="C25" s="16"/>
      <c r="D25" s="95"/>
      <c r="E25" s="63" t="s">
        <v>97</v>
      </c>
      <c r="F25" s="17"/>
      <c r="G25" s="17"/>
      <c r="H25" s="16"/>
      <c r="I25" s="49"/>
      <c r="J25" s="49"/>
      <c r="K25" s="49"/>
      <c r="L25" s="16"/>
      <c r="M25" s="16"/>
      <c r="N25" s="16"/>
      <c r="O25" s="16"/>
      <c r="P25" s="49"/>
      <c r="Q25" s="49"/>
    </row>
    <row r="26" ht="19.5" customHeight="1">
      <c r="A26" s="49"/>
      <c r="B26" s="16"/>
      <c r="C26" s="16"/>
      <c r="D26" s="95"/>
      <c r="E26" s="63" t="s">
        <v>98</v>
      </c>
      <c r="F26" s="17"/>
      <c r="G26" s="17"/>
      <c r="H26" s="16"/>
      <c r="I26" s="49"/>
      <c r="J26" s="49"/>
      <c r="K26" s="49"/>
      <c r="L26" s="16"/>
      <c r="M26" s="16"/>
      <c r="N26" s="16"/>
      <c r="O26" s="16"/>
      <c r="P26" s="49"/>
      <c r="Q26" s="49"/>
    </row>
    <row r="27" ht="19.5" customHeight="1">
      <c r="A27" s="49"/>
      <c r="B27" s="16"/>
      <c r="C27" s="16"/>
      <c r="D27" s="95"/>
      <c r="E27" s="63" t="s">
        <v>99</v>
      </c>
      <c r="F27" s="17"/>
      <c r="G27" s="17"/>
      <c r="H27" s="16"/>
      <c r="I27" s="49"/>
      <c r="J27" s="49"/>
      <c r="K27" s="49"/>
      <c r="L27" s="16"/>
      <c r="M27" s="16"/>
      <c r="N27" s="16"/>
      <c r="O27" s="16"/>
      <c r="P27" s="49"/>
      <c r="Q27" s="49"/>
    </row>
    <row r="28" ht="19.5" customHeight="1">
      <c r="A28" s="49"/>
      <c r="B28" s="16"/>
      <c r="C28" s="16"/>
      <c r="D28" s="95"/>
      <c r="E28" s="63" t="s">
        <v>100</v>
      </c>
      <c r="F28" s="17"/>
      <c r="G28" s="17"/>
      <c r="H28" s="16"/>
      <c r="I28" s="49"/>
      <c r="J28" s="49"/>
      <c r="K28" s="49"/>
      <c r="L28" s="16"/>
      <c r="M28" s="16"/>
      <c r="N28" s="16"/>
      <c r="O28" s="16"/>
      <c r="P28" s="49"/>
      <c r="Q28" s="49"/>
    </row>
    <row r="29" ht="19.5" customHeight="1">
      <c r="A29" s="49"/>
      <c r="B29" s="16"/>
      <c r="C29" s="16"/>
      <c r="D29" s="95"/>
      <c r="E29" s="63" t="s">
        <v>101</v>
      </c>
      <c r="F29" s="17"/>
      <c r="G29" s="17"/>
      <c r="H29" s="16"/>
      <c r="I29" s="49"/>
      <c r="J29" s="49"/>
      <c r="K29" s="49"/>
      <c r="L29" s="16"/>
      <c r="M29" s="16"/>
      <c r="N29" s="16"/>
      <c r="O29" s="16"/>
      <c r="P29" s="49"/>
      <c r="Q29" s="49"/>
    </row>
    <row r="30" ht="19.5" customHeight="1">
      <c r="A30" s="49"/>
      <c r="B30" s="16"/>
      <c r="C30" s="16"/>
      <c r="D30" s="95"/>
      <c r="E30" s="63" t="s">
        <v>102</v>
      </c>
      <c r="F30" s="17"/>
      <c r="G30" s="17"/>
      <c r="H30" s="16"/>
      <c r="I30" s="49"/>
      <c r="J30" s="49"/>
      <c r="K30" s="49"/>
      <c r="L30" s="16"/>
      <c r="M30" s="16"/>
      <c r="N30" s="16"/>
      <c r="O30" s="16"/>
      <c r="P30" s="49"/>
      <c r="Q30" s="49"/>
    </row>
    <row r="31" ht="19.5" customHeight="1">
      <c r="A31" s="49"/>
      <c r="B31" s="16"/>
      <c r="C31" s="16"/>
      <c r="D31" s="95"/>
      <c r="E31" s="63" t="s">
        <v>103</v>
      </c>
      <c r="F31" s="17"/>
      <c r="G31" s="17"/>
      <c r="H31" s="16"/>
      <c r="I31" s="49"/>
      <c r="J31" s="49"/>
      <c r="K31" s="49"/>
      <c r="L31" s="16"/>
      <c r="M31" s="16"/>
      <c r="N31" s="16"/>
      <c r="O31" s="16"/>
      <c r="P31" s="49"/>
      <c r="Q31" s="49"/>
    </row>
    <row r="32" ht="19.5" customHeight="1">
      <c r="A32" s="49"/>
      <c r="B32" s="16"/>
      <c r="C32" s="16"/>
      <c r="D32" s="95"/>
      <c r="E32" s="63" t="s">
        <v>104</v>
      </c>
      <c r="F32" s="17"/>
      <c r="G32" s="17"/>
      <c r="H32" s="16"/>
      <c r="I32" s="49"/>
      <c r="J32" s="49"/>
      <c r="K32" s="49"/>
      <c r="L32" s="16"/>
      <c r="M32" s="16"/>
      <c r="N32" s="16"/>
      <c r="O32" s="16"/>
      <c r="P32" s="49"/>
      <c r="Q32" s="49"/>
    </row>
    <row r="33" ht="19.5" customHeight="1">
      <c r="A33" s="49"/>
      <c r="B33" s="16"/>
      <c r="C33" s="16"/>
      <c r="D33" s="95"/>
      <c r="E33" s="63" t="s">
        <v>105</v>
      </c>
      <c r="F33" s="17"/>
      <c r="G33" s="17"/>
      <c r="H33" s="16"/>
      <c r="I33" s="49"/>
      <c r="J33" s="49"/>
      <c r="K33" s="49"/>
      <c r="L33" s="16"/>
      <c r="M33" s="16"/>
      <c r="N33" s="16"/>
      <c r="O33" s="16"/>
      <c r="P33" s="49"/>
      <c r="Q33" s="49"/>
    </row>
    <row r="34" ht="19.5" customHeight="1">
      <c r="A34" s="49"/>
      <c r="B34" s="16"/>
      <c r="C34" s="16"/>
      <c r="D34" s="95"/>
      <c r="E34" s="63" t="s">
        <v>106</v>
      </c>
      <c r="F34" s="17"/>
      <c r="G34" s="17"/>
      <c r="H34" s="16"/>
      <c r="I34" s="49"/>
      <c r="J34" s="49"/>
      <c r="K34" s="49"/>
      <c r="L34" s="16"/>
      <c r="M34" s="16"/>
      <c r="N34" s="16"/>
      <c r="O34" s="16"/>
      <c r="P34" s="49"/>
      <c r="Q34" s="49"/>
    </row>
    <row r="35" ht="19.5" customHeight="1">
      <c r="A35" s="49"/>
      <c r="B35" s="16"/>
      <c r="C35" s="16"/>
      <c r="D35" s="95"/>
      <c r="E35" s="63" t="s">
        <v>107</v>
      </c>
      <c r="F35" s="17"/>
      <c r="G35" s="17"/>
      <c r="H35" s="16"/>
      <c r="I35" s="49"/>
      <c r="J35" s="49"/>
      <c r="K35" s="49"/>
      <c r="L35" s="16"/>
      <c r="M35" s="16"/>
      <c r="N35" s="16"/>
      <c r="O35" s="16"/>
      <c r="P35" s="49"/>
      <c r="Q35" s="49"/>
    </row>
    <row r="36" ht="19.5" customHeight="1">
      <c r="A36" s="49"/>
      <c r="B36" s="16"/>
      <c r="C36" s="16"/>
      <c r="D36" s="95"/>
      <c r="E36" s="63" t="s">
        <v>108</v>
      </c>
      <c r="F36" s="17"/>
      <c r="G36" s="17"/>
      <c r="H36" s="16"/>
      <c r="I36" s="49"/>
      <c r="J36" s="49"/>
      <c r="K36" s="49"/>
      <c r="L36" s="16"/>
      <c r="M36" s="16"/>
      <c r="N36" s="16"/>
      <c r="O36" s="16"/>
      <c r="P36" s="49"/>
      <c r="Q36" s="49"/>
    </row>
    <row r="37" ht="19.5" customHeight="1">
      <c r="A37" s="13"/>
      <c r="B37" s="14"/>
      <c r="C37" s="14"/>
      <c r="D37" s="95"/>
      <c r="E37" s="63" t="s">
        <v>109</v>
      </c>
      <c r="F37" s="15"/>
      <c r="G37" s="15"/>
      <c r="H37" s="14"/>
      <c r="I37" s="13"/>
      <c r="J37" s="13"/>
      <c r="K37" s="13"/>
      <c r="L37" s="14"/>
      <c r="M37" s="14"/>
      <c r="N37" s="14"/>
      <c r="O37" s="14"/>
      <c r="P37" s="13"/>
      <c r="Q37" s="13"/>
    </row>
    <row r="38" ht="36.0" customHeight="1">
      <c r="A38" s="18">
        <f t="shared" ref="A38:A41" si="4">IF(ISBLANK(B38),"",COUNTA($B$4:B38))</f>
        <v>13</v>
      </c>
      <c r="B38" s="37" t="s">
        <v>110</v>
      </c>
      <c r="C38" s="74">
        <v>45669.0</v>
      </c>
      <c r="D38" s="104" t="s">
        <v>111</v>
      </c>
      <c r="E38" s="105"/>
      <c r="F38" s="106" t="s">
        <v>112</v>
      </c>
      <c r="G38" s="107" t="s">
        <v>71</v>
      </c>
      <c r="H38" s="83"/>
      <c r="I38" s="30"/>
      <c r="J38" s="26">
        <v>45659.0</v>
      </c>
      <c r="K38" s="27" t="s">
        <v>20</v>
      </c>
      <c r="L38" s="35" t="s">
        <v>113</v>
      </c>
      <c r="M38" s="35" t="s">
        <v>114</v>
      </c>
      <c r="N38" s="83"/>
      <c r="O38" s="83"/>
      <c r="P38" s="108"/>
      <c r="Q38" s="32">
        <v>45687.0</v>
      </c>
    </row>
    <row r="39" ht="36.0" customHeight="1">
      <c r="A39" s="18">
        <f t="shared" si="4"/>
        <v>14</v>
      </c>
      <c r="B39" s="37" t="s">
        <v>115</v>
      </c>
      <c r="C39" s="74">
        <v>45669.0</v>
      </c>
      <c r="D39" s="104" t="s">
        <v>116</v>
      </c>
      <c r="E39" s="105"/>
      <c r="F39" s="106" t="s">
        <v>117</v>
      </c>
      <c r="G39" s="107" t="s">
        <v>118</v>
      </c>
      <c r="H39" s="83"/>
      <c r="I39" s="30"/>
      <c r="J39" s="26">
        <v>45659.0</v>
      </c>
      <c r="K39" s="27" t="s">
        <v>20</v>
      </c>
      <c r="L39" s="35" t="s">
        <v>119</v>
      </c>
      <c r="M39" s="29" t="s">
        <v>22</v>
      </c>
      <c r="N39" s="83"/>
      <c r="O39" s="83"/>
      <c r="P39" s="108"/>
      <c r="Q39" s="32">
        <v>45687.0</v>
      </c>
    </row>
    <row r="40" ht="36.0" customHeight="1">
      <c r="A40" s="18">
        <f t="shared" si="4"/>
        <v>15</v>
      </c>
      <c r="B40" s="37" t="s">
        <v>120</v>
      </c>
      <c r="C40" s="109">
        <v>45669.0</v>
      </c>
      <c r="D40" s="110" t="s">
        <v>121</v>
      </c>
      <c r="E40" s="111"/>
      <c r="F40" s="112" t="s">
        <v>122</v>
      </c>
      <c r="G40" s="113" t="s">
        <v>123</v>
      </c>
      <c r="H40" s="30"/>
      <c r="I40" s="30"/>
      <c r="J40" s="26">
        <v>45659.0</v>
      </c>
      <c r="K40" s="27" t="s">
        <v>20</v>
      </c>
      <c r="L40" s="35" t="s">
        <v>124</v>
      </c>
      <c r="M40" s="35" t="s">
        <v>125</v>
      </c>
      <c r="N40" s="83"/>
      <c r="O40" s="83"/>
      <c r="P40" s="108"/>
      <c r="Q40" s="32">
        <v>45687.0</v>
      </c>
    </row>
    <row r="41" ht="19.5" customHeight="1">
      <c r="A41" s="36">
        <f t="shared" si="4"/>
        <v>16</v>
      </c>
      <c r="B41" s="91" t="s">
        <v>126</v>
      </c>
      <c r="C41" s="114">
        <v>45670.0</v>
      </c>
      <c r="D41" s="90" t="s">
        <v>127</v>
      </c>
      <c r="E41" s="115"/>
      <c r="F41" s="116"/>
      <c r="G41" s="117"/>
      <c r="H41" s="91" t="s">
        <v>128</v>
      </c>
      <c r="I41" s="44"/>
      <c r="J41" s="43">
        <v>45659.0</v>
      </c>
      <c r="K41" s="44" t="s">
        <v>20</v>
      </c>
      <c r="L41" s="72" t="s">
        <v>129</v>
      </c>
      <c r="M41" s="72" t="s">
        <v>130</v>
      </c>
      <c r="N41" s="94"/>
      <c r="O41" s="94"/>
      <c r="P41" s="94"/>
      <c r="Q41" s="118">
        <v>45707.0</v>
      </c>
    </row>
    <row r="42" ht="19.5" customHeight="1">
      <c r="A42" s="49"/>
      <c r="B42" s="49"/>
      <c r="D42" s="119"/>
      <c r="E42" s="120" t="s">
        <v>131</v>
      </c>
      <c r="F42" s="121" t="s">
        <v>132</v>
      </c>
      <c r="G42" s="122" t="s">
        <v>133</v>
      </c>
      <c r="H42" s="49"/>
      <c r="I42" s="49"/>
      <c r="J42" s="49"/>
      <c r="K42" s="49"/>
      <c r="L42" s="17"/>
      <c r="M42" s="17"/>
      <c r="N42" s="17"/>
      <c r="O42" s="17"/>
      <c r="P42" s="17"/>
      <c r="Q42" s="17"/>
    </row>
    <row r="43" ht="19.5" customHeight="1">
      <c r="A43" s="13"/>
      <c r="B43" s="13"/>
      <c r="D43" s="123"/>
      <c r="E43" s="124" t="s">
        <v>134</v>
      </c>
      <c r="F43" s="78" t="s">
        <v>132</v>
      </c>
      <c r="G43" s="125" t="s">
        <v>133</v>
      </c>
      <c r="H43" s="13"/>
      <c r="I43" s="13"/>
      <c r="J43" s="13"/>
      <c r="K43" s="13"/>
      <c r="L43" s="15"/>
      <c r="M43" s="15"/>
      <c r="N43" s="15"/>
      <c r="O43" s="15"/>
      <c r="P43" s="15"/>
      <c r="Q43" s="15"/>
    </row>
    <row r="44" ht="19.5" customHeight="1">
      <c r="A44" s="36">
        <f>IF(ISBLANK(B44),"",COUNTA($B$4:B44))</f>
        <v>17</v>
      </c>
      <c r="B44" s="126" t="s">
        <v>135</v>
      </c>
      <c r="C44" s="127">
        <v>45670.0</v>
      </c>
      <c r="D44" s="38" t="s">
        <v>136</v>
      </c>
      <c r="E44" s="115"/>
      <c r="F44" s="116"/>
      <c r="G44" s="117"/>
      <c r="H44" s="128" t="s">
        <v>128</v>
      </c>
      <c r="I44" s="129"/>
      <c r="J44" s="43">
        <v>45659.0</v>
      </c>
      <c r="K44" s="44" t="s">
        <v>20</v>
      </c>
      <c r="L44" s="130" t="s">
        <v>137</v>
      </c>
      <c r="M44" s="72" t="s">
        <v>138</v>
      </c>
      <c r="N44" s="128" t="s">
        <v>139</v>
      </c>
      <c r="O44" s="128"/>
      <c r="P44" s="128"/>
      <c r="Q44" s="131"/>
    </row>
    <row r="45" ht="19.5" customHeight="1">
      <c r="A45" s="49"/>
      <c r="B45" s="49"/>
      <c r="C45" s="16"/>
      <c r="D45" s="119"/>
      <c r="E45" s="63" t="s">
        <v>140</v>
      </c>
      <c r="F45" s="132" t="s">
        <v>141</v>
      </c>
      <c r="G45" s="132" t="s">
        <v>142</v>
      </c>
      <c r="H45" s="17"/>
      <c r="I45" s="17"/>
      <c r="J45" s="49"/>
      <c r="K45" s="49"/>
      <c r="L45" s="17"/>
      <c r="M45" s="17"/>
      <c r="N45" s="17"/>
      <c r="O45" s="17"/>
      <c r="P45" s="17"/>
      <c r="Q45" s="17"/>
    </row>
    <row r="46" ht="19.5" customHeight="1">
      <c r="A46" s="49"/>
      <c r="B46" s="49"/>
      <c r="C46" s="16"/>
      <c r="D46" s="119"/>
      <c r="E46" s="63" t="s">
        <v>143</v>
      </c>
      <c r="F46" s="132" t="s">
        <v>144</v>
      </c>
      <c r="G46" s="132" t="s">
        <v>142</v>
      </c>
      <c r="H46" s="17"/>
      <c r="I46" s="17"/>
      <c r="J46" s="49"/>
      <c r="K46" s="49"/>
      <c r="L46" s="17"/>
      <c r="M46" s="17"/>
      <c r="N46" s="17"/>
      <c r="O46" s="17"/>
      <c r="P46" s="17"/>
      <c r="Q46" s="17"/>
    </row>
    <row r="47" ht="19.5" customHeight="1">
      <c r="A47" s="49"/>
      <c r="B47" s="49"/>
      <c r="C47" s="16"/>
      <c r="D47" s="119"/>
      <c r="E47" s="63" t="s">
        <v>145</v>
      </c>
      <c r="F47" s="132" t="s">
        <v>146</v>
      </c>
      <c r="G47" s="132" t="s">
        <v>142</v>
      </c>
      <c r="H47" s="17"/>
      <c r="I47" s="17"/>
      <c r="J47" s="49"/>
      <c r="K47" s="49"/>
      <c r="L47" s="17"/>
      <c r="M47" s="17"/>
      <c r="N47" s="17"/>
      <c r="O47" s="17"/>
      <c r="P47" s="17"/>
      <c r="Q47" s="17"/>
    </row>
    <row r="48" ht="19.5" customHeight="1">
      <c r="A48" s="49"/>
      <c r="B48" s="49"/>
      <c r="C48" s="16"/>
      <c r="D48" s="119"/>
      <c r="E48" s="63" t="s">
        <v>147</v>
      </c>
      <c r="F48" s="132" t="s">
        <v>148</v>
      </c>
      <c r="G48" s="132" t="s">
        <v>142</v>
      </c>
      <c r="H48" s="17"/>
      <c r="I48" s="17"/>
      <c r="J48" s="49"/>
      <c r="K48" s="49"/>
      <c r="L48" s="17"/>
      <c r="M48" s="17"/>
      <c r="N48" s="17"/>
      <c r="O48" s="17"/>
      <c r="P48" s="17"/>
      <c r="Q48" s="17"/>
    </row>
    <row r="49" ht="19.5" customHeight="1">
      <c r="A49" s="13"/>
      <c r="B49" s="13"/>
      <c r="C49" s="14"/>
      <c r="D49" s="119"/>
      <c r="E49" s="63" t="s">
        <v>149</v>
      </c>
      <c r="F49" s="132" t="s">
        <v>150</v>
      </c>
      <c r="G49" s="132" t="s">
        <v>142</v>
      </c>
      <c r="H49" s="15"/>
      <c r="I49" s="15"/>
      <c r="J49" s="13"/>
      <c r="K49" s="13"/>
      <c r="L49" s="15"/>
      <c r="M49" s="15"/>
      <c r="N49" s="15"/>
      <c r="O49" s="15"/>
      <c r="P49" s="15"/>
      <c r="Q49" s="15"/>
    </row>
    <row r="50" ht="19.5" customHeight="1">
      <c r="A50" s="36">
        <f>IF(ISBLANK(B50),"",COUNTA($B$4:B50))</f>
        <v>18</v>
      </c>
      <c r="B50" s="37" t="s">
        <v>151</v>
      </c>
      <c r="C50" s="55">
        <v>45683.0</v>
      </c>
      <c r="D50" s="133" t="s">
        <v>152</v>
      </c>
      <c r="E50" s="115"/>
      <c r="F50" s="116"/>
      <c r="G50" s="117"/>
      <c r="H50" s="128" t="s">
        <v>19</v>
      </c>
      <c r="I50" s="91"/>
      <c r="J50" s="131">
        <v>45669.0</v>
      </c>
      <c r="K50" s="44" t="s">
        <v>20</v>
      </c>
      <c r="L50" s="130" t="s">
        <v>153</v>
      </c>
      <c r="M50" s="72" t="s">
        <v>154</v>
      </c>
      <c r="N50" s="128"/>
      <c r="O50" s="128"/>
      <c r="P50" s="128"/>
      <c r="Q50" s="131">
        <v>45707.0</v>
      </c>
    </row>
    <row r="51" ht="19.5" customHeight="1">
      <c r="A51" s="49"/>
      <c r="B51" s="16"/>
      <c r="C51" s="49"/>
      <c r="D51" s="134"/>
      <c r="E51" s="63" t="s">
        <v>155</v>
      </c>
      <c r="F51" s="121" t="s">
        <v>156</v>
      </c>
      <c r="G51" s="132" t="s">
        <v>157</v>
      </c>
      <c r="H51" s="17"/>
      <c r="I51" s="49"/>
      <c r="J51" s="17"/>
      <c r="K51" s="49"/>
      <c r="L51" s="17"/>
      <c r="M51" s="17"/>
      <c r="N51" s="17"/>
      <c r="O51" s="17"/>
      <c r="P51" s="17"/>
      <c r="Q51" s="17"/>
    </row>
    <row r="52" ht="19.5" customHeight="1">
      <c r="A52" s="13"/>
      <c r="B52" s="16"/>
      <c r="C52" s="13"/>
      <c r="D52" s="134"/>
      <c r="E52" s="63" t="s">
        <v>158</v>
      </c>
      <c r="F52" s="121" t="s">
        <v>159</v>
      </c>
      <c r="G52" s="132" t="s">
        <v>157</v>
      </c>
      <c r="H52" s="15"/>
      <c r="I52" s="13"/>
      <c r="J52" s="15"/>
      <c r="K52" s="13"/>
      <c r="L52" s="15"/>
      <c r="M52" s="15"/>
      <c r="N52" s="15"/>
      <c r="O52" s="15"/>
      <c r="P52" s="15"/>
      <c r="Q52" s="15"/>
    </row>
    <row r="53" ht="23.25" customHeight="1">
      <c r="A53" s="36">
        <f t="shared" ref="A53:A55" si="5">IF(ISBLANK(B53),"",COUNTA($B$4:B53))</f>
        <v>19</v>
      </c>
      <c r="B53" s="37" t="s">
        <v>160</v>
      </c>
      <c r="C53" s="74">
        <v>45688.0</v>
      </c>
      <c r="D53" s="21" t="s">
        <v>161</v>
      </c>
      <c r="E53" s="82"/>
      <c r="F53" s="135" t="s">
        <v>162</v>
      </c>
      <c r="G53" s="33" t="s">
        <v>162</v>
      </c>
      <c r="H53" s="136"/>
      <c r="I53" s="137"/>
      <c r="J53" s="32">
        <v>45669.0</v>
      </c>
      <c r="K53" s="27" t="s">
        <v>20</v>
      </c>
      <c r="L53" s="28" t="s">
        <v>163</v>
      </c>
      <c r="M53" s="29" t="s">
        <v>22</v>
      </c>
      <c r="N53" s="137"/>
      <c r="O53" s="137"/>
      <c r="P53" s="137"/>
      <c r="Q53" s="131"/>
    </row>
    <row r="54" ht="23.25" customHeight="1">
      <c r="A54" s="36">
        <f t="shared" si="5"/>
        <v>20</v>
      </c>
      <c r="B54" s="37" t="s">
        <v>164</v>
      </c>
      <c r="C54" s="74">
        <v>45688.0</v>
      </c>
      <c r="D54" s="21" t="s">
        <v>165</v>
      </c>
      <c r="E54" s="82"/>
      <c r="F54" s="135" t="s">
        <v>166</v>
      </c>
      <c r="G54" s="33" t="s">
        <v>26</v>
      </c>
      <c r="H54" s="136"/>
      <c r="I54" s="137"/>
      <c r="J54" s="32">
        <v>45669.0</v>
      </c>
      <c r="K54" s="27" t="s">
        <v>20</v>
      </c>
      <c r="L54" s="28" t="s">
        <v>167</v>
      </c>
      <c r="M54" s="35" t="s">
        <v>28</v>
      </c>
      <c r="N54" s="137"/>
      <c r="O54" s="137"/>
      <c r="P54" s="137"/>
      <c r="Q54" s="131"/>
    </row>
    <row r="55" ht="19.5" customHeight="1">
      <c r="A55" s="36">
        <f t="shared" si="5"/>
        <v>21</v>
      </c>
      <c r="B55" s="37" t="s">
        <v>168</v>
      </c>
      <c r="C55" s="55">
        <v>45690.0</v>
      </c>
      <c r="D55" s="102" t="s">
        <v>169</v>
      </c>
      <c r="E55" s="138"/>
      <c r="F55" s="116"/>
      <c r="G55" s="139"/>
      <c r="H55" s="128" t="s">
        <v>94</v>
      </c>
      <c r="I55" s="42"/>
      <c r="J55" s="48">
        <v>42020.0</v>
      </c>
      <c r="K55" s="44" t="s">
        <v>20</v>
      </c>
      <c r="L55" s="45" t="s">
        <v>170</v>
      </c>
      <c r="M55" s="46" t="s">
        <v>171</v>
      </c>
      <c r="N55" s="42"/>
      <c r="O55" s="42"/>
      <c r="P55" s="91"/>
      <c r="Q55" s="48"/>
    </row>
    <row r="56" ht="19.5" customHeight="1">
      <c r="A56" s="49"/>
      <c r="B56" s="16"/>
      <c r="C56" s="49"/>
      <c r="D56" s="121"/>
      <c r="E56" s="63" t="s">
        <v>172</v>
      </c>
      <c r="F56" s="121" t="s">
        <v>173</v>
      </c>
      <c r="G56" s="132" t="s">
        <v>174</v>
      </c>
      <c r="H56" s="17"/>
      <c r="I56" s="16"/>
      <c r="J56" s="49"/>
      <c r="K56" s="49"/>
      <c r="L56" s="16"/>
      <c r="M56" s="49"/>
      <c r="N56" s="16"/>
      <c r="O56" s="16"/>
      <c r="P56" s="49"/>
      <c r="Q56" s="49"/>
    </row>
    <row r="57" ht="19.5" customHeight="1">
      <c r="A57" s="49"/>
      <c r="B57" s="16"/>
      <c r="C57" s="49"/>
      <c r="D57" s="121"/>
      <c r="E57" s="63" t="s">
        <v>175</v>
      </c>
      <c r="F57" s="121" t="s">
        <v>173</v>
      </c>
      <c r="G57" s="132" t="s">
        <v>174</v>
      </c>
      <c r="H57" s="17"/>
      <c r="I57" s="16"/>
      <c r="J57" s="49"/>
      <c r="K57" s="49"/>
      <c r="L57" s="16"/>
      <c r="M57" s="49"/>
      <c r="N57" s="16"/>
      <c r="O57" s="16"/>
      <c r="P57" s="49"/>
      <c r="Q57" s="49"/>
    </row>
    <row r="58" ht="19.5" customHeight="1">
      <c r="A58" s="49"/>
      <c r="B58" s="16"/>
      <c r="C58" s="13"/>
      <c r="D58" s="78"/>
      <c r="E58" s="65" t="s">
        <v>176</v>
      </c>
      <c r="F58" s="78" t="s">
        <v>177</v>
      </c>
      <c r="G58" s="140" t="s">
        <v>174</v>
      </c>
      <c r="H58" s="15"/>
      <c r="I58" s="16"/>
      <c r="J58" s="13"/>
      <c r="K58" s="13"/>
      <c r="L58" s="16"/>
      <c r="M58" s="13"/>
      <c r="N58" s="16"/>
      <c r="O58" s="16"/>
      <c r="P58" s="49"/>
      <c r="Q58" s="49"/>
    </row>
    <row r="59" ht="19.5" customHeight="1">
      <c r="A59" s="36">
        <f>IF(ISBLANK(B59),"",COUNTA($B$4:B59))</f>
        <v>22</v>
      </c>
      <c r="B59" s="37" t="s">
        <v>178</v>
      </c>
      <c r="C59" s="20">
        <v>45690.0</v>
      </c>
      <c r="D59" s="102" t="s">
        <v>179</v>
      </c>
      <c r="E59" s="138"/>
      <c r="F59" s="116"/>
      <c r="G59" s="139"/>
      <c r="H59" s="141" t="s">
        <v>180</v>
      </c>
      <c r="I59" s="91"/>
      <c r="J59" s="48">
        <v>42020.0</v>
      </c>
      <c r="K59" s="44" t="s">
        <v>20</v>
      </c>
      <c r="L59" s="46" t="s">
        <v>181</v>
      </c>
      <c r="M59" s="93" t="s">
        <v>22</v>
      </c>
      <c r="N59" s="91"/>
      <c r="O59" s="91"/>
      <c r="P59" s="91"/>
      <c r="Q59" s="48"/>
    </row>
    <row r="60" ht="19.5" customHeight="1">
      <c r="A60" s="49"/>
      <c r="B60" s="16"/>
      <c r="C60" s="16"/>
      <c r="D60" s="121"/>
      <c r="E60" s="63" t="s">
        <v>182</v>
      </c>
      <c r="F60" s="121" t="s">
        <v>183</v>
      </c>
      <c r="G60" s="132" t="s">
        <v>184</v>
      </c>
      <c r="H60" s="49"/>
      <c r="I60" s="49"/>
      <c r="J60" s="49"/>
      <c r="K60" s="49"/>
      <c r="L60" s="49"/>
      <c r="M60" s="17"/>
      <c r="N60" s="49"/>
      <c r="O60" s="49"/>
      <c r="P60" s="49"/>
      <c r="Q60" s="49"/>
    </row>
    <row r="61" ht="19.5" customHeight="1">
      <c r="A61" s="13"/>
      <c r="B61" s="16"/>
      <c r="C61" s="16"/>
      <c r="D61" s="121"/>
      <c r="E61" s="63" t="s">
        <v>185</v>
      </c>
      <c r="F61" s="78" t="s">
        <v>186</v>
      </c>
      <c r="G61" s="140" t="s">
        <v>184</v>
      </c>
      <c r="H61" s="13"/>
      <c r="I61" s="13"/>
      <c r="J61" s="13"/>
      <c r="K61" s="13"/>
      <c r="L61" s="13"/>
      <c r="M61" s="15"/>
      <c r="N61" s="13"/>
      <c r="O61" s="13"/>
      <c r="P61" s="13"/>
      <c r="Q61" s="13"/>
    </row>
    <row r="62" ht="19.5" customHeight="1">
      <c r="A62" s="36">
        <f>IF(ISBLANK(B62),"",COUNTA($B$4:B62))</f>
        <v>23</v>
      </c>
      <c r="B62" s="37" t="s">
        <v>187</v>
      </c>
      <c r="C62" s="20">
        <v>45690.0</v>
      </c>
      <c r="D62" s="38" t="s">
        <v>188</v>
      </c>
      <c r="E62" s="115"/>
      <c r="F62" s="121"/>
      <c r="G62" s="142"/>
      <c r="H62" s="128" t="s">
        <v>189</v>
      </c>
      <c r="I62" s="91"/>
      <c r="J62" s="48">
        <v>42020.0</v>
      </c>
      <c r="K62" s="44" t="s">
        <v>20</v>
      </c>
      <c r="L62" s="45" t="s">
        <v>190</v>
      </c>
      <c r="M62" s="45" t="s">
        <v>191</v>
      </c>
      <c r="N62" s="37"/>
      <c r="O62" s="37"/>
      <c r="P62" s="47"/>
      <c r="Q62" s="48">
        <v>45707.0</v>
      </c>
    </row>
    <row r="63" ht="19.5" customHeight="1">
      <c r="A63" s="49"/>
      <c r="B63" s="16"/>
      <c r="C63" s="16"/>
      <c r="D63" s="119"/>
      <c r="E63" s="143" t="s">
        <v>192</v>
      </c>
      <c r="F63" s="121"/>
      <c r="G63" s="142"/>
      <c r="H63" s="17"/>
      <c r="I63" s="49"/>
      <c r="J63" s="49"/>
      <c r="K63" s="49"/>
      <c r="L63" s="16"/>
      <c r="M63" s="16"/>
      <c r="N63" s="16"/>
      <c r="O63" s="16"/>
      <c r="P63" s="49"/>
      <c r="Q63" s="49"/>
    </row>
    <row r="64" ht="19.5" customHeight="1">
      <c r="A64" s="49"/>
      <c r="B64" s="16"/>
      <c r="C64" s="16"/>
      <c r="D64" s="119"/>
      <c r="E64" s="63" t="s">
        <v>193</v>
      </c>
      <c r="F64" s="121" t="s">
        <v>194</v>
      </c>
      <c r="G64" s="132" t="s">
        <v>195</v>
      </c>
      <c r="H64" s="17"/>
      <c r="I64" s="49"/>
      <c r="J64" s="49"/>
      <c r="K64" s="49"/>
      <c r="L64" s="16"/>
      <c r="M64" s="16"/>
      <c r="N64" s="16"/>
      <c r="O64" s="16"/>
      <c r="P64" s="49"/>
      <c r="Q64" s="49"/>
    </row>
    <row r="65" ht="19.5" customHeight="1">
      <c r="A65" s="49"/>
      <c r="B65" s="16"/>
      <c r="C65" s="16"/>
      <c r="D65" s="119"/>
      <c r="E65" s="63" t="s">
        <v>196</v>
      </c>
      <c r="F65" s="121" t="s">
        <v>197</v>
      </c>
      <c r="G65" s="132" t="s">
        <v>195</v>
      </c>
      <c r="H65" s="17"/>
      <c r="I65" s="49"/>
      <c r="J65" s="49"/>
      <c r="K65" s="49"/>
      <c r="L65" s="16"/>
      <c r="M65" s="16"/>
      <c r="N65" s="16"/>
      <c r="O65" s="16"/>
      <c r="P65" s="49"/>
      <c r="Q65" s="49"/>
    </row>
    <row r="66" ht="19.5" customHeight="1">
      <c r="A66" s="49"/>
      <c r="B66" s="16"/>
      <c r="C66" s="16"/>
      <c r="D66" s="119"/>
      <c r="E66" s="63" t="s">
        <v>198</v>
      </c>
      <c r="F66" s="121" t="s">
        <v>199</v>
      </c>
      <c r="G66" s="132" t="s">
        <v>195</v>
      </c>
      <c r="H66" s="17"/>
      <c r="I66" s="49"/>
      <c r="J66" s="49"/>
      <c r="K66" s="49"/>
      <c r="L66" s="16"/>
      <c r="M66" s="16"/>
      <c r="N66" s="16"/>
      <c r="O66" s="16"/>
      <c r="P66" s="49"/>
      <c r="Q66" s="49"/>
    </row>
    <row r="67" ht="19.5" customHeight="1">
      <c r="A67" s="49"/>
      <c r="B67" s="16"/>
      <c r="C67" s="16"/>
      <c r="D67" s="119"/>
      <c r="E67" s="63" t="s">
        <v>200</v>
      </c>
      <c r="F67" s="121" t="s">
        <v>201</v>
      </c>
      <c r="G67" s="132" t="s">
        <v>195</v>
      </c>
      <c r="H67" s="17"/>
      <c r="I67" s="49"/>
      <c r="J67" s="49"/>
      <c r="K67" s="49"/>
      <c r="L67" s="16"/>
      <c r="M67" s="16"/>
      <c r="N67" s="16"/>
      <c r="O67" s="16"/>
      <c r="P67" s="49"/>
      <c r="Q67" s="49"/>
    </row>
    <row r="68" ht="19.5" customHeight="1">
      <c r="A68" s="49"/>
      <c r="B68" s="16"/>
      <c r="C68" s="16"/>
      <c r="D68" s="119"/>
      <c r="E68" s="63" t="s">
        <v>202</v>
      </c>
      <c r="F68" s="121" t="s">
        <v>203</v>
      </c>
      <c r="G68" s="132" t="s">
        <v>195</v>
      </c>
      <c r="H68" s="17"/>
      <c r="I68" s="49"/>
      <c r="J68" s="49"/>
      <c r="K68" s="49"/>
      <c r="L68" s="16"/>
      <c r="M68" s="16"/>
      <c r="N68" s="16"/>
      <c r="O68" s="16"/>
      <c r="P68" s="49"/>
      <c r="Q68" s="49"/>
    </row>
    <row r="69" ht="19.5" customHeight="1">
      <c r="A69" s="49"/>
      <c r="B69" s="16"/>
      <c r="C69" s="16"/>
      <c r="D69" s="119"/>
      <c r="E69" s="63" t="s">
        <v>204</v>
      </c>
      <c r="F69" s="121" t="s">
        <v>205</v>
      </c>
      <c r="G69" s="132" t="s">
        <v>195</v>
      </c>
      <c r="H69" s="17"/>
      <c r="I69" s="49"/>
      <c r="J69" s="49"/>
      <c r="K69" s="49"/>
      <c r="L69" s="16"/>
      <c r="M69" s="16"/>
      <c r="N69" s="16"/>
      <c r="O69" s="16"/>
      <c r="P69" s="49"/>
      <c r="Q69" s="49"/>
    </row>
    <row r="70" ht="19.5" customHeight="1">
      <c r="A70" s="13"/>
      <c r="B70" s="16"/>
      <c r="C70" s="16"/>
      <c r="D70" s="123"/>
      <c r="E70" s="65" t="s">
        <v>206</v>
      </c>
      <c r="F70" s="78" t="s">
        <v>207</v>
      </c>
      <c r="G70" s="140" t="s">
        <v>195</v>
      </c>
      <c r="H70" s="15"/>
      <c r="I70" s="13"/>
      <c r="J70" s="13"/>
      <c r="K70" s="13"/>
      <c r="L70" s="16"/>
      <c r="M70" s="16"/>
      <c r="N70" s="16"/>
      <c r="O70" s="16"/>
      <c r="P70" s="13"/>
      <c r="Q70" s="13"/>
    </row>
    <row r="71" ht="19.5" customHeight="1">
      <c r="A71" s="36">
        <f>IF(ISBLANK(B71),"",COUNTA($B$4:B71))</f>
        <v>24</v>
      </c>
      <c r="B71" s="37" t="s">
        <v>208</v>
      </c>
      <c r="C71" s="20">
        <v>45690.0</v>
      </c>
      <c r="D71" s="102" t="s">
        <v>209</v>
      </c>
      <c r="E71" s="138"/>
      <c r="F71" s="121"/>
      <c r="G71" s="142"/>
      <c r="H71" s="37" t="s">
        <v>210</v>
      </c>
      <c r="I71" s="91"/>
      <c r="J71" s="48">
        <v>42020.0</v>
      </c>
      <c r="K71" s="44" t="s">
        <v>20</v>
      </c>
      <c r="L71" s="45" t="s">
        <v>211</v>
      </c>
      <c r="M71" s="45" t="s">
        <v>212</v>
      </c>
      <c r="N71" s="37"/>
      <c r="O71" s="37"/>
      <c r="P71" s="144"/>
      <c r="Q71" s="145">
        <v>45707.0</v>
      </c>
    </row>
    <row r="72" ht="19.5" customHeight="1">
      <c r="A72" s="49"/>
      <c r="B72" s="16"/>
      <c r="C72" s="16"/>
      <c r="D72" s="119"/>
      <c r="E72" s="143" t="s">
        <v>213</v>
      </c>
      <c r="F72" s="121"/>
      <c r="G72" s="142"/>
      <c r="H72" s="16"/>
      <c r="I72" s="49"/>
      <c r="J72" s="49"/>
      <c r="K72" s="49"/>
      <c r="L72" s="16"/>
      <c r="M72" s="16"/>
      <c r="N72" s="16"/>
      <c r="O72" s="16"/>
      <c r="P72" s="49"/>
      <c r="Q72" s="49"/>
    </row>
    <row r="73" ht="19.5" customHeight="1">
      <c r="A73" s="49"/>
      <c r="B73" s="16"/>
      <c r="C73" s="16"/>
      <c r="D73" s="119"/>
      <c r="E73" s="63" t="s">
        <v>214</v>
      </c>
      <c r="F73" s="121" t="s">
        <v>215</v>
      </c>
      <c r="G73" s="132" t="s">
        <v>195</v>
      </c>
      <c r="H73" s="16"/>
      <c r="I73" s="49"/>
      <c r="J73" s="49"/>
      <c r="K73" s="49"/>
      <c r="L73" s="16"/>
      <c r="M73" s="16"/>
      <c r="N73" s="16"/>
      <c r="O73" s="16"/>
      <c r="P73" s="49"/>
      <c r="Q73" s="49"/>
    </row>
    <row r="74" ht="19.5" customHeight="1">
      <c r="A74" s="49"/>
      <c r="B74" s="16"/>
      <c r="C74" s="16"/>
      <c r="D74" s="119"/>
      <c r="E74" s="63" t="s">
        <v>216</v>
      </c>
      <c r="F74" s="121" t="s">
        <v>217</v>
      </c>
      <c r="G74" s="132" t="s">
        <v>195</v>
      </c>
      <c r="H74" s="16"/>
      <c r="I74" s="49"/>
      <c r="J74" s="49"/>
      <c r="K74" s="49"/>
      <c r="L74" s="16"/>
      <c r="M74" s="16"/>
      <c r="N74" s="16"/>
      <c r="O74" s="16"/>
      <c r="P74" s="49"/>
      <c r="Q74" s="49"/>
    </row>
    <row r="75" ht="19.5" customHeight="1">
      <c r="A75" s="49"/>
      <c r="B75" s="16"/>
      <c r="C75" s="16"/>
      <c r="D75" s="119"/>
      <c r="E75" s="63" t="s">
        <v>218</v>
      </c>
      <c r="F75" s="121" t="s">
        <v>219</v>
      </c>
      <c r="G75" s="132" t="s">
        <v>195</v>
      </c>
      <c r="H75" s="16"/>
      <c r="I75" s="49"/>
      <c r="J75" s="49"/>
      <c r="K75" s="49"/>
      <c r="L75" s="16"/>
      <c r="M75" s="16"/>
      <c r="N75" s="16"/>
      <c r="O75" s="16"/>
      <c r="P75" s="49"/>
      <c r="Q75" s="49"/>
    </row>
    <row r="76" ht="19.5" customHeight="1">
      <c r="A76" s="49"/>
      <c r="B76" s="16"/>
      <c r="C76" s="16"/>
      <c r="D76" s="119"/>
      <c r="E76" s="63" t="s">
        <v>220</v>
      </c>
      <c r="F76" s="121" t="s">
        <v>221</v>
      </c>
      <c r="G76" s="132" t="s">
        <v>195</v>
      </c>
      <c r="H76" s="16"/>
      <c r="I76" s="49"/>
      <c r="J76" s="49"/>
      <c r="K76" s="49"/>
      <c r="L76" s="16"/>
      <c r="M76" s="16"/>
      <c r="N76" s="16"/>
      <c r="O76" s="16"/>
      <c r="P76" s="49"/>
      <c r="Q76" s="49"/>
    </row>
    <row r="77" ht="19.5" customHeight="1">
      <c r="A77" s="13"/>
      <c r="B77" s="16"/>
      <c r="C77" s="16"/>
      <c r="D77" s="119"/>
      <c r="E77" s="63" t="s">
        <v>222</v>
      </c>
      <c r="F77" s="121" t="s">
        <v>223</v>
      </c>
      <c r="G77" s="132" t="s">
        <v>195</v>
      </c>
      <c r="H77" s="16"/>
      <c r="I77" s="13"/>
      <c r="J77" s="13"/>
      <c r="K77" s="13"/>
      <c r="L77" s="16"/>
      <c r="M77" s="16"/>
      <c r="N77" s="16"/>
      <c r="O77" s="16"/>
      <c r="P77" s="13"/>
      <c r="Q77" s="13"/>
    </row>
    <row r="78" ht="19.5" customHeight="1">
      <c r="A78" s="36">
        <f>IF(ISBLANK(B78),"",COUNTA($B$4:B78))</f>
        <v>25</v>
      </c>
      <c r="B78" s="37" t="s">
        <v>224</v>
      </c>
      <c r="C78" s="20">
        <v>45690.0</v>
      </c>
      <c r="D78" s="38" t="s">
        <v>225</v>
      </c>
      <c r="E78" s="68"/>
      <c r="F78" s="116"/>
      <c r="G78" s="117"/>
      <c r="H78" s="91" t="s">
        <v>189</v>
      </c>
      <c r="I78" s="91"/>
      <c r="J78" s="48">
        <v>42020.0</v>
      </c>
      <c r="K78" s="44" t="s">
        <v>20</v>
      </c>
      <c r="L78" s="46" t="s">
        <v>226</v>
      </c>
      <c r="M78" s="46" t="s">
        <v>227</v>
      </c>
      <c r="N78" s="92"/>
      <c r="O78" s="92"/>
      <c r="P78" s="146"/>
      <c r="Q78" s="145">
        <v>45707.0</v>
      </c>
    </row>
    <row r="79" ht="19.5" customHeight="1">
      <c r="A79" s="49"/>
      <c r="B79" s="16"/>
      <c r="C79" s="16"/>
      <c r="D79" s="119"/>
      <c r="E79" s="63" t="s">
        <v>228</v>
      </c>
      <c r="F79" s="121" t="s">
        <v>229</v>
      </c>
      <c r="G79" s="132" t="s">
        <v>230</v>
      </c>
      <c r="H79" s="49"/>
      <c r="I79" s="49"/>
      <c r="J79" s="49"/>
      <c r="K79" s="49"/>
      <c r="L79" s="49"/>
      <c r="M79" s="49"/>
      <c r="N79" s="49"/>
      <c r="O79" s="49"/>
      <c r="P79" s="49"/>
      <c r="Q79" s="49"/>
    </row>
    <row r="80" ht="19.5" customHeight="1">
      <c r="A80" s="49"/>
      <c r="B80" s="16"/>
      <c r="C80" s="16"/>
      <c r="D80" s="119"/>
      <c r="E80" s="63" t="s">
        <v>231</v>
      </c>
      <c r="F80" s="121" t="s">
        <v>229</v>
      </c>
      <c r="G80" s="132" t="s">
        <v>232</v>
      </c>
      <c r="H80" s="49"/>
      <c r="I80" s="49"/>
      <c r="J80" s="49"/>
      <c r="K80" s="49"/>
      <c r="L80" s="49"/>
      <c r="M80" s="49"/>
      <c r="N80" s="49"/>
      <c r="O80" s="49"/>
      <c r="P80" s="49"/>
      <c r="Q80" s="49"/>
    </row>
    <row r="81" ht="19.5" customHeight="1">
      <c r="A81" s="49"/>
      <c r="B81" s="16"/>
      <c r="C81" s="16"/>
      <c r="D81" s="119"/>
      <c r="E81" s="63" t="s">
        <v>233</v>
      </c>
      <c r="F81" s="121" t="s">
        <v>229</v>
      </c>
      <c r="G81" s="132" t="s">
        <v>234</v>
      </c>
      <c r="H81" s="49"/>
      <c r="I81" s="49"/>
      <c r="J81" s="49"/>
      <c r="K81" s="49"/>
      <c r="L81" s="49"/>
      <c r="M81" s="49"/>
      <c r="N81" s="49"/>
      <c r="O81" s="49"/>
      <c r="P81" s="49"/>
      <c r="Q81" s="49"/>
    </row>
    <row r="82" ht="19.5" customHeight="1">
      <c r="A82" s="13"/>
      <c r="B82" s="16"/>
      <c r="C82" s="16"/>
      <c r="D82" s="119"/>
      <c r="E82" s="63" t="s">
        <v>235</v>
      </c>
      <c r="F82" s="121" t="s">
        <v>229</v>
      </c>
      <c r="G82" s="132" t="s">
        <v>236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ht="19.5" customHeight="1">
      <c r="A83" s="36">
        <f>IF(ISBLANK(B83),"",COUNTA($B$4:B83))</f>
        <v>26</v>
      </c>
      <c r="B83" s="37" t="s">
        <v>237</v>
      </c>
      <c r="C83" s="20">
        <v>45690.0</v>
      </c>
      <c r="D83" s="38" t="s">
        <v>238</v>
      </c>
      <c r="E83" s="115"/>
      <c r="F83" s="116"/>
      <c r="G83" s="117"/>
      <c r="H83" s="91" t="s">
        <v>239</v>
      </c>
      <c r="I83" s="91"/>
      <c r="J83" s="48">
        <v>42020.0</v>
      </c>
      <c r="K83" s="44" t="s">
        <v>20</v>
      </c>
      <c r="L83" s="45" t="s">
        <v>240</v>
      </c>
      <c r="M83" s="45" t="s">
        <v>241</v>
      </c>
      <c r="N83" s="42"/>
      <c r="O83" s="42"/>
      <c r="P83" s="47"/>
      <c r="Q83" s="48">
        <v>45707.0</v>
      </c>
    </row>
    <row r="84" ht="19.5" customHeight="1">
      <c r="A84" s="49"/>
      <c r="B84" s="16"/>
      <c r="C84" s="16"/>
      <c r="D84" s="119"/>
      <c r="E84" s="63" t="s">
        <v>242</v>
      </c>
      <c r="F84" s="121" t="s">
        <v>243</v>
      </c>
      <c r="G84" s="132" t="s">
        <v>244</v>
      </c>
      <c r="H84" s="49"/>
      <c r="I84" s="49"/>
      <c r="J84" s="49"/>
      <c r="K84" s="49"/>
      <c r="L84" s="16"/>
      <c r="M84" s="16"/>
      <c r="N84" s="16"/>
      <c r="O84" s="16"/>
      <c r="P84" s="49"/>
      <c r="Q84" s="49"/>
    </row>
    <row r="85" ht="19.5" customHeight="1">
      <c r="A85" s="49"/>
      <c r="B85" s="16"/>
      <c r="C85" s="16"/>
      <c r="D85" s="119"/>
      <c r="E85" s="63" t="s">
        <v>245</v>
      </c>
      <c r="F85" s="121" t="s">
        <v>243</v>
      </c>
      <c r="G85" s="132" t="s">
        <v>246</v>
      </c>
      <c r="H85" s="49"/>
      <c r="I85" s="49"/>
      <c r="J85" s="49"/>
      <c r="K85" s="49"/>
      <c r="L85" s="16"/>
      <c r="M85" s="16"/>
      <c r="N85" s="16"/>
      <c r="O85" s="16"/>
      <c r="P85" s="49"/>
      <c r="Q85" s="49"/>
    </row>
    <row r="86" ht="19.5" customHeight="1">
      <c r="A86" s="13"/>
      <c r="B86" s="16"/>
      <c r="C86" s="16"/>
      <c r="D86" s="119"/>
      <c r="E86" s="63" t="s">
        <v>247</v>
      </c>
      <c r="F86" s="121" t="s">
        <v>243</v>
      </c>
      <c r="G86" s="132" t="s">
        <v>248</v>
      </c>
      <c r="H86" s="13"/>
      <c r="I86" s="13"/>
      <c r="J86" s="13"/>
      <c r="K86" s="13"/>
      <c r="L86" s="16"/>
      <c r="M86" s="16"/>
      <c r="N86" s="16"/>
      <c r="O86" s="16"/>
      <c r="P86" s="13"/>
      <c r="Q86" s="13"/>
    </row>
    <row r="87" ht="28.5" customHeight="1">
      <c r="A87" s="18">
        <f t="shared" ref="A87:A89" si="6">IF(ISBLANK(B87),"",COUNTA($B$4:B87))</f>
        <v>27</v>
      </c>
      <c r="B87" s="37" t="s">
        <v>249</v>
      </c>
      <c r="C87" s="20">
        <v>45690.0</v>
      </c>
      <c r="D87" s="116" t="s">
        <v>250</v>
      </c>
      <c r="E87" s="115"/>
      <c r="F87" s="40" t="s">
        <v>251</v>
      </c>
      <c r="G87" s="77" t="s">
        <v>252</v>
      </c>
      <c r="H87" s="147" t="s">
        <v>253</v>
      </c>
      <c r="I87" s="87"/>
      <c r="J87" s="32">
        <v>42020.0</v>
      </c>
      <c r="K87" s="27" t="s">
        <v>20</v>
      </c>
      <c r="L87" s="35" t="s">
        <v>254</v>
      </c>
      <c r="M87" s="29" t="s">
        <v>22</v>
      </c>
      <c r="N87" s="34"/>
      <c r="O87" s="34"/>
      <c r="P87" s="25"/>
      <c r="Q87" s="148"/>
    </row>
    <row r="88" ht="42.0" customHeight="1">
      <c r="A88" s="18">
        <f t="shared" si="6"/>
        <v>28</v>
      </c>
      <c r="B88" s="37" t="s">
        <v>255</v>
      </c>
      <c r="C88" s="20">
        <v>45690.0</v>
      </c>
      <c r="D88" s="21" t="s">
        <v>256</v>
      </c>
      <c r="E88" s="82"/>
      <c r="F88" s="31" t="s">
        <v>257</v>
      </c>
      <c r="G88" s="68" t="s">
        <v>258</v>
      </c>
      <c r="H88" s="87" t="s">
        <v>189</v>
      </c>
      <c r="I88" s="87"/>
      <c r="J88" s="32">
        <v>42020.0</v>
      </c>
      <c r="K88" s="27" t="s">
        <v>20</v>
      </c>
      <c r="L88" s="149" t="s">
        <v>259</v>
      </c>
      <c r="M88" s="150" t="s">
        <v>22</v>
      </c>
      <c r="N88" s="73" t="s">
        <v>260</v>
      </c>
      <c r="O88" s="73"/>
      <c r="P88" s="147"/>
      <c r="Q88" s="151"/>
    </row>
    <row r="89" ht="19.5" customHeight="1">
      <c r="A89" s="36">
        <f t="shared" si="6"/>
        <v>29</v>
      </c>
      <c r="B89" s="37" t="s">
        <v>261</v>
      </c>
      <c r="C89" s="20">
        <v>45693.0</v>
      </c>
      <c r="D89" s="102" t="s">
        <v>262</v>
      </c>
      <c r="E89" s="138"/>
      <c r="F89" s="103"/>
      <c r="G89" s="115"/>
      <c r="H89" s="91" t="s">
        <v>239</v>
      </c>
      <c r="I89" s="91"/>
      <c r="J89" s="48">
        <v>42020.0</v>
      </c>
      <c r="K89" s="44" t="s">
        <v>20</v>
      </c>
      <c r="L89" s="130" t="s">
        <v>263</v>
      </c>
      <c r="M89" s="130" t="s">
        <v>264</v>
      </c>
      <c r="N89" s="128" t="s">
        <v>260</v>
      </c>
      <c r="O89" s="128"/>
      <c r="P89" s="128"/>
      <c r="Q89" s="131"/>
    </row>
    <row r="90" ht="37.5" customHeight="1">
      <c r="A90" s="49"/>
      <c r="B90" s="16"/>
      <c r="C90" s="16"/>
      <c r="D90" s="152"/>
      <c r="E90" s="77" t="s">
        <v>265</v>
      </c>
      <c r="F90" s="22" t="s">
        <v>266</v>
      </c>
      <c r="G90" s="77" t="s">
        <v>267</v>
      </c>
      <c r="H90" s="49"/>
      <c r="I90" s="49"/>
      <c r="J90" s="49"/>
      <c r="K90" s="49"/>
      <c r="L90" s="17"/>
      <c r="M90" s="17"/>
      <c r="N90" s="17"/>
      <c r="O90" s="17"/>
      <c r="P90" s="17"/>
      <c r="Q90" s="17"/>
    </row>
    <row r="91" ht="18.75" customHeight="1">
      <c r="A91" s="49"/>
      <c r="B91" s="16"/>
      <c r="C91" s="16"/>
      <c r="D91" s="119"/>
      <c r="E91" s="63" t="s">
        <v>268</v>
      </c>
      <c r="F91" s="153" t="s">
        <v>269</v>
      </c>
      <c r="G91" s="63" t="s">
        <v>270</v>
      </c>
      <c r="H91" s="49"/>
      <c r="I91" s="49"/>
      <c r="J91" s="49"/>
      <c r="K91" s="49"/>
      <c r="L91" s="17"/>
      <c r="M91" s="17"/>
      <c r="N91" s="17"/>
      <c r="O91" s="17"/>
      <c r="P91" s="17"/>
      <c r="Q91" s="17"/>
    </row>
    <row r="92" ht="36.0" customHeight="1">
      <c r="A92" s="49"/>
      <c r="B92" s="16"/>
      <c r="C92" s="16"/>
      <c r="D92" s="119"/>
      <c r="E92" s="63"/>
      <c r="F92" s="51" t="s">
        <v>271</v>
      </c>
      <c r="G92" s="17"/>
      <c r="H92" s="49"/>
      <c r="I92" s="49"/>
      <c r="J92" s="49"/>
      <c r="K92" s="49"/>
      <c r="L92" s="17"/>
      <c r="M92" s="17"/>
      <c r="N92" s="17"/>
      <c r="O92" s="17"/>
      <c r="P92" s="17"/>
      <c r="Q92" s="17"/>
    </row>
    <row r="93" ht="18.75" customHeight="1">
      <c r="A93" s="49"/>
      <c r="B93" s="16"/>
      <c r="C93" s="16"/>
      <c r="D93" s="119"/>
      <c r="E93" s="63"/>
      <c r="F93" s="153" t="s">
        <v>272</v>
      </c>
      <c r="G93" s="63" t="s">
        <v>273</v>
      </c>
      <c r="H93" s="49"/>
      <c r="I93" s="49"/>
      <c r="J93" s="49"/>
      <c r="K93" s="49"/>
      <c r="L93" s="17"/>
      <c r="M93" s="17"/>
      <c r="N93" s="17"/>
      <c r="O93" s="17"/>
      <c r="P93" s="17"/>
      <c r="Q93" s="17"/>
    </row>
    <row r="94" ht="31.5" customHeight="1">
      <c r="A94" s="49"/>
      <c r="B94" s="16"/>
      <c r="C94" s="16"/>
      <c r="D94" s="119"/>
      <c r="E94" s="63"/>
      <c r="F94" s="154" t="s">
        <v>274</v>
      </c>
      <c r="G94" s="15"/>
      <c r="H94" s="49"/>
      <c r="I94" s="49"/>
      <c r="J94" s="49"/>
      <c r="K94" s="49"/>
      <c r="L94" s="17"/>
      <c r="M94" s="17"/>
      <c r="N94" s="17"/>
      <c r="O94" s="17"/>
      <c r="P94" s="17"/>
      <c r="Q94" s="17"/>
    </row>
    <row r="95" ht="18.75" customHeight="1">
      <c r="A95" s="49"/>
      <c r="B95" s="16"/>
      <c r="C95" s="16"/>
      <c r="D95" s="155"/>
      <c r="E95" s="68" t="s">
        <v>275</v>
      </c>
      <c r="F95" s="153" t="s">
        <v>269</v>
      </c>
      <c r="G95" s="63" t="s">
        <v>270</v>
      </c>
      <c r="H95" s="49"/>
      <c r="I95" s="49"/>
      <c r="J95" s="49"/>
      <c r="K95" s="49"/>
      <c r="L95" s="17"/>
      <c r="M95" s="17"/>
      <c r="N95" s="17"/>
      <c r="O95" s="17"/>
      <c r="P95" s="17"/>
      <c r="Q95" s="17"/>
    </row>
    <row r="96" ht="36.0" customHeight="1">
      <c r="A96" s="49"/>
      <c r="B96" s="16"/>
      <c r="C96" s="16"/>
      <c r="D96" s="119"/>
      <c r="E96" s="156"/>
      <c r="F96" s="51" t="s">
        <v>271</v>
      </c>
      <c r="G96" s="17"/>
      <c r="H96" s="49"/>
      <c r="I96" s="49"/>
      <c r="J96" s="49"/>
      <c r="K96" s="49"/>
      <c r="L96" s="17"/>
      <c r="M96" s="17"/>
      <c r="N96" s="17"/>
      <c r="O96" s="17"/>
      <c r="P96" s="17"/>
      <c r="Q96" s="17"/>
    </row>
    <row r="97" ht="18.75" customHeight="1">
      <c r="A97" s="49"/>
      <c r="B97" s="16"/>
      <c r="C97" s="16"/>
      <c r="D97" s="119"/>
      <c r="E97" s="156"/>
      <c r="F97" s="153" t="s">
        <v>272</v>
      </c>
      <c r="G97" s="63" t="s">
        <v>276</v>
      </c>
      <c r="H97" s="49"/>
      <c r="I97" s="49"/>
      <c r="J97" s="49"/>
      <c r="K97" s="49"/>
      <c r="L97" s="17"/>
      <c r="M97" s="17"/>
      <c r="N97" s="17"/>
      <c r="O97" s="17"/>
      <c r="P97" s="17"/>
      <c r="Q97" s="17"/>
    </row>
    <row r="98" ht="18.75" customHeight="1">
      <c r="A98" s="13"/>
      <c r="B98" s="16"/>
      <c r="C98" s="16"/>
      <c r="D98" s="123"/>
      <c r="E98" s="65"/>
      <c r="F98" s="154" t="s">
        <v>277</v>
      </c>
      <c r="G98" s="15"/>
      <c r="H98" s="13"/>
      <c r="I98" s="13"/>
      <c r="J98" s="13"/>
      <c r="K98" s="13"/>
      <c r="L98" s="15"/>
      <c r="M98" s="15"/>
      <c r="N98" s="15"/>
      <c r="O98" s="15"/>
      <c r="P98" s="15"/>
      <c r="Q98" s="15"/>
    </row>
    <row r="99" ht="36.0" customHeight="1">
      <c r="A99" s="18">
        <f t="shared" ref="A99:A100" si="7">IF(ISBLANK(B99),"",COUNTA($B$4:B99))</f>
        <v>30</v>
      </c>
      <c r="B99" s="37" t="s">
        <v>278</v>
      </c>
      <c r="C99" s="20">
        <v>45693.0</v>
      </c>
      <c r="D99" s="78" t="s">
        <v>279</v>
      </c>
      <c r="E99" s="79"/>
      <c r="F99" s="157" t="s">
        <v>280</v>
      </c>
      <c r="G99" s="80" t="s">
        <v>281</v>
      </c>
      <c r="H99" s="147" t="s">
        <v>94</v>
      </c>
      <c r="I99" s="87"/>
      <c r="J99" s="32">
        <v>42020.0</v>
      </c>
      <c r="K99" s="27" t="s">
        <v>20</v>
      </c>
      <c r="L99" s="35" t="s">
        <v>282</v>
      </c>
      <c r="M99" s="35" t="s">
        <v>283</v>
      </c>
      <c r="N99" s="83"/>
      <c r="O99" s="83"/>
      <c r="P99" s="34"/>
      <c r="Q99" s="158"/>
    </row>
    <row r="100" ht="34.5" customHeight="1">
      <c r="A100" s="36">
        <f t="shared" si="7"/>
        <v>31</v>
      </c>
      <c r="B100" s="37" t="s">
        <v>284</v>
      </c>
      <c r="C100" s="20">
        <v>45693.0</v>
      </c>
      <c r="D100" s="121" t="s">
        <v>285</v>
      </c>
      <c r="E100" s="17"/>
      <c r="F100" s="159" t="s">
        <v>286</v>
      </c>
      <c r="G100" s="113" t="s">
        <v>287</v>
      </c>
      <c r="H100" s="91" t="s">
        <v>94</v>
      </c>
      <c r="I100" s="91"/>
      <c r="J100" s="160">
        <v>42020.0</v>
      </c>
      <c r="K100" s="44" t="s">
        <v>20</v>
      </c>
      <c r="L100" s="45" t="s">
        <v>288</v>
      </c>
      <c r="M100" s="45" t="s">
        <v>289</v>
      </c>
      <c r="N100" s="37" t="s">
        <v>290</v>
      </c>
      <c r="O100" s="37"/>
      <c r="P100" s="91"/>
      <c r="Q100" s="48"/>
    </row>
    <row r="101" ht="31.5" customHeight="1">
      <c r="A101" s="49"/>
      <c r="B101" s="16"/>
      <c r="C101" s="16"/>
      <c r="D101" s="16"/>
      <c r="E101" s="17"/>
      <c r="F101" s="157" t="s">
        <v>291</v>
      </c>
      <c r="H101" s="49"/>
      <c r="I101" s="49"/>
      <c r="J101" s="16"/>
      <c r="K101" s="49"/>
      <c r="L101" s="16"/>
      <c r="M101" s="16"/>
      <c r="N101" s="16"/>
      <c r="O101" s="16"/>
      <c r="P101" s="49"/>
      <c r="Q101" s="49"/>
    </row>
    <row r="102" ht="18.75" customHeight="1">
      <c r="A102" s="13"/>
      <c r="B102" s="16"/>
      <c r="C102" s="16"/>
      <c r="D102" s="14"/>
      <c r="E102" s="15"/>
      <c r="F102" s="161" t="s">
        <v>292</v>
      </c>
      <c r="G102" s="162"/>
      <c r="H102" s="13"/>
      <c r="I102" s="13"/>
      <c r="J102" s="16"/>
      <c r="K102" s="13"/>
      <c r="L102" s="16"/>
      <c r="M102" s="16"/>
      <c r="N102" s="16"/>
      <c r="O102" s="16"/>
      <c r="P102" s="49"/>
      <c r="Q102" s="49"/>
    </row>
    <row r="103" ht="19.5" customHeight="1">
      <c r="A103" s="36">
        <f>IF(ISBLANK(B103),"",COUNTA($B$4:B103))</f>
        <v>32</v>
      </c>
      <c r="B103" s="66" t="s">
        <v>293</v>
      </c>
      <c r="C103" s="20">
        <v>45693.0</v>
      </c>
      <c r="D103" s="38" t="s">
        <v>294</v>
      </c>
      <c r="E103" s="115"/>
      <c r="F103" s="116"/>
      <c r="G103" s="139"/>
      <c r="H103" s="163"/>
      <c r="I103" s="163"/>
      <c r="J103" s="48">
        <v>42020.0</v>
      </c>
      <c r="K103" s="44" t="s">
        <v>20</v>
      </c>
      <c r="L103" s="164" t="s">
        <v>295</v>
      </c>
      <c r="M103" s="164" t="s">
        <v>296</v>
      </c>
      <c r="N103" s="165" t="s">
        <v>297</v>
      </c>
      <c r="O103" s="166"/>
      <c r="P103" s="36"/>
      <c r="Q103" s="32"/>
    </row>
    <row r="104" ht="36.0" customHeight="1">
      <c r="A104" s="49"/>
      <c r="B104" s="49"/>
      <c r="C104" s="16"/>
      <c r="D104" s="121"/>
      <c r="E104" s="63" t="s">
        <v>298</v>
      </c>
      <c r="F104" s="167" t="s">
        <v>299</v>
      </c>
      <c r="G104" s="132" t="s">
        <v>300</v>
      </c>
      <c r="H104" s="16"/>
      <c r="I104" s="16"/>
      <c r="J104" s="49"/>
      <c r="K104" s="49"/>
      <c r="L104" s="16"/>
      <c r="M104" s="16"/>
      <c r="N104" s="16"/>
      <c r="O104" s="16"/>
      <c r="P104" s="49"/>
      <c r="Q104" s="32"/>
    </row>
    <row r="105" ht="36.0" customHeight="1">
      <c r="A105" s="13"/>
      <c r="B105" s="13"/>
      <c r="C105" s="16"/>
      <c r="D105" s="121"/>
      <c r="E105" s="63" t="s">
        <v>301</v>
      </c>
      <c r="F105" s="167" t="s">
        <v>302</v>
      </c>
      <c r="G105" s="140" t="s">
        <v>300</v>
      </c>
      <c r="H105" s="14"/>
      <c r="I105" s="14"/>
      <c r="J105" s="13"/>
      <c r="K105" s="13"/>
      <c r="L105" s="14"/>
      <c r="M105" s="14"/>
      <c r="N105" s="14"/>
      <c r="O105" s="14"/>
      <c r="P105" s="13"/>
      <c r="Q105" s="148"/>
    </row>
    <row r="106" ht="19.5" customHeight="1">
      <c r="A106" s="18">
        <f t="shared" ref="A106:A107" si="8">IF(ISBLANK(B106),"",COUNTA($B$4:B106))</f>
        <v>33</v>
      </c>
      <c r="B106" s="37" t="s">
        <v>303</v>
      </c>
      <c r="C106" s="20">
        <v>45693.0</v>
      </c>
      <c r="D106" s="21" t="s">
        <v>304</v>
      </c>
      <c r="E106" s="168"/>
      <c r="F106" s="76" t="s">
        <v>305</v>
      </c>
      <c r="G106" s="80" t="s">
        <v>306</v>
      </c>
      <c r="H106" s="169"/>
      <c r="I106" s="42"/>
      <c r="J106" s="160">
        <v>42020.0</v>
      </c>
      <c r="K106" s="27" t="s">
        <v>20</v>
      </c>
      <c r="L106" s="45" t="s">
        <v>307</v>
      </c>
      <c r="M106" s="41"/>
      <c r="N106" s="37"/>
      <c r="O106" s="37"/>
      <c r="P106" s="91"/>
      <c r="Q106" s="48"/>
    </row>
    <row r="107" ht="19.5" customHeight="1">
      <c r="A107" s="36">
        <f t="shared" si="8"/>
        <v>34</v>
      </c>
      <c r="B107" s="37" t="s">
        <v>308</v>
      </c>
      <c r="C107" s="42"/>
      <c r="D107" s="102" t="s">
        <v>309</v>
      </c>
      <c r="E107" s="138"/>
      <c r="F107" s="52"/>
      <c r="G107" s="170"/>
      <c r="H107" s="141" t="s">
        <v>310</v>
      </c>
      <c r="I107" s="42"/>
      <c r="J107" s="160">
        <v>45769.0</v>
      </c>
      <c r="K107" s="44" t="s">
        <v>311</v>
      </c>
      <c r="L107" s="171"/>
      <c r="M107" s="45" t="s">
        <v>312</v>
      </c>
      <c r="N107" s="37"/>
      <c r="O107" s="37"/>
      <c r="P107" s="91"/>
      <c r="Q107" s="48"/>
    </row>
    <row r="108" ht="19.5" customHeight="1">
      <c r="A108" s="49"/>
      <c r="B108" s="16"/>
      <c r="C108" s="16"/>
      <c r="D108" s="172"/>
      <c r="E108" s="68" t="s">
        <v>313</v>
      </c>
      <c r="F108" s="40" t="s">
        <v>314</v>
      </c>
      <c r="G108" s="113" t="s">
        <v>315</v>
      </c>
      <c r="H108" s="49"/>
      <c r="I108" s="16"/>
      <c r="J108" s="16"/>
      <c r="K108" s="49"/>
      <c r="L108" s="16"/>
      <c r="M108" s="16"/>
      <c r="N108" s="16"/>
      <c r="O108" s="16"/>
      <c r="P108" s="49"/>
      <c r="Q108" s="49"/>
    </row>
    <row r="109" ht="19.5" customHeight="1">
      <c r="A109" s="49"/>
      <c r="B109" s="16"/>
      <c r="C109" s="16"/>
      <c r="D109" s="119"/>
      <c r="E109" s="138"/>
      <c r="F109" s="52" t="s">
        <v>316</v>
      </c>
      <c r="H109" s="49"/>
      <c r="I109" s="16"/>
      <c r="J109" s="16"/>
      <c r="K109" s="49"/>
      <c r="L109" s="16"/>
      <c r="M109" s="16"/>
      <c r="N109" s="16"/>
      <c r="O109" s="16"/>
      <c r="P109" s="49"/>
      <c r="Q109" s="49"/>
    </row>
    <row r="110" ht="19.5" customHeight="1">
      <c r="A110" s="49"/>
      <c r="B110" s="16"/>
      <c r="C110" s="16"/>
      <c r="D110" s="119"/>
      <c r="E110" s="138"/>
      <c r="F110" s="52" t="s">
        <v>317</v>
      </c>
      <c r="H110" s="49"/>
      <c r="I110" s="16"/>
      <c r="J110" s="16"/>
      <c r="K110" s="49"/>
      <c r="L110" s="16"/>
      <c r="M110" s="16"/>
      <c r="N110" s="16"/>
      <c r="O110" s="16"/>
      <c r="P110" s="49"/>
      <c r="Q110" s="49"/>
    </row>
    <row r="111" ht="19.5" customHeight="1">
      <c r="A111" s="49"/>
      <c r="B111" s="16"/>
      <c r="C111" s="16"/>
      <c r="D111" s="123"/>
      <c r="E111" s="79"/>
      <c r="F111" s="52" t="s">
        <v>318</v>
      </c>
      <c r="G111" s="162"/>
      <c r="H111" s="49"/>
      <c r="I111" s="16"/>
      <c r="J111" s="16"/>
      <c r="K111" s="49"/>
      <c r="L111" s="16"/>
      <c r="M111" s="16"/>
      <c r="N111" s="16"/>
      <c r="O111" s="16"/>
      <c r="P111" s="49"/>
      <c r="Q111" s="49"/>
    </row>
    <row r="112" ht="19.5" customHeight="1">
      <c r="A112" s="49"/>
      <c r="B112" s="16"/>
      <c r="C112" s="16"/>
      <c r="D112" s="155"/>
      <c r="E112" s="68" t="s">
        <v>319</v>
      </c>
      <c r="F112" s="40" t="s">
        <v>314</v>
      </c>
      <c r="G112" s="113" t="s">
        <v>315</v>
      </c>
      <c r="H112" s="49"/>
      <c r="I112" s="16"/>
      <c r="J112" s="16"/>
      <c r="K112" s="49"/>
      <c r="L112" s="16"/>
      <c r="M112" s="16"/>
      <c r="N112" s="16"/>
      <c r="O112" s="16"/>
      <c r="P112" s="49"/>
      <c r="Q112" s="49"/>
    </row>
    <row r="113" ht="19.5" customHeight="1">
      <c r="A113" s="49"/>
      <c r="B113" s="16"/>
      <c r="C113" s="16"/>
      <c r="D113" s="119"/>
      <c r="E113" s="138"/>
      <c r="F113" s="52" t="s">
        <v>316</v>
      </c>
      <c r="H113" s="49"/>
      <c r="I113" s="16"/>
      <c r="J113" s="16"/>
      <c r="K113" s="49"/>
      <c r="L113" s="16"/>
      <c r="M113" s="16"/>
      <c r="N113" s="16"/>
      <c r="O113" s="16"/>
      <c r="P113" s="49"/>
      <c r="Q113" s="49"/>
    </row>
    <row r="114" ht="19.5" customHeight="1">
      <c r="A114" s="49"/>
      <c r="B114" s="16"/>
      <c r="C114" s="16"/>
      <c r="D114" s="119"/>
      <c r="E114" s="138"/>
      <c r="F114" s="52" t="s">
        <v>317</v>
      </c>
      <c r="H114" s="49"/>
      <c r="I114" s="16"/>
      <c r="J114" s="16"/>
      <c r="K114" s="49"/>
      <c r="L114" s="16"/>
      <c r="M114" s="16"/>
      <c r="N114" s="16"/>
      <c r="O114" s="16"/>
      <c r="P114" s="49"/>
      <c r="Q114" s="49"/>
    </row>
    <row r="115" ht="19.5" customHeight="1">
      <c r="A115" s="49"/>
      <c r="B115" s="16"/>
      <c r="C115" s="16"/>
      <c r="D115" s="123"/>
      <c r="E115" s="79"/>
      <c r="F115" s="52" t="s">
        <v>318</v>
      </c>
      <c r="G115" s="162"/>
      <c r="H115" s="49"/>
      <c r="I115" s="16"/>
      <c r="J115" s="16"/>
      <c r="K115" s="49"/>
      <c r="L115" s="16"/>
      <c r="M115" s="16"/>
      <c r="N115" s="16"/>
      <c r="O115" s="16"/>
      <c r="P115" s="49"/>
      <c r="Q115" s="49"/>
    </row>
    <row r="116" ht="19.5" customHeight="1">
      <c r="A116" s="49"/>
      <c r="B116" s="16"/>
      <c r="C116" s="16"/>
      <c r="D116" s="173"/>
      <c r="E116" s="174" t="s">
        <v>320</v>
      </c>
      <c r="F116" s="175" t="s">
        <v>321</v>
      </c>
      <c r="G116" s="176" t="s">
        <v>315</v>
      </c>
      <c r="H116" s="49"/>
      <c r="I116" s="16"/>
      <c r="J116" s="16"/>
      <c r="K116" s="49"/>
      <c r="L116" s="16"/>
      <c r="M116" s="16"/>
      <c r="N116" s="16"/>
      <c r="O116" s="16"/>
      <c r="P116" s="49"/>
      <c r="Q116" s="49"/>
    </row>
    <row r="117" ht="19.5" customHeight="1">
      <c r="A117" s="49"/>
      <c r="B117" s="16"/>
      <c r="C117" s="16"/>
      <c r="D117" s="173"/>
      <c r="E117" s="177"/>
      <c r="F117" s="178" t="s">
        <v>322</v>
      </c>
      <c r="H117" s="49"/>
      <c r="I117" s="16"/>
      <c r="J117" s="16"/>
      <c r="K117" s="49"/>
      <c r="L117" s="16"/>
      <c r="M117" s="16"/>
      <c r="N117" s="16"/>
      <c r="O117" s="16"/>
      <c r="P117" s="49"/>
      <c r="Q117" s="49"/>
    </row>
    <row r="118" ht="19.5" customHeight="1">
      <c r="A118" s="49"/>
      <c r="B118" s="16"/>
      <c r="C118" s="16"/>
      <c r="D118" s="173"/>
      <c r="E118" s="177"/>
      <c r="F118" s="178" t="s">
        <v>323</v>
      </c>
      <c r="H118" s="49"/>
      <c r="I118" s="16"/>
      <c r="J118" s="16"/>
      <c r="K118" s="49"/>
      <c r="L118" s="16"/>
      <c r="M118" s="16"/>
      <c r="N118" s="16"/>
      <c r="O118" s="16"/>
      <c r="P118" s="49"/>
      <c r="Q118" s="49"/>
    </row>
    <row r="119" ht="19.5" customHeight="1">
      <c r="A119" s="13"/>
      <c r="B119" s="16"/>
      <c r="C119" s="16"/>
      <c r="D119" s="173"/>
      <c r="E119" s="177"/>
      <c r="F119" s="179" t="s">
        <v>324</v>
      </c>
      <c r="G119" s="162"/>
      <c r="H119" s="13"/>
      <c r="I119" s="16"/>
      <c r="J119" s="16"/>
      <c r="K119" s="13"/>
      <c r="L119" s="16"/>
      <c r="M119" s="16"/>
      <c r="N119" s="16"/>
      <c r="O119" s="16"/>
      <c r="P119" s="49"/>
      <c r="Q119" s="49"/>
    </row>
    <row r="120" ht="19.5" customHeight="1">
      <c r="A120" s="36">
        <f>IF(ISBLANK(B120),"",COUNTA($B$4:B120))</f>
        <v>35</v>
      </c>
      <c r="B120" s="37" t="s">
        <v>325</v>
      </c>
      <c r="C120" s="42"/>
      <c r="D120" s="38" t="s">
        <v>326</v>
      </c>
      <c r="E120" s="115"/>
      <c r="F120" s="40"/>
      <c r="G120" s="40"/>
      <c r="H120" s="91" t="s">
        <v>94</v>
      </c>
      <c r="I120" s="42"/>
      <c r="J120" s="160">
        <v>45769.0</v>
      </c>
      <c r="K120" s="44" t="s">
        <v>20</v>
      </c>
      <c r="L120" s="45" t="s">
        <v>327</v>
      </c>
      <c r="M120" s="45" t="s">
        <v>328</v>
      </c>
      <c r="N120" s="42"/>
      <c r="O120" s="42"/>
      <c r="P120" s="91"/>
      <c r="Q120" s="180"/>
    </row>
    <row r="121" ht="19.5" customHeight="1">
      <c r="A121" s="49"/>
      <c r="B121" s="16"/>
      <c r="C121" s="16"/>
      <c r="D121" s="102" t="s">
        <v>329</v>
      </c>
      <c r="E121" s="181"/>
      <c r="F121" s="52"/>
      <c r="G121" s="52"/>
      <c r="H121" s="49"/>
      <c r="I121" s="16"/>
      <c r="J121" s="16"/>
      <c r="K121" s="49"/>
      <c r="L121" s="16"/>
      <c r="M121" s="16"/>
      <c r="N121" s="16"/>
      <c r="O121" s="16"/>
      <c r="P121" s="49"/>
      <c r="Q121" s="49"/>
    </row>
    <row r="122" ht="19.5" customHeight="1">
      <c r="A122" s="49"/>
      <c r="B122" s="16"/>
      <c r="C122" s="16"/>
      <c r="D122" s="119"/>
      <c r="E122" s="181" t="s">
        <v>330</v>
      </c>
      <c r="F122" s="52" t="s">
        <v>331</v>
      </c>
      <c r="G122" s="52" t="s">
        <v>332</v>
      </c>
      <c r="H122" s="49"/>
      <c r="I122" s="16"/>
      <c r="J122" s="16"/>
      <c r="K122" s="49"/>
      <c r="L122" s="16"/>
      <c r="M122" s="16"/>
      <c r="N122" s="16"/>
      <c r="O122" s="16"/>
      <c r="P122" s="49"/>
      <c r="Q122" s="49"/>
    </row>
    <row r="123" ht="19.5" customHeight="1">
      <c r="A123" s="49"/>
      <c r="B123" s="16"/>
      <c r="C123" s="16"/>
      <c r="D123" s="102" t="s">
        <v>333</v>
      </c>
      <c r="E123" s="181"/>
      <c r="F123" s="52" t="s">
        <v>334</v>
      </c>
      <c r="G123" s="52"/>
      <c r="H123" s="49"/>
      <c r="I123" s="16"/>
      <c r="J123" s="16"/>
      <c r="K123" s="49"/>
      <c r="L123" s="16"/>
      <c r="M123" s="16"/>
      <c r="N123" s="16"/>
      <c r="O123" s="16"/>
      <c r="P123" s="49"/>
      <c r="Q123" s="49"/>
    </row>
    <row r="124" ht="19.5" customHeight="1">
      <c r="A124" s="49"/>
      <c r="B124" s="16"/>
      <c r="C124" s="16"/>
      <c r="D124" s="102" t="s">
        <v>335</v>
      </c>
      <c r="E124" s="182"/>
      <c r="F124" s="52" t="s">
        <v>336</v>
      </c>
      <c r="G124" s="52" t="s">
        <v>337</v>
      </c>
      <c r="H124" s="49"/>
      <c r="I124" s="16"/>
      <c r="J124" s="16"/>
      <c r="K124" s="49"/>
      <c r="L124" s="16"/>
      <c r="M124" s="16"/>
      <c r="N124" s="16"/>
      <c r="O124" s="16"/>
      <c r="P124" s="49"/>
      <c r="Q124" s="49"/>
    </row>
    <row r="125" ht="19.5" customHeight="1">
      <c r="A125" s="49"/>
      <c r="B125" s="16"/>
      <c r="C125" s="16"/>
      <c r="D125" s="102" t="s">
        <v>338</v>
      </c>
      <c r="E125" s="182"/>
      <c r="F125" s="52"/>
      <c r="G125" s="52"/>
      <c r="H125" s="49"/>
      <c r="I125" s="16"/>
      <c r="J125" s="16"/>
      <c r="K125" s="49"/>
      <c r="L125" s="16"/>
      <c r="M125" s="16"/>
      <c r="N125" s="16"/>
      <c r="O125" s="16"/>
      <c r="P125" s="49"/>
      <c r="Q125" s="49"/>
    </row>
    <row r="126" ht="19.5" customHeight="1">
      <c r="A126" s="49"/>
      <c r="B126" s="16"/>
      <c r="C126" s="16"/>
      <c r="D126" s="119"/>
      <c r="E126" s="183" t="s">
        <v>339</v>
      </c>
      <c r="F126" s="184" t="s">
        <v>340</v>
      </c>
      <c r="G126" s="52" t="s">
        <v>337</v>
      </c>
      <c r="H126" s="49"/>
      <c r="I126" s="16"/>
      <c r="J126" s="16"/>
      <c r="K126" s="49"/>
      <c r="L126" s="16"/>
      <c r="M126" s="16"/>
      <c r="N126" s="16"/>
      <c r="O126" s="16"/>
      <c r="P126" s="49"/>
      <c r="Q126" s="49"/>
    </row>
    <row r="127" ht="19.5" customHeight="1">
      <c r="A127" s="49"/>
      <c r="B127" s="16"/>
      <c r="C127" s="16"/>
      <c r="D127" s="119"/>
      <c r="E127" s="183" t="s">
        <v>341</v>
      </c>
      <c r="F127" s="184" t="s">
        <v>342</v>
      </c>
      <c r="G127" s="52" t="s">
        <v>337</v>
      </c>
      <c r="H127" s="49"/>
      <c r="I127" s="16"/>
      <c r="J127" s="16"/>
      <c r="K127" s="49"/>
      <c r="L127" s="16"/>
      <c r="M127" s="16"/>
      <c r="N127" s="16"/>
      <c r="O127" s="16"/>
      <c r="P127" s="49"/>
      <c r="Q127" s="49"/>
    </row>
    <row r="128" ht="19.5" customHeight="1">
      <c r="A128" s="49"/>
      <c r="B128" s="16"/>
      <c r="C128" s="16"/>
      <c r="D128" s="119"/>
      <c r="E128" s="183" t="s">
        <v>343</v>
      </c>
      <c r="F128" s="184" t="s">
        <v>344</v>
      </c>
      <c r="G128" s="52" t="s">
        <v>337</v>
      </c>
      <c r="H128" s="49"/>
      <c r="I128" s="16"/>
      <c r="J128" s="16"/>
      <c r="K128" s="49"/>
      <c r="L128" s="16"/>
      <c r="M128" s="16"/>
      <c r="N128" s="16"/>
      <c r="O128" s="16"/>
      <c r="P128" s="49"/>
      <c r="Q128" s="49"/>
    </row>
    <row r="129" ht="19.5" customHeight="1">
      <c r="A129" s="49"/>
      <c r="B129" s="16"/>
      <c r="C129" s="16"/>
      <c r="D129" s="119"/>
      <c r="E129" s="183" t="s">
        <v>345</v>
      </c>
      <c r="F129" s="184" t="s">
        <v>346</v>
      </c>
      <c r="G129" s="52" t="s">
        <v>337</v>
      </c>
      <c r="H129" s="49"/>
      <c r="I129" s="16"/>
      <c r="J129" s="16"/>
      <c r="K129" s="49"/>
      <c r="L129" s="16"/>
      <c r="M129" s="16"/>
      <c r="N129" s="16"/>
      <c r="O129" s="16"/>
      <c r="P129" s="49"/>
      <c r="Q129" s="49"/>
    </row>
    <row r="130" ht="19.5" customHeight="1">
      <c r="A130" s="49"/>
      <c r="B130" s="16"/>
      <c r="C130" s="16"/>
      <c r="D130" s="119"/>
      <c r="E130" s="183" t="s">
        <v>347</v>
      </c>
      <c r="F130" s="184" t="s">
        <v>346</v>
      </c>
      <c r="G130" s="52" t="s">
        <v>337</v>
      </c>
      <c r="H130" s="49"/>
      <c r="I130" s="16"/>
      <c r="J130" s="16"/>
      <c r="K130" s="49"/>
      <c r="L130" s="16"/>
      <c r="M130" s="16"/>
      <c r="N130" s="16"/>
      <c r="O130" s="16"/>
      <c r="P130" s="49"/>
      <c r="Q130" s="49"/>
    </row>
    <row r="131" ht="19.5" customHeight="1">
      <c r="A131" s="49"/>
      <c r="B131" s="16"/>
      <c r="C131" s="16"/>
      <c r="D131" s="119"/>
      <c r="E131" s="183" t="s">
        <v>348</v>
      </c>
      <c r="F131" s="184" t="s">
        <v>340</v>
      </c>
      <c r="G131" s="52" t="s">
        <v>337</v>
      </c>
      <c r="H131" s="49"/>
      <c r="I131" s="16"/>
      <c r="J131" s="16"/>
      <c r="K131" s="49"/>
      <c r="L131" s="16"/>
      <c r="M131" s="16"/>
      <c r="N131" s="16"/>
      <c r="O131" s="16"/>
      <c r="P131" s="49"/>
      <c r="Q131" s="49"/>
    </row>
    <row r="132" ht="19.5" customHeight="1">
      <c r="A132" s="49"/>
      <c r="B132" s="16"/>
      <c r="C132" s="16"/>
      <c r="D132" s="102"/>
      <c r="E132" s="183" t="s">
        <v>349</v>
      </c>
      <c r="F132" s="185" t="s">
        <v>344</v>
      </c>
      <c r="G132" s="52" t="s">
        <v>337</v>
      </c>
      <c r="H132" s="49"/>
      <c r="I132" s="16"/>
      <c r="J132" s="16"/>
      <c r="K132" s="49"/>
      <c r="L132" s="16"/>
      <c r="M132" s="16"/>
      <c r="N132" s="16"/>
      <c r="O132" s="16"/>
      <c r="P132" s="49"/>
      <c r="Q132" s="49"/>
    </row>
    <row r="133" ht="19.5" customHeight="1">
      <c r="A133" s="49"/>
      <c r="B133" s="16"/>
      <c r="C133" s="16"/>
      <c r="D133" s="119"/>
      <c r="E133" s="183" t="s">
        <v>350</v>
      </c>
      <c r="F133" s="103" t="s">
        <v>351</v>
      </c>
      <c r="G133" s="52" t="s">
        <v>337</v>
      </c>
      <c r="H133" s="49"/>
      <c r="I133" s="16"/>
      <c r="J133" s="16"/>
      <c r="K133" s="49"/>
      <c r="L133" s="16"/>
      <c r="M133" s="16"/>
      <c r="N133" s="16"/>
      <c r="O133" s="16"/>
      <c r="P133" s="49"/>
      <c r="Q133" s="49"/>
    </row>
    <row r="134" ht="19.5" customHeight="1">
      <c r="A134" s="49"/>
      <c r="B134" s="16"/>
      <c r="C134" s="16"/>
      <c r="D134" s="119"/>
      <c r="E134" s="183" t="s">
        <v>352</v>
      </c>
      <c r="F134" s="103" t="s">
        <v>351</v>
      </c>
      <c r="G134" s="52" t="s">
        <v>337</v>
      </c>
      <c r="H134" s="49"/>
      <c r="I134" s="16"/>
      <c r="J134" s="16"/>
      <c r="K134" s="49"/>
      <c r="L134" s="16"/>
      <c r="M134" s="16"/>
      <c r="N134" s="16"/>
      <c r="O134" s="16"/>
      <c r="P134" s="49"/>
      <c r="Q134" s="49"/>
    </row>
    <row r="135" ht="19.5" customHeight="1">
      <c r="A135" s="49"/>
      <c r="B135" s="16"/>
      <c r="C135" s="16"/>
      <c r="D135" s="102"/>
      <c r="E135" s="183" t="s">
        <v>353</v>
      </c>
      <c r="F135" s="103" t="s">
        <v>344</v>
      </c>
      <c r="G135" s="52" t="s">
        <v>337</v>
      </c>
      <c r="H135" s="49"/>
      <c r="I135" s="16"/>
      <c r="J135" s="16"/>
      <c r="K135" s="49"/>
      <c r="L135" s="16"/>
      <c r="M135" s="16"/>
      <c r="N135" s="16"/>
      <c r="O135" s="16"/>
      <c r="P135" s="49"/>
      <c r="Q135" s="49"/>
    </row>
    <row r="136" ht="19.5" customHeight="1">
      <c r="A136" s="49"/>
      <c r="B136" s="16"/>
      <c r="C136" s="16"/>
      <c r="D136" s="119"/>
      <c r="E136" s="183" t="s">
        <v>354</v>
      </c>
      <c r="F136" s="103" t="s">
        <v>340</v>
      </c>
      <c r="G136" s="52" t="s">
        <v>337</v>
      </c>
      <c r="H136" s="49"/>
      <c r="I136" s="16"/>
      <c r="J136" s="16"/>
      <c r="K136" s="49"/>
      <c r="L136" s="16"/>
      <c r="M136" s="16"/>
      <c r="N136" s="16"/>
      <c r="O136" s="16"/>
      <c r="P136" s="49"/>
      <c r="Q136" s="49"/>
    </row>
    <row r="137" ht="19.5" customHeight="1">
      <c r="A137" s="49"/>
      <c r="B137" s="16"/>
      <c r="C137" s="16"/>
      <c r="D137" s="119"/>
      <c r="E137" s="183" t="s">
        <v>355</v>
      </c>
      <c r="F137" s="103" t="s">
        <v>340</v>
      </c>
      <c r="G137" s="52" t="s">
        <v>337</v>
      </c>
      <c r="H137" s="49"/>
      <c r="I137" s="16"/>
      <c r="J137" s="16"/>
      <c r="K137" s="49"/>
      <c r="L137" s="16"/>
      <c r="M137" s="16"/>
      <c r="N137" s="16"/>
      <c r="O137" s="16"/>
      <c r="P137" s="49"/>
      <c r="Q137" s="49"/>
    </row>
    <row r="138" ht="19.5" customHeight="1">
      <c r="A138" s="49"/>
      <c r="B138" s="16"/>
      <c r="C138" s="16"/>
      <c r="D138" s="119"/>
      <c r="E138" s="183" t="s">
        <v>356</v>
      </c>
      <c r="F138" s="103" t="s">
        <v>340</v>
      </c>
      <c r="G138" s="52" t="s">
        <v>337</v>
      </c>
      <c r="H138" s="49"/>
      <c r="I138" s="16"/>
      <c r="J138" s="16"/>
      <c r="K138" s="49"/>
      <c r="L138" s="16"/>
      <c r="M138" s="16"/>
      <c r="N138" s="16"/>
      <c r="O138" s="16"/>
      <c r="P138" s="49"/>
      <c r="Q138" s="49"/>
    </row>
    <row r="139" ht="19.5" customHeight="1">
      <c r="A139" s="49"/>
      <c r="B139" s="16"/>
      <c r="C139" s="16"/>
      <c r="D139" s="102"/>
      <c r="E139" s="183" t="s">
        <v>357</v>
      </c>
      <c r="F139" s="103" t="s">
        <v>358</v>
      </c>
      <c r="G139" s="52" t="s">
        <v>337</v>
      </c>
      <c r="H139" s="49"/>
      <c r="I139" s="16"/>
      <c r="J139" s="16"/>
      <c r="K139" s="49"/>
      <c r="L139" s="16"/>
      <c r="M139" s="16"/>
      <c r="N139" s="16"/>
      <c r="O139" s="16"/>
      <c r="P139" s="49"/>
      <c r="Q139" s="49"/>
    </row>
    <row r="140" ht="19.5" customHeight="1">
      <c r="A140" s="49"/>
      <c r="B140" s="16"/>
      <c r="C140" s="16"/>
      <c r="D140" s="119"/>
      <c r="E140" s="183" t="s">
        <v>359</v>
      </c>
      <c r="F140" s="103" t="s">
        <v>344</v>
      </c>
      <c r="G140" s="52" t="s">
        <v>337</v>
      </c>
      <c r="H140" s="49"/>
      <c r="I140" s="16"/>
      <c r="J140" s="16"/>
      <c r="K140" s="49"/>
      <c r="L140" s="16"/>
      <c r="M140" s="16"/>
      <c r="N140" s="16"/>
      <c r="O140" s="16"/>
      <c r="P140" s="49"/>
      <c r="Q140" s="49"/>
    </row>
    <row r="141" ht="19.5" customHeight="1">
      <c r="A141" s="49"/>
      <c r="B141" s="16"/>
      <c r="C141" s="16"/>
      <c r="D141" s="102" t="s">
        <v>360</v>
      </c>
      <c r="E141" s="181"/>
      <c r="F141" s="52"/>
      <c r="G141" s="52"/>
      <c r="H141" s="49"/>
      <c r="I141" s="16"/>
      <c r="J141" s="16"/>
      <c r="K141" s="49"/>
      <c r="L141" s="16"/>
      <c r="M141" s="16"/>
      <c r="N141" s="16"/>
      <c r="O141" s="16"/>
      <c r="P141" s="49"/>
      <c r="Q141" s="49"/>
    </row>
    <row r="142" ht="19.5" customHeight="1">
      <c r="A142" s="49"/>
      <c r="B142" s="16"/>
      <c r="C142" s="16"/>
      <c r="D142" s="119"/>
      <c r="E142" s="181" t="s">
        <v>361</v>
      </c>
      <c r="F142" s="52" t="s">
        <v>346</v>
      </c>
      <c r="G142" s="52" t="s">
        <v>337</v>
      </c>
      <c r="H142" s="49"/>
      <c r="I142" s="16"/>
      <c r="J142" s="16"/>
      <c r="K142" s="49"/>
      <c r="L142" s="16"/>
      <c r="M142" s="16"/>
      <c r="N142" s="16"/>
      <c r="O142" s="16"/>
      <c r="P142" s="49"/>
      <c r="Q142" s="49"/>
    </row>
    <row r="143" ht="19.5" customHeight="1">
      <c r="A143" s="49"/>
      <c r="B143" s="16"/>
      <c r="C143" s="16"/>
      <c r="D143" s="102" t="s">
        <v>362</v>
      </c>
      <c r="E143" s="181"/>
      <c r="F143" s="52"/>
      <c r="G143" s="52"/>
      <c r="H143" s="49"/>
      <c r="I143" s="16"/>
      <c r="J143" s="16"/>
      <c r="K143" s="49"/>
      <c r="L143" s="16"/>
      <c r="M143" s="16"/>
      <c r="N143" s="16"/>
      <c r="O143" s="16"/>
      <c r="P143" s="49"/>
      <c r="Q143" s="49"/>
    </row>
    <row r="144" ht="19.5" customHeight="1">
      <c r="A144" s="49"/>
      <c r="B144" s="16"/>
      <c r="C144" s="16"/>
      <c r="D144" s="102"/>
      <c r="E144" s="181" t="s">
        <v>363</v>
      </c>
      <c r="F144" s="52" t="s">
        <v>364</v>
      </c>
      <c r="G144" s="52" t="s">
        <v>337</v>
      </c>
      <c r="H144" s="49"/>
      <c r="I144" s="16"/>
      <c r="J144" s="16"/>
      <c r="K144" s="49"/>
      <c r="L144" s="16"/>
      <c r="M144" s="16"/>
      <c r="N144" s="16"/>
      <c r="O144" s="16"/>
      <c r="P144" s="49"/>
      <c r="Q144" s="49"/>
    </row>
    <row r="145" ht="19.5" customHeight="1">
      <c r="A145" s="49"/>
      <c r="B145" s="16"/>
      <c r="C145" s="16"/>
      <c r="D145" s="119"/>
      <c r="E145" s="181" t="s">
        <v>365</v>
      </c>
      <c r="F145" s="52" t="s">
        <v>366</v>
      </c>
      <c r="G145" s="52" t="s">
        <v>337</v>
      </c>
      <c r="H145" s="49"/>
      <c r="I145" s="16"/>
      <c r="J145" s="16"/>
      <c r="K145" s="49"/>
      <c r="L145" s="16"/>
      <c r="M145" s="16"/>
      <c r="N145" s="16"/>
      <c r="O145" s="16"/>
      <c r="P145" s="49"/>
      <c r="Q145" s="49"/>
    </row>
    <row r="146" ht="19.5" customHeight="1">
      <c r="A146" s="49"/>
      <c r="B146" s="16"/>
      <c r="C146" s="16"/>
      <c r="D146" s="102"/>
      <c r="E146" s="181" t="s">
        <v>365</v>
      </c>
      <c r="F146" s="52" t="s">
        <v>366</v>
      </c>
      <c r="G146" s="52" t="s">
        <v>337</v>
      </c>
      <c r="H146" s="49"/>
      <c r="I146" s="16"/>
      <c r="J146" s="16"/>
      <c r="K146" s="49"/>
      <c r="L146" s="16"/>
      <c r="M146" s="16"/>
      <c r="N146" s="16"/>
      <c r="O146" s="16"/>
      <c r="P146" s="49"/>
      <c r="Q146" s="49"/>
    </row>
    <row r="147" ht="19.5" customHeight="1">
      <c r="A147" s="49"/>
      <c r="B147" s="16"/>
      <c r="C147" s="16"/>
      <c r="D147" s="102" t="s">
        <v>367</v>
      </c>
      <c r="E147" s="181"/>
      <c r="F147" s="52" t="s">
        <v>344</v>
      </c>
      <c r="G147" s="52" t="s">
        <v>337</v>
      </c>
      <c r="H147" s="49"/>
      <c r="I147" s="16"/>
      <c r="J147" s="16"/>
      <c r="K147" s="49"/>
      <c r="L147" s="16"/>
      <c r="M147" s="16"/>
      <c r="N147" s="16"/>
      <c r="O147" s="16"/>
      <c r="P147" s="49"/>
      <c r="Q147" s="49"/>
    </row>
    <row r="148" ht="19.5" customHeight="1">
      <c r="A148" s="49"/>
      <c r="B148" s="16"/>
      <c r="C148" s="16"/>
      <c r="D148" s="102" t="s">
        <v>368</v>
      </c>
      <c r="E148" s="181"/>
      <c r="F148" s="52" t="s">
        <v>344</v>
      </c>
      <c r="G148" s="52" t="s">
        <v>337</v>
      </c>
      <c r="H148" s="49"/>
      <c r="I148" s="16"/>
      <c r="J148" s="16"/>
      <c r="K148" s="49"/>
      <c r="L148" s="16"/>
      <c r="M148" s="16"/>
      <c r="N148" s="16"/>
      <c r="O148" s="16"/>
      <c r="P148" s="49"/>
      <c r="Q148" s="49"/>
    </row>
    <row r="149" ht="19.5" customHeight="1">
      <c r="A149" s="49"/>
      <c r="B149" s="16"/>
      <c r="C149" s="16"/>
      <c r="D149" s="102" t="s">
        <v>369</v>
      </c>
      <c r="E149" s="181"/>
      <c r="F149" s="52" t="s">
        <v>370</v>
      </c>
      <c r="G149" s="52" t="s">
        <v>337</v>
      </c>
      <c r="H149" s="49"/>
      <c r="I149" s="16"/>
      <c r="J149" s="16"/>
      <c r="K149" s="49"/>
      <c r="L149" s="16"/>
      <c r="M149" s="16"/>
      <c r="N149" s="16"/>
      <c r="O149" s="16"/>
      <c r="P149" s="49"/>
      <c r="Q149" s="49"/>
    </row>
    <row r="150" ht="19.5" customHeight="1">
      <c r="A150" s="13"/>
      <c r="B150" s="16"/>
      <c r="C150" s="16"/>
      <c r="D150" s="102" t="s">
        <v>371</v>
      </c>
      <c r="E150" s="181"/>
      <c r="F150" s="52" t="s">
        <v>372</v>
      </c>
      <c r="G150" s="52" t="s">
        <v>337</v>
      </c>
      <c r="H150" s="13"/>
      <c r="I150" s="16"/>
      <c r="J150" s="16"/>
      <c r="K150" s="13"/>
      <c r="L150" s="16"/>
      <c r="M150" s="16"/>
      <c r="N150" s="16"/>
      <c r="O150" s="16"/>
      <c r="P150" s="13"/>
      <c r="Q150" s="13"/>
    </row>
    <row r="151" ht="19.5" customHeight="1">
      <c r="A151" s="36">
        <f>IF(ISBLANK(B151),"",COUNTA($B$4:B151))</f>
        <v>36</v>
      </c>
      <c r="B151" s="37" t="s">
        <v>373</v>
      </c>
      <c r="C151" s="20">
        <v>45693.0</v>
      </c>
      <c r="D151" s="38" t="s">
        <v>374</v>
      </c>
      <c r="E151" s="115"/>
      <c r="F151" s="40"/>
      <c r="G151" s="117"/>
      <c r="H151" s="91" t="s">
        <v>375</v>
      </c>
      <c r="I151" s="42"/>
      <c r="J151" s="48">
        <v>45678.0</v>
      </c>
      <c r="K151" s="44" t="s">
        <v>20</v>
      </c>
      <c r="L151" s="45" t="s">
        <v>376</v>
      </c>
      <c r="M151" s="45" t="s">
        <v>377</v>
      </c>
      <c r="N151" s="37" t="s">
        <v>139</v>
      </c>
      <c r="O151" s="37"/>
      <c r="P151" s="47"/>
      <c r="Q151" s="48"/>
    </row>
    <row r="152" ht="19.5" customHeight="1">
      <c r="A152" s="13"/>
      <c r="B152" s="16"/>
      <c r="C152" s="16"/>
      <c r="D152" s="119"/>
      <c r="E152" s="63" t="s">
        <v>378</v>
      </c>
      <c r="F152" s="52" t="s">
        <v>379</v>
      </c>
      <c r="G152" s="132" t="s">
        <v>142</v>
      </c>
      <c r="H152" s="13"/>
      <c r="I152" s="16"/>
      <c r="J152" s="13"/>
      <c r="K152" s="13"/>
      <c r="L152" s="16"/>
      <c r="M152" s="16"/>
      <c r="N152" s="16"/>
      <c r="O152" s="16"/>
      <c r="P152" s="49"/>
      <c r="Q152" s="48"/>
    </row>
    <row r="153" ht="28.5" customHeight="1">
      <c r="A153" s="18">
        <f t="shared" ref="A153:A155" si="9">IF(ISBLANK(B153),"",COUNTA($B$4:B153))</f>
        <v>37</v>
      </c>
      <c r="B153" s="37" t="s">
        <v>380</v>
      </c>
      <c r="C153" s="20">
        <v>45693.0</v>
      </c>
      <c r="D153" s="21" t="s">
        <v>381</v>
      </c>
      <c r="E153" s="168"/>
      <c r="F153" s="21" t="s">
        <v>382</v>
      </c>
      <c r="G153" s="107" t="s">
        <v>383</v>
      </c>
      <c r="H153" s="186"/>
      <c r="I153" s="30"/>
      <c r="J153" s="32">
        <v>45678.0</v>
      </c>
      <c r="K153" s="27" t="s">
        <v>20</v>
      </c>
      <c r="L153" s="35" t="s">
        <v>384</v>
      </c>
      <c r="M153" s="35" t="s">
        <v>385</v>
      </c>
      <c r="N153" s="83"/>
      <c r="O153" s="83"/>
      <c r="P153" s="108"/>
      <c r="Q153" s="85"/>
    </row>
    <row r="154" ht="24.0" customHeight="1">
      <c r="A154" s="18">
        <f t="shared" si="9"/>
        <v>38</v>
      </c>
      <c r="B154" s="37" t="s">
        <v>386</v>
      </c>
      <c r="C154" s="20">
        <v>45693.0</v>
      </c>
      <c r="D154" s="78" t="s">
        <v>387</v>
      </c>
      <c r="E154" s="79"/>
      <c r="F154" s="53" t="s">
        <v>388</v>
      </c>
      <c r="G154" s="140" t="s">
        <v>195</v>
      </c>
      <c r="H154" s="147" t="s">
        <v>19</v>
      </c>
      <c r="I154" s="30"/>
      <c r="J154" s="32"/>
      <c r="K154" s="27" t="s">
        <v>20</v>
      </c>
      <c r="L154" s="35" t="s">
        <v>389</v>
      </c>
      <c r="M154" s="77"/>
      <c r="N154" s="83"/>
      <c r="O154" s="83"/>
      <c r="P154" s="22"/>
      <c r="Q154" s="158"/>
    </row>
    <row r="155" ht="30.0" customHeight="1">
      <c r="A155" s="36">
        <f t="shared" si="9"/>
        <v>39</v>
      </c>
      <c r="B155" s="37" t="s">
        <v>390</v>
      </c>
      <c r="C155" s="20">
        <v>45693.0</v>
      </c>
      <c r="D155" s="38" t="s">
        <v>225</v>
      </c>
      <c r="E155" s="115"/>
      <c r="F155" s="116"/>
      <c r="G155" s="139"/>
      <c r="H155" s="136"/>
      <c r="I155" s="91"/>
      <c r="J155" s="48">
        <v>45791.0</v>
      </c>
      <c r="K155" s="44" t="s">
        <v>20</v>
      </c>
      <c r="L155" s="46" t="s">
        <v>391</v>
      </c>
      <c r="M155" s="72" t="s">
        <v>241</v>
      </c>
      <c r="N155" s="91"/>
      <c r="O155" s="91"/>
      <c r="P155" s="91"/>
      <c r="Q155" s="85"/>
    </row>
    <row r="156" ht="30.0" customHeight="1">
      <c r="A156" s="49"/>
      <c r="B156" s="16"/>
      <c r="C156" s="16"/>
      <c r="D156" s="121"/>
      <c r="E156" s="63" t="s">
        <v>392</v>
      </c>
      <c r="F156" s="121" t="s">
        <v>393</v>
      </c>
      <c r="G156" s="132" t="s">
        <v>394</v>
      </c>
      <c r="H156" s="136"/>
      <c r="I156" s="49"/>
      <c r="J156" s="49"/>
      <c r="K156" s="49"/>
      <c r="L156" s="49"/>
      <c r="M156" s="17"/>
      <c r="N156" s="49"/>
      <c r="O156" s="49"/>
      <c r="P156" s="49"/>
      <c r="Q156" s="85"/>
    </row>
    <row r="157" ht="30.0" customHeight="1">
      <c r="A157" s="49"/>
      <c r="B157" s="16"/>
      <c r="C157" s="16"/>
      <c r="D157" s="121"/>
      <c r="E157" s="63" t="s">
        <v>395</v>
      </c>
      <c r="F157" s="121" t="s">
        <v>396</v>
      </c>
      <c r="G157" s="132" t="s">
        <v>397</v>
      </c>
      <c r="H157" s="136"/>
      <c r="I157" s="49"/>
      <c r="J157" s="49"/>
      <c r="K157" s="49"/>
      <c r="L157" s="49"/>
      <c r="M157" s="17"/>
      <c r="N157" s="49"/>
      <c r="O157" s="49"/>
      <c r="P157" s="49"/>
      <c r="Q157" s="85"/>
    </row>
    <row r="158" ht="30.0" customHeight="1">
      <c r="A158" s="13"/>
      <c r="B158" s="16"/>
      <c r="C158" s="16"/>
      <c r="D158" s="78"/>
      <c r="E158" s="65" t="s">
        <v>398</v>
      </c>
      <c r="F158" s="78" t="s">
        <v>399</v>
      </c>
      <c r="G158" s="140" t="s">
        <v>400</v>
      </c>
      <c r="H158" s="136"/>
      <c r="I158" s="13"/>
      <c r="J158" s="13"/>
      <c r="K158" s="13"/>
      <c r="L158" s="13"/>
      <c r="M158" s="15"/>
      <c r="N158" s="13"/>
      <c r="O158" s="13"/>
      <c r="P158" s="13"/>
      <c r="Q158" s="85"/>
    </row>
    <row r="159" ht="19.5" customHeight="1">
      <c r="A159" s="18">
        <f t="shared" ref="A159:A163" si="10">IF(ISBLANK(B159),"",COUNTA($B$4:B159))</f>
        <v>40</v>
      </c>
      <c r="B159" s="37" t="s">
        <v>401</v>
      </c>
      <c r="C159" s="20">
        <v>45693.0</v>
      </c>
      <c r="D159" s="21" t="s">
        <v>402</v>
      </c>
      <c r="E159" s="82"/>
      <c r="F159" s="76"/>
      <c r="G159" s="107" t="s">
        <v>403</v>
      </c>
      <c r="H159" s="81"/>
      <c r="I159" s="30"/>
      <c r="J159" s="32">
        <v>45678.0</v>
      </c>
      <c r="K159" s="27" t="s">
        <v>20</v>
      </c>
      <c r="L159" s="35" t="s">
        <v>404</v>
      </c>
      <c r="M159" s="77"/>
      <c r="N159" s="83"/>
      <c r="O159" s="83"/>
      <c r="P159" s="187"/>
      <c r="Q159" s="85"/>
    </row>
    <row r="160" ht="30.0" customHeight="1">
      <c r="A160" s="18">
        <f t="shared" si="10"/>
        <v>41</v>
      </c>
      <c r="B160" s="37" t="s">
        <v>405</v>
      </c>
      <c r="C160" s="20">
        <v>45693.0</v>
      </c>
      <c r="D160" s="78" t="s">
        <v>406</v>
      </c>
      <c r="E160" s="79"/>
      <c r="F160" s="53" t="s">
        <v>407</v>
      </c>
      <c r="G160" s="80" t="s">
        <v>408</v>
      </c>
      <c r="H160" s="147" t="s">
        <v>409</v>
      </c>
      <c r="I160" s="87"/>
      <c r="J160" s="32">
        <v>45678.0</v>
      </c>
      <c r="K160" s="27" t="s">
        <v>20</v>
      </c>
      <c r="L160" s="35" t="s">
        <v>410</v>
      </c>
      <c r="M160" s="29" t="s">
        <v>22</v>
      </c>
      <c r="N160" s="34" t="s">
        <v>411</v>
      </c>
      <c r="O160" s="34"/>
      <c r="P160" s="108"/>
      <c r="Q160" s="85"/>
    </row>
    <row r="161" ht="36.0" customHeight="1">
      <c r="A161" s="18">
        <f t="shared" si="10"/>
        <v>42</v>
      </c>
      <c r="B161" s="37" t="s">
        <v>412</v>
      </c>
      <c r="C161" s="20">
        <v>45693.0</v>
      </c>
      <c r="D161" s="78" t="s">
        <v>413</v>
      </c>
      <c r="E161" s="79"/>
      <c r="F161" s="53"/>
      <c r="G161" s="80" t="s">
        <v>414</v>
      </c>
      <c r="H161" s="81"/>
      <c r="I161" s="30"/>
      <c r="J161" s="32">
        <v>45678.0</v>
      </c>
      <c r="K161" s="27" t="s">
        <v>20</v>
      </c>
      <c r="L161" s="35" t="s">
        <v>415</v>
      </c>
      <c r="M161" s="82"/>
      <c r="N161" s="83"/>
      <c r="O161" s="83"/>
      <c r="P161" s="108"/>
      <c r="Q161" s="85"/>
    </row>
    <row r="162" ht="19.5" customHeight="1">
      <c r="A162" s="18">
        <f t="shared" si="10"/>
        <v>43</v>
      </c>
      <c r="B162" s="37" t="s">
        <v>416</v>
      </c>
      <c r="C162" s="20">
        <v>45693.0</v>
      </c>
      <c r="D162" s="116" t="s">
        <v>417</v>
      </c>
      <c r="E162" s="115"/>
      <c r="F162" s="116" t="s">
        <v>418</v>
      </c>
      <c r="G162" s="139" t="s">
        <v>419</v>
      </c>
      <c r="H162" s="186"/>
      <c r="I162" s="42"/>
      <c r="J162" s="32">
        <v>45678.0</v>
      </c>
      <c r="K162" s="27" t="s">
        <v>20</v>
      </c>
      <c r="L162" s="45" t="s">
        <v>420</v>
      </c>
      <c r="M162" s="171"/>
      <c r="N162" s="42"/>
      <c r="O162" s="42"/>
      <c r="P162" s="87"/>
      <c r="Q162" s="85"/>
    </row>
    <row r="163" ht="19.5" customHeight="1">
      <c r="A163" s="36">
        <f t="shared" si="10"/>
        <v>44</v>
      </c>
      <c r="B163" s="37" t="s">
        <v>421</v>
      </c>
      <c r="C163" s="20">
        <v>45693.0</v>
      </c>
      <c r="D163" s="38" t="s">
        <v>422</v>
      </c>
      <c r="E163" s="115"/>
      <c r="F163" s="40"/>
      <c r="G163" s="47"/>
      <c r="H163" s="42"/>
      <c r="I163" s="42"/>
      <c r="J163" s="48">
        <v>45678.0</v>
      </c>
      <c r="K163" s="44" t="s">
        <v>20</v>
      </c>
      <c r="L163" s="45" t="s">
        <v>423</v>
      </c>
      <c r="M163" s="46" t="s">
        <v>424</v>
      </c>
      <c r="N163" s="188" t="s">
        <v>22</v>
      </c>
      <c r="O163" s="24"/>
      <c r="P163" s="47"/>
      <c r="Q163" s="85"/>
    </row>
    <row r="164" ht="19.5" customHeight="1">
      <c r="A164" s="13"/>
      <c r="B164" s="16"/>
      <c r="C164" s="16"/>
      <c r="D164" s="119"/>
      <c r="E164" s="63" t="s">
        <v>425</v>
      </c>
      <c r="F164" s="52" t="s">
        <v>426</v>
      </c>
      <c r="G164" s="132" t="s">
        <v>133</v>
      </c>
      <c r="H164" s="16"/>
      <c r="I164" s="16"/>
      <c r="J164" s="13"/>
      <c r="K164" s="13"/>
      <c r="L164" s="16"/>
      <c r="M164" s="13"/>
      <c r="N164" s="15"/>
      <c r="O164" s="15"/>
      <c r="P164" s="49"/>
      <c r="Q164" s="85"/>
    </row>
    <row r="165" ht="19.5" customHeight="1">
      <c r="A165" s="36">
        <f>IF(ISBLANK(B165),"",COUNTA($B$4:B165))</f>
        <v>45</v>
      </c>
      <c r="B165" s="37" t="s">
        <v>427</v>
      </c>
      <c r="C165" s="20">
        <v>45700.0</v>
      </c>
      <c r="D165" s="38" t="s">
        <v>428</v>
      </c>
      <c r="E165" s="115"/>
      <c r="F165" s="189"/>
      <c r="G165" s="115"/>
      <c r="H165" s="186"/>
      <c r="I165" s="42"/>
      <c r="J165" s="48">
        <v>45683.0</v>
      </c>
      <c r="K165" s="44" t="s">
        <v>20</v>
      </c>
      <c r="L165" s="45" t="s">
        <v>429</v>
      </c>
      <c r="M165" s="96"/>
      <c r="N165" s="37" t="s">
        <v>260</v>
      </c>
      <c r="O165" s="37"/>
      <c r="P165" s="91"/>
      <c r="Q165" s="85"/>
    </row>
    <row r="166" ht="19.5" customHeight="1">
      <c r="A166" s="49"/>
      <c r="B166" s="16"/>
      <c r="C166" s="16"/>
      <c r="D166" s="119"/>
      <c r="E166" s="63" t="s">
        <v>430</v>
      </c>
      <c r="F166" s="103" t="s">
        <v>431</v>
      </c>
      <c r="G166" s="63" t="s">
        <v>419</v>
      </c>
      <c r="H166" s="186"/>
      <c r="I166" s="16"/>
      <c r="J166" s="49"/>
      <c r="K166" s="49"/>
      <c r="L166" s="16"/>
      <c r="M166" s="16"/>
      <c r="N166" s="16"/>
      <c r="O166" s="16"/>
      <c r="P166" s="49"/>
      <c r="Q166" s="85"/>
    </row>
    <row r="167" ht="19.5" customHeight="1">
      <c r="A167" s="49"/>
      <c r="B167" s="16"/>
      <c r="C167" s="16"/>
      <c r="D167" s="119"/>
      <c r="E167" s="63" t="s">
        <v>432</v>
      </c>
      <c r="F167" s="103" t="s">
        <v>433</v>
      </c>
      <c r="G167" s="63" t="s">
        <v>419</v>
      </c>
      <c r="H167" s="186"/>
      <c r="I167" s="16"/>
      <c r="J167" s="49"/>
      <c r="K167" s="49"/>
      <c r="L167" s="16"/>
      <c r="M167" s="16"/>
      <c r="N167" s="16"/>
      <c r="O167" s="16"/>
      <c r="P167" s="49"/>
      <c r="Q167" s="85"/>
    </row>
    <row r="168" ht="19.5" customHeight="1">
      <c r="A168" s="13"/>
      <c r="B168" s="16"/>
      <c r="C168" s="16"/>
      <c r="D168" s="119"/>
      <c r="E168" s="63" t="s">
        <v>434</v>
      </c>
      <c r="F168" s="103" t="s">
        <v>435</v>
      </c>
      <c r="G168" s="63" t="s">
        <v>419</v>
      </c>
      <c r="H168" s="186"/>
      <c r="I168" s="16"/>
      <c r="J168" s="13"/>
      <c r="K168" s="13"/>
      <c r="L168" s="16"/>
      <c r="M168" s="16"/>
      <c r="N168" s="16"/>
      <c r="O168" s="16"/>
      <c r="P168" s="13"/>
      <c r="Q168" s="85"/>
    </row>
    <row r="169" ht="19.5" customHeight="1">
      <c r="A169" s="36">
        <f>IF(ISBLANK(B169),"",COUNTA($B$4:B169))</f>
        <v>46</v>
      </c>
      <c r="B169" s="37" t="s">
        <v>436</v>
      </c>
      <c r="C169" s="20">
        <v>45700.0</v>
      </c>
      <c r="D169" s="38" t="s">
        <v>437</v>
      </c>
      <c r="E169" s="115"/>
      <c r="F169" s="189"/>
      <c r="G169" s="115"/>
      <c r="H169" s="186"/>
      <c r="I169" s="42"/>
      <c r="J169" s="48">
        <v>45683.0</v>
      </c>
      <c r="K169" s="44" t="s">
        <v>20</v>
      </c>
      <c r="L169" s="45" t="s">
        <v>438</v>
      </c>
      <c r="M169" s="45" t="s">
        <v>439</v>
      </c>
      <c r="N169" s="37" t="s">
        <v>440</v>
      </c>
      <c r="O169" s="37"/>
      <c r="P169" s="47"/>
      <c r="Q169" s="85"/>
    </row>
    <row r="170" ht="19.5" customHeight="1">
      <c r="A170" s="49"/>
      <c r="B170" s="16"/>
      <c r="C170" s="16"/>
      <c r="D170" s="119"/>
      <c r="E170" s="190" t="s">
        <v>441</v>
      </c>
      <c r="F170" s="191" t="s">
        <v>442</v>
      </c>
      <c r="G170" s="63" t="s">
        <v>443</v>
      </c>
      <c r="H170" s="186"/>
      <c r="I170" s="16"/>
      <c r="J170" s="49"/>
      <c r="K170" s="49"/>
      <c r="L170" s="16"/>
      <c r="M170" s="16"/>
      <c r="N170" s="16"/>
      <c r="O170" s="16"/>
      <c r="P170" s="49"/>
      <c r="Q170" s="85"/>
    </row>
    <row r="171" ht="19.5" customHeight="1">
      <c r="A171" s="49"/>
      <c r="B171" s="16"/>
      <c r="C171" s="16"/>
      <c r="D171" s="119"/>
      <c r="E171" s="190" t="s">
        <v>444</v>
      </c>
      <c r="F171" s="191" t="s">
        <v>445</v>
      </c>
      <c r="G171" s="63" t="s">
        <v>443</v>
      </c>
      <c r="H171" s="186"/>
      <c r="I171" s="16"/>
      <c r="J171" s="49"/>
      <c r="K171" s="49"/>
      <c r="L171" s="16"/>
      <c r="M171" s="16"/>
      <c r="N171" s="16"/>
      <c r="O171" s="16"/>
      <c r="P171" s="49"/>
      <c r="Q171" s="85"/>
    </row>
    <row r="172" ht="19.5" customHeight="1">
      <c r="A172" s="49"/>
      <c r="B172" s="16"/>
      <c r="C172" s="16"/>
      <c r="D172" s="119"/>
      <c r="E172" s="190" t="s">
        <v>446</v>
      </c>
      <c r="F172" s="191" t="s">
        <v>447</v>
      </c>
      <c r="G172" s="63" t="s">
        <v>443</v>
      </c>
      <c r="H172" s="186"/>
      <c r="I172" s="16"/>
      <c r="J172" s="49"/>
      <c r="K172" s="49"/>
      <c r="L172" s="16"/>
      <c r="M172" s="16"/>
      <c r="N172" s="16"/>
      <c r="O172" s="16"/>
      <c r="P172" s="49"/>
      <c r="Q172" s="85"/>
    </row>
    <row r="173" ht="19.5" customHeight="1">
      <c r="A173" s="49"/>
      <c r="B173" s="16"/>
      <c r="C173" s="16"/>
      <c r="D173" s="119"/>
      <c r="E173" s="190" t="s">
        <v>448</v>
      </c>
      <c r="F173" s="192" t="s">
        <v>449</v>
      </c>
      <c r="G173" s="63" t="s">
        <v>443</v>
      </c>
      <c r="H173" s="186"/>
      <c r="I173" s="16"/>
      <c r="J173" s="49"/>
      <c r="K173" s="49"/>
      <c r="L173" s="16"/>
      <c r="M173" s="16"/>
      <c r="N173" s="16"/>
      <c r="O173" s="16"/>
      <c r="P173" s="49"/>
      <c r="Q173" s="85"/>
    </row>
    <row r="174" ht="19.5" customHeight="1">
      <c r="A174" s="49"/>
      <c r="B174" s="16"/>
      <c r="C174" s="16"/>
      <c r="D174" s="119"/>
      <c r="E174" s="190" t="s">
        <v>450</v>
      </c>
      <c r="F174" s="192" t="s">
        <v>451</v>
      </c>
      <c r="G174" s="63" t="s">
        <v>443</v>
      </c>
      <c r="H174" s="186"/>
      <c r="I174" s="16"/>
      <c r="J174" s="49"/>
      <c r="K174" s="49"/>
      <c r="L174" s="16"/>
      <c r="M174" s="16"/>
      <c r="N174" s="16"/>
      <c r="O174" s="16"/>
      <c r="P174" s="49"/>
      <c r="Q174" s="85"/>
    </row>
    <row r="175" ht="19.5" customHeight="1">
      <c r="A175" s="49"/>
      <c r="B175" s="16"/>
      <c r="C175" s="16"/>
      <c r="D175" s="119"/>
      <c r="E175" s="190" t="s">
        <v>452</v>
      </c>
      <c r="F175" s="192" t="s">
        <v>453</v>
      </c>
      <c r="G175" s="63" t="s">
        <v>443</v>
      </c>
      <c r="H175" s="186"/>
      <c r="I175" s="16"/>
      <c r="J175" s="49"/>
      <c r="K175" s="49"/>
      <c r="L175" s="16"/>
      <c r="M175" s="16"/>
      <c r="N175" s="16"/>
      <c r="O175" s="16"/>
      <c r="P175" s="49"/>
      <c r="Q175" s="85"/>
    </row>
    <row r="176" ht="19.5" customHeight="1">
      <c r="A176" s="49"/>
      <c r="B176" s="16"/>
      <c r="C176" s="16"/>
      <c r="D176" s="119"/>
      <c r="E176" s="190" t="s">
        <v>454</v>
      </c>
      <c r="F176" s="192" t="s">
        <v>455</v>
      </c>
      <c r="G176" s="63" t="s">
        <v>443</v>
      </c>
      <c r="H176" s="186"/>
      <c r="I176" s="16"/>
      <c r="J176" s="49"/>
      <c r="K176" s="49"/>
      <c r="L176" s="16"/>
      <c r="M176" s="16"/>
      <c r="N176" s="16"/>
      <c r="O176" s="16"/>
      <c r="P176" s="49"/>
      <c r="Q176" s="85"/>
    </row>
    <row r="177" ht="19.5" customHeight="1">
      <c r="A177" s="49"/>
      <c r="B177" s="16"/>
      <c r="C177" s="16"/>
      <c r="D177" s="119"/>
      <c r="E177" s="190" t="s">
        <v>456</v>
      </c>
      <c r="F177" s="192" t="s">
        <v>457</v>
      </c>
      <c r="G177" s="63" t="s">
        <v>443</v>
      </c>
      <c r="H177" s="186"/>
      <c r="I177" s="16"/>
      <c r="J177" s="49"/>
      <c r="K177" s="49"/>
      <c r="L177" s="16"/>
      <c r="M177" s="16"/>
      <c r="N177" s="16"/>
      <c r="O177" s="16"/>
      <c r="P177" s="49"/>
      <c r="Q177" s="85"/>
    </row>
    <row r="178" ht="19.5" customHeight="1">
      <c r="A178" s="49"/>
      <c r="B178" s="16"/>
      <c r="C178" s="16"/>
      <c r="D178" s="119"/>
      <c r="E178" s="190" t="s">
        <v>458</v>
      </c>
      <c r="F178" s="192" t="s">
        <v>459</v>
      </c>
      <c r="G178" s="63" t="s">
        <v>443</v>
      </c>
      <c r="H178" s="186"/>
      <c r="I178" s="16"/>
      <c r="J178" s="49"/>
      <c r="K178" s="49"/>
      <c r="L178" s="16"/>
      <c r="M178" s="16"/>
      <c r="N178" s="16"/>
      <c r="O178" s="16"/>
      <c r="P178" s="49"/>
      <c r="Q178" s="85"/>
    </row>
    <row r="179" ht="19.5" customHeight="1">
      <c r="A179" s="49"/>
      <c r="B179" s="16"/>
      <c r="C179" s="16"/>
      <c r="D179" s="119"/>
      <c r="E179" s="190" t="s">
        <v>460</v>
      </c>
      <c r="F179" s="192" t="s">
        <v>461</v>
      </c>
      <c r="G179" s="63" t="s">
        <v>443</v>
      </c>
      <c r="H179" s="186"/>
      <c r="I179" s="16"/>
      <c r="J179" s="49"/>
      <c r="K179" s="49"/>
      <c r="L179" s="16"/>
      <c r="M179" s="16"/>
      <c r="N179" s="16"/>
      <c r="O179" s="16"/>
      <c r="P179" s="49"/>
      <c r="Q179" s="85"/>
    </row>
    <row r="180" ht="19.5" customHeight="1">
      <c r="A180" s="49"/>
      <c r="B180" s="16"/>
      <c r="C180" s="16"/>
      <c r="D180" s="119"/>
      <c r="E180" s="190" t="s">
        <v>462</v>
      </c>
      <c r="F180" s="191" t="s">
        <v>463</v>
      </c>
      <c r="G180" s="63" t="s">
        <v>443</v>
      </c>
      <c r="H180" s="186"/>
      <c r="I180" s="16"/>
      <c r="J180" s="49"/>
      <c r="K180" s="49"/>
      <c r="L180" s="16"/>
      <c r="M180" s="16"/>
      <c r="N180" s="16"/>
      <c r="O180" s="16"/>
      <c r="P180" s="49"/>
      <c r="Q180" s="85"/>
    </row>
    <row r="181" ht="19.5" customHeight="1">
      <c r="A181" s="49"/>
      <c r="B181" s="16"/>
      <c r="C181" s="16"/>
      <c r="D181" s="119"/>
      <c r="E181" s="190" t="s">
        <v>464</v>
      </c>
      <c r="F181" s="192" t="s">
        <v>465</v>
      </c>
      <c r="G181" s="63" t="s">
        <v>443</v>
      </c>
      <c r="H181" s="186"/>
      <c r="I181" s="16"/>
      <c r="J181" s="49"/>
      <c r="K181" s="49"/>
      <c r="L181" s="16"/>
      <c r="M181" s="16"/>
      <c r="N181" s="16"/>
      <c r="O181" s="16"/>
      <c r="P181" s="49"/>
      <c r="Q181" s="85"/>
    </row>
    <row r="182" ht="19.5" customHeight="1">
      <c r="A182" s="49"/>
      <c r="B182" s="16"/>
      <c r="C182" s="16"/>
      <c r="D182" s="119"/>
      <c r="E182" s="190" t="s">
        <v>466</v>
      </c>
      <c r="F182" s="191" t="s">
        <v>467</v>
      </c>
      <c r="G182" s="63" t="s">
        <v>468</v>
      </c>
      <c r="H182" s="186"/>
      <c r="I182" s="16"/>
      <c r="J182" s="49"/>
      <c r="K182" s="49"/>
      <c r="L182" s="16"/>
      <c r="M182" s="16"/>
      <c r="N182" s="16"/>
      <c r="O182" s="16"/>
      <c r="P182" s="49"/>
      <c r="Q182" s="85"/>
    </row>
    <row r="183" ht="19.5" customHeight="1">
      <c r="A183" s="49"/>
      <c r="B183" s="16"/>
      <c r="C183" s="16"/>
      <c r="D183" s="119"/>
      <c r="E183" s="190" t="s">
        <v>469</v>
      </c>
      <c r="F183" s="191" t="s">
        <v>470</v>
      </c>
      <c r="G183" s="63" t="s">
        <v>471</v>
      </c>
      <c r="H183" s="186"/>
      <c r="I183" s="16"/>
      <c r="J183" s="49"/>
      <c r="K183" s="49"/>
      <c r="L183" s="16"/>
      <c r="M183" s="16"/>
      <c r="N183" s="16"/>
      <c r="O183" s="16"/>
      <c r="P183" s="49"/>
      <c r="Q183" s="85"/>
    </row>
    <row r="184" ht="19.5" customHeight="1">
      <c r="A184" s="49"/>
      <c r="B184" s="16"/>
      <c r="C184" s="16"/>
      <c r="D184" s="119"/>
      <c r="E184" s="190" t="s">
        <v>472</v>
      </c>
      <c r="F184" s="191" t="s">
        <v>473</v>
      </c>
      <c r="G184" s="63" t="s">
        <v>468</v>
      </c>
      <c r="H184" s="186"/>
      <c r="I184" s="16"/>
      <c r="J184" s="49"/>
      <c r="K184" s="49"/>
      <c r="L184" s="16"/>
      <c r="M184" s="16"/>
      <c r="N184" s="16"/>
      <c r="O184" s="16"/>
      <c r="P184" s="49"/>
      <c r="Q184" s="85"/>
    </row>
    <row r="185" ht="19.5" customHeight="1">
      <c r="A185" s="49"/>
      <c r="B185" s="16"/>
      <c r="C185" s="16"/>
      <c r="D185" s="119"/>
      <c r="E185" s="190" t="s">
        <v>474</v>
      </c>
      <c r="F185" s="191" t="s">
        <v>475</v>
      </c>
      <c r="G185" s="63" t="s">
        <v>443</v>
      </c>
      <c r="H185" s="186"/>
      <c r="I185" s="16"/>
      <c r="J185" s="49"/>
      <c r="K185" s="49"/>
      <c r="L185" s="16"/>
      <c r="M185" s="16"/>
      <c r="N185" s="16"/>
      <c r="O185" s="16"/>
      <c r="P185" s="49"/>
      <c r="Q185" s="85"/>
    </row>
    <row r="186" ht="19.5" customHeight="1">
      <c r="A186" s="49"/>
      <c r="B186" s="16"/>
      <c r="C186" s="16"/>
      <c r="D186" s="119"/>
      <c r="E186" s="190" t="s">
        <v>476</v>
      </c>
      <c r="F186" s="191" t="s">
        <v>477</v>
      </c>
      <c r="G186" s="63" t="s">
        <v>478</v>
      </c>
      <c r="H186" s="186"/>
      <c r="I186" s="16"/>
      <c r="J186" s="49"/>
      <c r="K186" s="49"/>
      <c r="L186" s="16"/>
      <c r="M186" s="16"/>
      <c r="N186" s="16"/>
      <c r="O186" s="16"/>
      <c r="P186" s="49"/>
      <c r="Q186" s="85"/>
    </row>
    <row r="187" ht="19.5" customHeight="1">
      <c r="A187" s="13"/>
      <c r="B187" s="16"/>
      <c r="C187" s="16"/>
      <c r="D187" s="123"/>
      <c r="E187" s="193" t="s">
        <v>479</v>
      </c>
      <c r="F187" s="194" t="s">
        <v>480</v>
      </c>
      <c r="G187" s="65" t="s">
        <v>468</v>
      </c>
      <c r="H187" s="186"/>
      <c r="I187" s="16"/>
      <c r="J187" s="13"/>
      <c r="K187" s="13"/>
      <c r="L187" s="16"/>
      <c r="M187" s="16"/>
      <c r="N187" s="16"/>
      <c r="O187" s="16"/>
      <c r="P187" s="13"/>
      <c r="Q187" s="85"/>
    </row>
    <row r="188" ht="19.5" customHeight="1">
      <c r="A188" s="18">
        <f t="shared" ref="A188:A191" si="11">IF(ISBLANK(B188),"",COUNTA($B$4:B188))</f>
        <v>47</v>
      </c>
      <c r="B188" s="37" t="s">
        <v>481</v>
      </c>
      <c r="C188" s="20">
        <v>45700.0</v>
      </c>
      <c r="D188" s="78" t="s">
        <v>482</v>
      </c>
      <c r="E188" s="79"/>
      <c r="F188" s="195" t="s">
        <v>483</v>
      </c>
      <c r="G188" s="80" t="s">
        <v>468</v>
      </c>
      <c r="H188" s="81"/>
      <c r="I188" s="30"/>
      <c r="J188" s="32">
        <v>45683.0</v>
      </c>
      <c r="K188" s="27" t="s">
        <v>20</v>
      </c>
      <c r="L188" s="35" t="s">
        <v>484</v>
      </c>
      <c r="M188" s="29" t="s">
        <v>22</v>
      </c>
      <c r="N188" s="83"/>
      <c r="O188" s="83"/>
      <c r="P188" s="108"/>
      <c r="Q188" s="85"/>
    </row>
    <row r="189" ht="19.5" customHeight="1">
      <c r="A189" s="18">
        <f t="shared" si="11"/>
        <v>48</v>
      </c>
      <c r="B189" s="37" t="s">
        <v>485</v>
      </c>
      <c r="C189" s="20">
        <v>45700.0</v>
      </c>
      <c r="D189" s="78" t="s">
        <v>486</v>
      </c>
      <c r="E189" s="79"/>
      <c r="F189" s="195" t="s">
        <v>487</v>
      </c>
      <c r="G189" s="80" t="s">
        <v>123</v>
      </c>
      <c r="H189" s="81"/>
      <c r="I189" s="30"/>
      <c r="J189" s="32">
        <v>45683.0</v>
      </c>
      <c r="K189" s="27" t="s">
        <v>20</v>
      </c>
      <c r="L189" s="35" t="s">
        <v>488</v>
      </c>
      <c r="M189" s="29" t="s">
        <v>22</v>
      </c>
      <c r="N189" s="83"/>
      <c r="O189" s="83"/>
      <c r="P189" s="22"/>
      <c r="Q189" s="85"/>
    </row>
    <row r="190" ht="32.25" customHeight="1">
      <c r="A190" s="18">
        <f t="shared" si="11"/>
        <v>49</v>
      </c>
      <c r="B190" s="37" t="s">
        <v>489</v>
      </c>
      <c r="C190" s="20">
        <v>45704.0</v>
      </c>
      <c r="D190" s="121" t="s">
        <v>490</v>
      </c>
      <c r="E190" s="138"/>
      <c r="F190" s="52" t="s">
        <v>491</v>
      </c>
      <c r="G190" s="113" t="s">
        <v>492</v>
      </c>
      <c r="H190" s="81"/>
      <c r="I190" s="30"/>
      <c r="J190" s="32">
        <v>45683.0</v>
      </c>
      <c r="K190" s="27" t="s">
        <v>20</v>
      </c>
      <c r="L190" s="35" t="s">
        <v>493</v>
      </c>
      <c r="M190" s="35" t="s">
        <v>494</v>
      </c>
      <c r="N190" s="83"/>
      <c r="O190" s="83"/>
      <c r="P190" s="108"/>
      <c r="Q190" s="85"/>
    </row>
    <row r="191" ht="19.5" customHeight="1">
      <c r="A191" s="36">
        <f t="shared" si="11"/>
        <v>50</v>
      </c>
      <c r="B191" s="37" t="s">
        <v>495</v>
      </c>
      <c r="C191" s="20">
        <v>45704.0</v>
      </c>
      <c r="D191" s="38" t="s">
        <v>496</v>
      </c>
      <c r="E191" s="115"/>
      <c r="F191" s="116"/>
      <c r="G191" s="117"/>
      <c r="H191" s="186"/>
      <c r="I191" s="42"/>
      <c r="J191" s="196">
        <v>45683.0</v>
      </c>
      <c r="K191" s="44" t="s">
        <v>20</v>
      </c>
      <c r="L191" s="45" t="s">
        <v>497</v>
      </c>
      <c r="M191" s="197" t="s">
        <v>498</v>
      </c>
      <c r="N191" s="37"/>
      <c r="O191" s="42"/>
      <c r="P191" s="91"/>
      <c r="Q191" s="85"/>
    </row>
    <row r="192" ht="19.5" customHeight="1">
      <c r="A192" s="49"/>
      <c r="B192" s="16"/>
      <c r="C192" s="16"/>
      <c r="D192" s="102" t="s">
        <v>499</v>
      </c>
      <c r="E192" s="138"/>
      <c r="F192" s="121"/>
      <c r="G192" s="142"/>
      <c r="H192" s="186"/>
      <c r="I192" s="16"/>
      <c r="J192" s="16"/>
      <c r="K192" s="49"/>
      <c r="L192" s="16"/>
      <c r="M192" s="16"/>
      <c r="N192" s="16"/>
      <c r="O192" s="16"/>
      <c r="P192" s="49"/>
      <c r="Q192" s="85"/>
    </row>
    <row r="193" ht="19.5" customHeight="1">
      <c r="A193" s="49"/>
      <c r="B193" s="16"/>
      <c r="C193" s="16"/>
      <c r="D193" s="119"/>
      <c r="E193" s="198" t="s">
        <v>500</v>
      </c>
      <c r="F193" s="199" t="s">
        <v>501</v>
      </c>
      <c r="G193" s="200" t="s">
        <v>502</v>
      </c>
      <c r="H193" s="186"/>
      <c r="I193" s="16"/>
      <c r="J193" s="16"/>
      <c r="K193" s="49"/>
      <c r="L193" s="16"/>
      <c r="M193" s="16"/>
      <c r="N193" s="16"/>
      <c r="O193" s="16"/>
      <c r="P193" s="49"/>
      <c r="Q193" s="85"/>
    </row>
    <row r="194" ht="19.5" customHeight="1">
      <c r="A194" s="49"/>
      <c r="B194" s="16"/>
      <c r="C194" s="16"/>
      <c r="D194" s="119"/>
      <c r="E194" s="201" t="s">
        <v>503</v>
      </c>
      <c r="F194" s="199" t="s">
        <v>504</v>
      </c>
      <c r="G194" s="200" t="s">
        <v>505</v>
      </c>
      <c r="H194" s="186"/>
      <c r="I194" s="16"/>
      <c r="J194" s="16"/>
      <c r="K194" s="49"/>
      <c r="L194" s="16"/>
      <c r="M194" s="16"/>
      <c r="N194" s="16"/>
      <c r="O194" s="16"/>
      <c r="P194" s="49"/>
      <c r="Q194" s="85"/>
    </row>
    <row r="195" ht="19.5" customHeight="1">
      <c r="A195" s="49"/>
      <c r="B195" s="16"/>
      <c r="C195" s="16"/>
      <c r="D195" s="119"/>
      <c r="E195" s="201" t="s">
        <v>506</v>
      </c>
      <c r="F195" s="199" t="s">
        <v>507</v>
      </c>
      <c r="G195" s="200" t="s">
        <v>508</v>
      </c>
      <c r="H195" s="186"/>
      <c r="I195" s="16"/>
      <c r="J195" s="16"/>
      <c r="K195" s="49"/>
      <c r="L195" s="16"/>
      <c r="M195" s="16"/>
      <c r="N195" s="16"/>
      <c r="O195" s="16"/>
      <c r="P195" s="49"/>
      <c r="Q195" s="85"/>
    </row>
    <row r="196" ht="19.5" customHeight="1">
      <c r="A196" s="49"/>
      <c r="B196" s="16"/>
      <c r="C196" s="16"/>
      <c r="D196" s="119"/>
      <c r="E196" s="201" t="s">
        <v>509</v>
      </c>
      <c r="F196" s="199" t="s">
        <v>507</v>
      </c>
      <c r="G196" s="200" t="s">
        <v>510</v>
      </c>
      <c r="H196" s="186"/>
      <c r="I196" s="16"/>
      <c r="J196" s="16"/>
      <c r="K196" s="49"/>
      <c r="L196" s="16"/>
      <c r="M196" s="16"/>
      <c r="N196" s="16"/>
      <c r="O196" s="16"/>
      <c r="P196" s="49"/>
      <c r="Q196" s="85"/>
    </row>
    <row r="197" ht="19.5" customHeight="1">
      <c r="A197" s="49"/>
      <c r="B197" s="16"/>
      <c r="C197" s="16"/>
      <c r="D197" s="119"/>
      <c r="E197" s="201" t="s">
        <v>511</v>
      </c>
      <c r="F197" s="199" t="s">
        <v>512</v>
      </c>
      <c r="G197" s="200" t="s">
        <v>513</v>
      </c>
      <c r="H197" s="186"/>
      <c r="I197" s="16"/>
      <c r="J197" s="16"/>
      <c r="K197" s="49"/>
      <c r="L197" s="16"/>
      <c r="M197" s="16"/>
      <c r="N197" s="16"/>
      <c r="O197" s="16"/>
      <c r="P197" s="49"/>
      <c r="Q197" s="85"/>
    </row>
    <row r="198" ht="19.5" customHeight="1">
      <c r="A198" s="49"/>
      <c r="B198" s="16"/>
      <c r="C198" s="16"/>
      <c r="D198" s="119"/>
      <c r="E198" s="201" t="s">
        <v>514</v>
      </c>
      <c r="F198" s="199" t="s">
        <v>512</v>
      </c>
      <c r="G198" s="200" t="s">
        <v>515</v>
      </c>
      <c r="H198" s="186"/>
      <c r="I198" s="16"/>
      <c r="J198" s="16"/>
      <c r="K198" s="49"/>
      <c r="L198" s="16"/>
      <c r="M198" s="16"/>
      <c r="N198" s="16"/>
      <c r="O198" s="16"/>
      <c r="P198" s="49"/>
      <c r="Q198" s="85"/>
    </row>
    <row r="199" ht="19.5" customHeight="1">
      <c r="A199" s="49"/>
      <c r="B199" s="16"/>
      <c r="C199" s="16"/>
      <c r="D199" s="119"/>
      <c r="E199" s="201" t="s">
        <v>516</v>
      </c>
      <c r="F199" s="199" t="s">
        <v>517</v>
      </c>
      <c r="G199" s="200" t="s">
        <v>518</v>
      </c>
      <c r="H199" s="186"/>
      <c r="I199" s="16"/>
      <c r="J199" s="16"/>
      <c r="K199" s="49"/>
      <c r="L199" s="16"/>
      <c r="M199" s="16"/>
      <c r="N199" s="16"/>
      <c r="O199" s="16"/>
      <c r="P199" s="49"/>
      <c r="Q199" s="85"/>
    </row>
    <row r="200" ht="19.5" customHeight="1">
      <c r="A200" s="49"/>
      <c r="B200" s="16"/>
      <c r="C200" s="16"/>
      <c r="D200" s="119"/>
      <c r="E200" s="201" t="s">
        <v>519</v>
      </c>
      <c r="F200" s="199" t="s">
        <v>501</v>
      </c>
      <c r="G200" s="200" t="s">
        <v>520</v>
      </c>
      <c r="H200" s="186"/>
      <c r="I200" s="16"/>
      <c r="J200" s="16"/>
      <c r="K200" s="49"/>
      <c r="L200" s="16"/>
      <c r="M200" s="16"/>
      <c r="N200" s="16"/>
      <c r="O200" s="16"/>
      <c r="P200" s="49"/>
      <c r="Q200" s="85"/>
    </row>
    <row r="201" ht="19.5" customHeight="1">
      <c r="A201" s="49"/>
      <c r="B201" s="16"/>
      <c r="C201" s="16"/>
      <c r="D201" s="119"/>
      <c r="E201" s="201" t="s">
        <v>521</v>
      </c>
      <c r="F201" s="199" t="s">
        <v>522</v>
      </c>
      <c r="G201" s="200" t="s">
        <v>523</v>
      </c>
      <c r="H201" s="186"/>
      <c r="I201" s="16"/>
      <c r="J201" s="16"/>
      <c r="K201" s="49"/>
      <c r="L201" s="16"/>
      <c r="M201" s="16"/>
      <c r="N201" s="16"/>
      <c r="O201" s="16"/>
      <c r="P201" s="49"/>
      <c r="Q201" s="85"/>
    </row>
    <row r="202" ht="19.5" customHeight="1">
      <c r="A202" s="49"/>
      <c r="B202" s="16"/>
      <c r="C202" s="16"/>
      <c r="D202" s="202" t="s">
        <v>524</v>
      </c>
      <c r="E202" s="138"/>
      <c r="F202" s="203"/>
      <c r="G202" s="142"/>
      <c r="H202" s="186"/>
      <c r="I202" s="16"/>
      <c r="J202" s="16"/>
      <c r="K202" s="49"/>
      <c r="L202" s="16"/>
      <c r="M202" s="16"/>
      <c r="N202" s="16"/>
      <c r="O202" s="16"/>
      <c r="P202" s="49"/>
      <c r="Q202" s="85"/>
    </row>
    <row r="203" ht="19.5" customHeight="1">
      <c r="A203" s="49"/>
      <c r="B203" s="16"/>
      <c r="C203" s="16"/>
      <c r="D203" s="119"/>
      <c r="E203" s="201" t="s">
        <v>525</v>
      </c>
      <c r="F203" s="204" t="s">
        <v>504</v>
      </c>
      <c r="G203" s="205" t="s">
        <v>526</v>
      </c>
      <c r="H203" s="186"/>
      <c r="I203" s="16"/>
      <c r="J203" s="16"/>
      <c r="K203" s="49"/>
      <c r="L203" s="16"/>
      <c r="M203" s="16"/>
      <c r="N203" s="16"/>
      <c r="O203" s="16"/>
      <c r="P203" s="49"/>
      <c r="Q203" s="85"/>
    </row>
    <row r="204" ht="19.5" customHeight="1">
      <c r="A204" s="49"/>
      <c r="B204" s="16"/>
      <c r="C204" s="16"/>
      <c r="D204" s="119"/>
      <c r="E204" s="201" t="s">
        <v>527</v>
      </c>
      <c r="F204" s="199" t="s">
        <v>504</v>
      </c>
      <c r="G204" s="205" t="s">
        <v>505</v>
      </c>
      <c r="H204" s="186"/>
      <c r="I204" s="16"/>
      <c r="J204" s="16"/>
      <c r="K204" s="49"/>
      <c r="L204" s="16"/>
      <c r="M204" s="16"/>
      <c r="N204" s="16"/>
      <c r="O204" s="16"/>
      <c r="P204" s="49"/>
      <c r="Q204" s="85"/>
    </row>
    <row r="205" ht="19.5" customHeight="1">
      <c r="A205" s="49"/>
      <c r="B205" s="16"/>
      <c r="C205" s="16"/>
      <c r="D205" s="119"/>
      <c r="E205" s="201" t="s">
        <v>528</v>
      </c>
      <c r="F205" s="199" t="s">
        <v>507</v>
      </c>
      <c r="G205" s="205" t="s">
        <v>508</v>
      </c>
      <c r="H205" s="186"/>
      <c r="I205" s="16"/>
      <c r="J205" s="16"/>
      <c r="K205" s="49"/>
      <c r="L205" s="16"/>
      <c r="M205" s="16"/>
      <c r="N205" s="16"/>
      <c r="O205" s="16"/>
      <c r="P205" s="49"/>
      <c r="Q205" s="85"/>
    </row>
    <row r="206" ht="19.5" customHeight="1">
      <c r="A206" s="49"/>
      <c r="B206" s="16"/>
      <c r="C206" s="16"/>
      <c r="D206" s="119"/>
      <c r="E206" s="201" t="s">
        <v>529</v>
      </c>
      <c r="F206" s="199" t="s">
        <v>507</v>
      </c>
      <c r="G206" s="206" t="s">
        <v>510</v>
      </c>
      <c r="H206" s="186"/>
      <c r="I206" s="16"/>
      <c r="J206" s="16"/>
      <c r="K206" s="49"/>
      <c r="L206" s="16"/>
      <c r="M206" s="16"/>
      <c r="N206" s="16"/>
      <c r="O206" s="16"/>
      <c r="P206" s="49"/>
      <c r="Q206" s="85"/>
    </row>
    <row r="207" ht="19.5" customHeight="1">
      <c r="A207" s="49"/>
      <c r="B207" s="16"/>
      <c r="C207" s="16"/>
      <c r="D207" s="119"/>
      <c r="E207" s="198" t="s">
        <v>530</v>
      </c>
      <c r="F207" s="199" t="s">
        <v>512</v>
      </c>
      <c r="G207" s="200" t="s">
        <v>513</v>
      </c>
      <c r="H207" s="186"/>
      <c r="I207" s="16"/>
      <c r="J207" s="16"/>
      <c r="K207" s="49"/>
      <c r="L207" s="16"/>
      <c r="M207" s="16"/>
      <c r="N207" s="16"/>
      <c r="O207" s="16"/>
      <c r="P207" s="49"/>
      <c r="Q207" s="85"/>
    </row>
    <row r="208" ht="19.5" customHeight="1">
      <c r="A208" s="49"/>
      <c r="B208" s="16"/>
      <c r="C208" s="16"/>
      <c r="D208" s="119"/>
      <c r="E208" s="198" t="s">
        <v>514</v>
      </c>
      <c r="F208" s="199" t="s">
        <v>512</v>
      </c>
      <c r="G208" s="200" t="s">
        <v>515</v>
      </c>
      <c r="H208" s="186"/>
      <c r="I208" s="16"/>
      <c r="J208" s="16"/>
      <c r="K208" s="49"/>
      <c r="L208" s="16"/>
      <c r="M208" s="16"/>
      <c r="N208" s="16"/>
      <c r="O208" s="16"/>
      <c r="P208" s="49"/>
      <c r="Q208" s="85"/>
    </row>
    <row r="209" ht="19.5" customHeight="1">
      <c r="A209" s="49"/>
      <c r="B209" s="16"/>
      <c r="C209" s="16"/>
      <c r="D209" s="119"/>
      <c r="E209" s="198" t="s">
        <v>531</v>
      </c>
      <c r="F209" s="199" t="s">
        <v>517</v>
      </c>
      <c r="G209" s="200" t="s">
        <v>518</v>
      </c>
      <c r="H209" s="186"/>
      <c r="I209" s="16"/>
      <c r="J209" s="16"/>
      <c r="K209" s="49"/>
      <c r="L209" s="16"/>
      <c r="M209" s="16"/>
      <c r="N209" s="16"/>
      <c r="O209" s="16"/>
      <c r="P209" s="49"/>
      <c r="Q209" s="85"/>
    </row>
    <row r="210" ht="19.5" customHeight="1">
      <c r="A210" s="49"/>
      <c r="B210" s="16"/>
      <c r="C210" s="16"/>
      <c r="D210" s="119"/>
      <c r="E210" s="198" t="s">
        <v>532</v>
      </c>
      <c r="F210" s="199" t="s">
        <v>501</v>
      </c>
      <c r="G210" s="206" t="s">
        <v>533</v>
      </c>
      <c r="H210" s="186"/>
      <c r="I210" s="16"/>
      <c r="J210" s="16"/>
      <c r="K210" s="49"/>
      <c r="L210" s="16"/>
      <c r="M210" s="16"/>
      <c r="N210" s="16"/>
      <c r="O210" s="16"/>
      <c r="P210" s="49"/>
      <c r="Q210" s="85"/>
    </row>
    <row r="211" ht="19.5" customHeight="1">
      <c r="A211" s="49"/>
      <c r="B211" s="16"/>
      <c r="C211" s="16"/>
      <c r="D211" s="202" t="s">
        <v>534</v>
      </c>
      <c r="E211" s="138"/>
      <c r="F211" s="203"/>
      <c r="G211" s="142"/>
      <c r="H211" s="186"/>
      <c r="I211" s="16"/>
      <c r="J211" s="16"/>
      <c r="K211" s="49"/>
      <c r="L211" s="16"/>
      <c r="M211" s="16"/>
      <c r="N211" s="16"/>
      <c r="O211" s="16"/>
      <c r="P211" s="49"/>
      <c r="Q211" s="85"/>
    </row>
    <row r="212" ht="19.5" customHeight="1">
      <c r="A212" s="49"/>
      <c r="B212" s="16"/>
      <c r="C212" s="16"/>
      <c r="D212" s="119"/>
      <c r="E212" s="198" t="s">
        <v>535</v>
      </c>
      <c r="F212" s="204" t="s">
        <v>504</v>
      </c>
      <c r="G212" s="207" t="s">
        <v>526</v>
      </c>
      <c r="H212" s="186"/>
      <c r="I212" s="16"/>
      <c r="J212" s="16"/>
      <c r="K212" s="49"/>
      <c r="L212" s="16"/>
      <c r="M212" s="16"/>
      <c r="N212" s="16"/>
      <c r="O212" s="16"/>
      <c r="P212" s="49"/>
      <c r="Q212" s="85"/>
    </row>
    <row r="213" ht="19.5" customHeight="1">
      <c r="A213" s="49"/>
      <c r="B213" s="16"/>
      <c r="C213" s="16"/>
      <c r="D213" s="119"/>
      <c r="E213" s="198" t="s">
        <v>527</v>
      </c>
      <c r="F213" s="199" t="s">
        <v>504</v>
      </c>
      <c r="G213" s="207" t="s">
        <v>505</v>
      </c>
      <c r="H213" s="186"/>
      <c r="I213" s="16"/>
      <c r="J213" s="16"/>
      <c r="K213" s="49"/>
      <c r="L213" s="16"/>
      <c r="M213" s="16"/>
      <c r="N213" s="16"/>
      <c r="O213" s="16"/>
      <c r="P213" s="49"/>
      <c r="Q213" s="85"/>
    </row>
    <row r="214" ht="19.5" customHeight="1">
      <c r="A214" s="49"/>
      <c r="B214" s="16"/>
      <c r="C214" s="16"/>
      <c r="D214" s="119"/>
      <c r="E214" s="198" t="s">
        <v>528</v>
      </c>
      <c r="F214" s="199" t="s">
        <v>507</v>
      </c>
      <c r="G214" s="207" t="s">
        <v>508</v>
      </c>
      <c r="H214" s="186"/>
      <c r="I214" s="16"/>
      <c r="J214" s="16"/>
      <c r="K214" s="49"/>
      <c r="L214" s="16"/>
      <c r="M214" s="16"/>
      <c r="N214" s="16"/>
      <c r="O214" s="16"/>
      <c r="P214" s="49"/>
      <c r="Q214" s="85"/>
    </row>
    <row r="215" ht="19.5" customHeight="1">
      <c r="A215" s="49"/>
      <c r="B215" s="16"/>
      <c r="C215" s="16"/>
      <c r="D215" s="119"/>
      <c r="E215" s="198" t="s">
        <v>529</v>
      </c>
      <c r="F215" s="199" t="s">
        <v>507</v>
      </c>
      <c r="G215" s="207" t="s">
        <v>510</v>
      </c>
      <c r="H215" s="186"/>
      <c r="I215" s="16"/>
      <c r="J215" s="16"/>
      <c r="K215" s="49"/>
      <c r="L215" s="16"/>
      <c r="M215" s="16"/>
      <c r="N215" s="16"/>
      <c r="O215" s="16"/>
      <c r="P215" s="49"/>
      <c r="Q215" s="85"/>
    </row>
    <row r="216" ht="19.5" customHeight="1">
      <c r="A216" s="49"/>
      <c r="B216" s="16"/>
      <c r="C216" s="16"/>
      <c r="D216" s="119"/>
      <c r="E216" s="198" t="s">
        <v>530</v>
      </c>
      <c r="F216" s="199" t="s">
        <v>512</v>
      </c>
      <c r="G216" s="200" t="s">
        <v>513</v>
      </c>
      <c r="H216" s="186"/>
      <c r="I216" s="16"/>
      <c r="J216" s="16"/>
      <c r="K216" s="49"/>
      <c r="L216" s="16"/>
      <c r="M216" s="16"/>
      <c r="N216" s="16"/>
      <c r="O216" s="16"/>
      <c r="P216" s="49"/>
      <c r="Q216" s="85"/>
    </row>
    <row r="217" ht="19.5" customHeight="1">
      <c r="A217" s="49"/>
      <c r="B217" s="16"/>
      <c r="C217" s="16"/>
      <c r="D217" s="119"/>
      <c r="E217" s="198" t="s">
        <v>514</v>
      </c>
      <c r="F217" s="199" t="s">
        <v>512</v>
      </c>
      <c r="G217" s="200" t="s">
        <v>515</v>
      </c>
      <c r="H217" s="186"/>
      <c r="I217" s="16"/>
      <c r="J217" s="16"/>
      <c r="K217" s="49"/>
      <c r="L217" s="16"/>
      <c r="M217" s="16"/>
      <c r="N217" s="16"/>
      <c r="O217" s="16"/>
      <c r="P217" s="49"/>
      <c r="Q217" s="85"/>
    </row>
    <row r="218" ht="19.5" customHeight="1">
      <c r="A218" s="49"/>
      <c r="B218" s="16"/>
      <c r="C218" s="16"/>
      <c r="D218" s="119"/>
      <c r="E218" s="198" t="s">
        <v>531</v>
      </c>
      <c r="F218" s="199" t="s">
        <v>517</v>
      </c>
      <c r="G218" s="200" t="s">
        <v>518</v>
      </c>
      <c r="H218" s="186"/>
      <c r="I218" s="16"/>
      <c r="J218" s="16"/>
      <c r="K218" s="49"/>
      <c r="L218" s="16"/>
      <c r="M218" s="16"/>
      <c r="N218" s="16"/>
      <c r="O218" s="16"/>
      <c r="P218" s="49"/>
      <c r="Q218" s="85"/>
    </row>
    <row r="219" ht="19.5" customHeight="1">
      <c r="A219" s="49"/>
      <c r="B219" s="16"/>
      <c r="C219" s="16"/>
      <c r="D219" s="119"/>
      <c r="E219" s="198" t="s">
        <v>532</v>
      </c>
      <c r="F219" s="199" t="s">
        <v>501</v>
      </c>
      <c r="G219" s="207" t="s">
        <v>533</v>
      </c>
      <c r="H219" s="186"/>
      <c r="I219" s="16"/>
      <c r="J219" s="16"/>
      <c r="K219" s="49"/>
      <c r="L219" s="16"/>
      <c r="M219" s="16"/>
      <c r="N219" s="16"/>
      <c r="O219" s="16"/>
      <c r="P219" s="49"/>
      <c r="Q219" s="85"/>
    </row>
    <row r="220" ht="19.5" customHeight="1">
      <c r="A220" s="49"/>
      <c r="B220" s="16"/>
      <c r="C220" s="16"/>
      <c r="D220" s="202" t="s">
        <v>536</v>
      </c>
      <c r="E220" s="138"/>
      <c r="F220" s="203"/>
      <c r="G220" s="142"/>
      <c r="H220" s="186"/>
      <c r="I220" s="16"/>
      <c r="J220" s="16"/>
      <c r="K220" s="49"/>
      <c r="L220" s="16"/>
      <c r="M220" s="16"/>
      <c r="N220" s="16"/>
      <c r="O220" s="16"/>
      <c r="P220" s="49"/>
      <c r="Q220" s="85"/>
    </row>
    <row r="221" ht="19.5" customHeight="1">
      <c r="A221" s="49"/>
      <c r="B221" s="16"/>
      <c r="C221" s="16"/>
      <c r="D221" s="119"/>
      <c r="E221" s="198" t="s">
        <v>537</v>
      </c>
      <c r="F221" s="199" t="s">
        <v>504</v>
      </c>
      <c r="G221" s="207" t="s">
        <v>505</v>
      </c>
      <c r="H221" s="186"/>
      <c r="I221" s="16"/>
      <c r="J221" s="16"/>
      <c r="K221" s="49"/>
      <c r="L221" s="16"/>
      <c r="M221" s="16"/>
      <c r="N221" s="16"/>
      <c r="O221" s="16"/>
      <c r="P221" s="49"/>
      <c r="Q221" s="85"/>
    </row>
    <row r="222" ht="19.5" customHeight="1">
      <c r="A222" s="49"/>
      <c r="B222" s="16"/>
      <c r="C222" s="16"/>
      <c r="D222" s="119"/>
      <c r="E222" s="198" t="s">
        <v>528</v>
      </c>
      <c r="F222" s="199" t="s">
        <v>507</v>
      </c>
      <c r="G222" s="208" t="s">
        <v>508</v>
      </c>
      <c r="H222" s="186"/>
      <c r="I222" s="16"/>
      <c r="J222" s="16"/>
      <c r="K222" s="49"/>
      <c r="L222" s="16"/>
      <c r="M222" s="16"/>
      <c r="N222" s="16"/>
      <c r="O222" s="16"/>
      <c r="P222" s="49"/>
      <c r="Q222" s="85"/>
    </row>
    <row r="223" ht="19.5" customHeight="1">
      <c r="A223" s="49"/>
      <c r="B223" s="16"/>
      <c r="C223" s="16"/>
      <c r="D223" s="119"/>
      <c r="E223" s="198" t="s">
        <v>530</v>
      </c>
      <c r="F223" s="199" t="s">
        <v>512</v>
      </c>
      <c r="G223" s="200" t="s">
        <v>513</v>
      </c>
      <c r="H223" s="186"/>
      <c r="I223" s="16"/>
      <c r="J223" s="16"/>
      <c r="K223" s="49"/>
      <c r="L223" s="16"/>
      <c r="M223" s="16"/>
      <c r="N223" s="16"/>
      <c r="O223" s="16"/>
      <c r="P223" s="49"/>
      <c r="Q223" s="85"/>
    </row>
    <row r="224" ht="19.5" customHeight="1">
      <c r="A224" s="49"/>
      <c r="B224" s="16"/>
      <c r="C224" s="16"/>
      <c r="D224" s="119"/>
      <c r="E224" s="198" t="s">
        <v>514</v>
      </c>
      <c r="F224" s="199" t="s">
        <v>512</v>
      </c>
      <c r="G224" s="200" t="s">
        <v>515</v>
      </c>
      <c r="H224" s="186"/>
      <c r="I224" s="16"/>
      <c r="J224" s="16"/>
      <c r="K224" s="49"/>
      <c r="L224" s="16"/>
      <c r="M224" s="16"/>
      <c r="N224" s="16"/>
      <c r="O224" s="16"/>
      <c r="P224" s="49"/>
      <c r="Q224" s="85"/>
    </row>
    <row r="225" ht="19.5" customHeight="1">
      <c r="A225" s="49"/>
      <c r="B225" s="16"/>
      <c r="C225" s="16"/>
      <c r="D225" s="119"/>
      <c r="E225" s="198" t="s">
        <v>531</v>
      </c>
      <c r="F225" s="199" t="s">
        <v>517</v>
      </c>
      <c r="G225" s="200" t="s">
        <v>518</v>
      </c>
      <c r="H225" s="186"/>
      <c r="I225" s="16"/>
      <c r="J225" s="16"/>
      <c r="K225" s="49"/>
      <c r="L225" s="16"/>
      <c r="M225" s="16"/>
      <c r="N225" s="16"/>
      <c r="O225" s="16"/>
      <c r="P225" s="49"/>
      <c r="Q225" s="85"/>
    </row>
    <row r="226" ht="19.5" customHeight="1">
      <c r="A226" s="49"/>
      <c r="B226" s="16"/>
      <c r="C226" s="16"/>
      <c r="D226" s="119"/>
      <c r="E226" s="198" t="s">
        <v>532</v>
      </c>
      <c r="F226" s="199" t="s">
        <v>501</v>
      </c>
      <c r="G226" s="207" t="s">
        <v>533</v>
      </c>
      <c r="H226" s="186"/>
      <c r="I226" s="16"/>
      <c r="J226" s="16"/>
      <c r="K226" s="49"/>
      <c r="L226" s="16"/>
      <c r="M226" s="16"/>
      <c r="N226" s="16"/>
      <c r="O226" s="16"/>
      <c r="P226" s="49"/>
      <c r="Q226" s="85"/>
    </row>
    <row r="227" ht="19.5" customHeight="1">
      <c r="A227" s="49"/>
      <c r="B227" s="16"/>
      <c r="C227" s="16"/>
      <c r="D227" s="202" t="s">
        <v>538</v>
      </c>
      <c r="E227" s="138"/>
      <c r="F227" s="203"/>
      <c r="G227" s="142"/>
      <c r="H227" s="186"/>
      <c r="I227" s="16"/>
      <c r="J227" s="16"/>
      <c r="K227" s="49"/>
      <c r="L227" s="16"/>
      <c r="M227" s="16"/>
      <c r="N227" s="16"/>
      <c r="O227" s="16"/>
      <c r="P227" s="49"/>
      <c r="Q227" s="85"/>
    </row>
    <row r="228" ht="19.5" customHeight="1">
      <c r="A228" s="49"/>
      <c r="B228" s="16"/>
      <c r="C228" s="16"/>
      <c r="D228" s="119"/>
      <c r="E228" s="198" t="s">
        <v>539</v>
      </c>
      <c r="F228" s="199" t="s">
        <v>501</v>
      </c>
      <c r="G228" s="207" t="s">
        <v>502</v>
      </c>
      <c r="H228" s="186"/>
      <c r="I228" s="16"/>
      <c r="J228" s="16"/>
      <c r="K228" s="49"/>
      <c r="L228" s="16"/>
      <c r="M228" s="16"/>
      <c r="N228" s="16"/>
      <c r="O228" s="16"/>
      <c r="P228" s="49"/>
      <c r="Q228" s="85"/>
    </row>
    <row r="229" ht="19.5" customHeight="1">
      <c r="A229" s="49"/>
      <c r="B229" s="16"/>
      <c r="C229" s="16"/>
      <c r="D229" s="119"/>
      <c r="E229" s="198" t="s">
        <v>540</v>
      </c>
      <c r="F229" s="199" t="s">
        <v>504</v>
      </c>
      <c r="G229" s="207" t="s">
        <v>541</v>
      </c>
      <c r="H229" s="186"/>
      <c r="I229" s="16"/>
      <c r="J229" s="16"/>
      <c r="K229" s="49"/>
      <c r="L229" s="16"/>
      <c r="M229" s="16"/>
      <c r="N229" s="16"/>
      <c r="O229" s="16"/>
      <c r="P229" s="49"/>
      <c r="Q229" s="85"/>
    </row>
    <row r="230" ht="19.5" customHeight="1">
      <c r="A230" s="49"/>
      <c r="B230" s="16"/>
      <c r="C230" s="16"/>
      <c r="D230" s="119"/>
      <c r="E230" s="198" t="s">
        <v>542</v>
      </c>
      <c r="F230" s="199" t="s">
        <v>507</v>
      </c>
      <c r="G230" s="207" t="s">
        <v>508</v>
      </c>
      <c r="H230" s="186"/>
      <c r="I230" s="16"/>
      <c r="J230" s="16"/>
      <c r="K230" s="49"/>
      <c r="L230" s="16"/>
      <c r="M230" s="16"/>
      <c r="N230" s="16"/>
      <c r="O230" s="16"/>
      <c r="P230" s="49"/>
      <c r="Q230" s="85"/>
    </row>
    <row r="231" ht="19.5" customHeight="1">
      <c r="A231" s="49"/>
      <c r="B231" s="16"/>
      <c r="C231" s="16"/>
      <c r="D231" s="119"/>
      <c r="E231" s="198" t="s">
        <v>509</v>
      </c>
      <c r="F231" s="199" t="s">
        <v>507</v>
      </c>
      <c r="G231" s="207" t="s">
        <v>510</v>
      </c>
      <c r="H231" s="186"/>
      <c r="I231" s="16"/>
      <c r="J231" s="16"/>
      <c r="K231" s="49"/>
      <c r="L231" s="16"/>
      <c r="M231" s="16"/>
      <c r="N231" s="16"/>
      <c r="O231" s="16"/>
      <c r="P231" s="49"/>
      <c r="Q231" s="85"/>
    </row>
    <row r="232" ht="19.5" customHeight="1">
      <c r="A232" s="49"/>
      <c r="B232" s="16"/>
      <c r="C232" s="16"/>
      <c r="D232" s="119"/>
      <c r="E232" s="198" t="s">
        <v>530</v>
      </c>
      <c r="F232" s="199" t="s">
        <v>512</v>
      </c>
      <c r="G232" s="200" t="s">
        <v>513</v>
      </c>
      <c r="H232" s="186"/>
      <c r="I232" s="16"/>
      <c r="J232" s="16"/>
      <c r="K232" s="49"/>
      <c r="L232" s="16"/>
      <c r="M232" s="16"/>
      <c r="N232" s="16"/>
      <c r="O232" s="16"/>
      <c r="P232" s="49"/>
      <c r="Q232" s="85"/>
    </row>
    <row r="233" ht="19.5" customHeight="1">
      <c r="A233" s="49"/>
      <c r="B233" s="16"/>
      <c r="C233" s="16"/>
      <c r="D233" s="119"/>
      <c r="E233" s="198" t="s">
        <v>514</v>
      </c>
      <c r="F233" s="199" t="s">
        <v>512</v>
      </c>
      <c r="G233" s="200" t="s">
        <v>543</v>
      </c>
      <c r="H233" s="186"/>
      <c r="I233" s="16"/>
      <c r="J233" s="16"/>
      <c r="K233" s="49"/>
      <c r="L233" s="16"/>
      <c r="M233" s="16"/>
      <c r="N233" s="16"/>
      <c r="O233" s="16"/>
      <c r="P233" s="49"/>
      <c r="Q233" s="85"/>
    </row>
    <row r="234" ht="19.5" customHeight="1">
      <c r="A234" s="49"/>
      <c r="B234" s="16"/>
      <c r="C234" s="16"/>
      <c r="D234" s="119"/>
      <c r="E234" s="198" t="s">
        <v>531</v>
      </c>
      <c r="F234" s="199" t="s">
        <v>517</v>
      </c>
      <c r="G234" s="209" t="s">
        <v>518</v>
      </c>
      <c r="H234" s="186"/>
      <c r="I234" s="16"/>
      <c r="J234" s="16"/>
      <c r="K234" s="49"/>
      <c r="L234" s="16"/>
      <c r="M234" s="16"/>
      <c r="N234" s="16"/>
      <c r="O234" s="16"/>
      <c r="P234" s="49"/>
      <c r="Q234" s="85"/>
    </row>
    <row r="235" ht="19.5" customHeight="1">
      <c r="A235" s="49"/>
      <c r="B235" s="16"/>
      <c r="C235" s="16"/>
      <c r="D235" s="119"/>
      <c r="E235" s="198" t="s">
        <v>532</v>
      </c>
      <c r="F235" s="210" t="s">
        <v>501</v>
      </c>
      <c r="G235" s="207" t="s">
        <v>533</v>
      </c>
      <c r="H235" s="186"/>
      <c r="I235" s="16"/>
      <c r="J235" s="16"/>
      <c r="K235" s="49"/>
      <c r="L235" s="16"/>
      <c r="M235" s="16"/>
      <c r="N235" s="16"/>
      <c r="O235" s="16"/>
      <c r="P235" s="49"/>
      <c r="Q235" s="85"/>
    </row>
    <row r="236" ht="19.5" customHeight="1">
      <c r="A236" s="49"/>
      <c r="B236" s="16"/>
      <c r="C236" s="16"/>
      <c r="D236" s="102" t="s">
        <v>544</v>
      </c>
      <c r="E236" s="138"/>
      <c r="F236" s="211"/>
      <c r="G236" s="138"/>
      <c r="H236" s="186"/>
      <c r="I236" s="16"/>
      <c r="J236" s="16"/>
      <c r="K236" s="49"/>
      <c r="L236" s="16"/>
      <c r="M236" s="16"/>
      <c r="N236" s="16"/>
      <c r="O236" s="16"/>
      <c r="P236" s="49"/>
      <c r="Q236" s="85"/>
    </row>
    <row r="237" ht="19.5" customHeight="1">
      <c r="A237" s="49"/>
      <c r="B237" s="16"/>
      <c r="C237" s="16"/>
      <c r="D237" s="119"/>
      <c r="E237" s="63" t="s">
        <v>545</v>
      </c>
      <c r="F237" s="199" t="s">
        <v>501</v>
      </c>
      <c r="G237" s="207" t="s">
        <v>502</v>
      </c>
      <c r="H237" s="186"/>
      <c r="I237" s="16"/>
      <c r="J237" s="16"/>
      <c r="K237" s="49"/>
      <c r="L237" s="16"/>
      <c r="M237" s="16"/>
      <c r="N237" s="16"/>
      <c r="O237" s="16"/>
      <c r="P237" s="49"/>
      <c r="Q237" s="85"/>
    </row>
    <row r="238" ht="19.5" customHeight="1">
      <c r="A238" s="49"/>
      <c r="B238" s="16"/>
      <c r="C238" s="16"/>
      <c r="D238" s="119"/>
      <c r="E238" s="63" t="s">
        <v>546</v>
      </c>
      <c r="F238" s="199" t="s">
        <v>507</v>
      </c>
      <c r="G238" s="207" t="s">
        <v>508</v>
      </c>
      <c r="H238" s="186"/>
      <c r="I238" s="16"/>
      <c r="J238" s="16"/>
      <c r="K238" s="49"/>
      <c r="L238" s="16"/>
      <c r="M238" s="16"/>
      <c r="N238" s="16"/>
      <c r="O238" s="16"/>
      <c r="P238" s="49"/>
      <c r="Q238" s="85"/>
    </row>
    <row r="239" ht="19.5" customHeight="1">
      <c r="A239" s="49"/>
      <c r="B239" s="16"/>
      <c r="C239" s="16"/>
      <c r="D239" s="119"/>
      <c r="E239" s="198" t="s">
        <v>530</v>
      </c>
      <c r="F239" s="199" t="s">
        <v>512</v>
      </c>
      <c r="G239" s="200" t="s">
        <v>513</v>
      </c>
      <c r="H239" s="186"/>
      <c r="I239" s="16"/>
      <c r="J239" s="16"/>
      <c r="K239" s="49"/>
      <c r="L239" s="16"/>
      <c r="M239" s="16"/>
      <c r="N239" s="16"/>
      <c r="O239" s="16"/>
      <c r="P239" s="49"/>
      <c r="Q239" s="85"/>
    </row>
    <row r="240" ht="19.5" customHeight="1">
      <c r="A240" s="49"/>
      <c r="B240" s="16"/>
      <c r="C240" s="16"/>
      <c r="D240" s="102"/>
      <c r="E240" s="198" t="s">
        <v>514</v>
      </c>
      <c r="F240" s="199" t="s">
        <v>512</v>
      </c>
      <c r="G240" s="200" t="s">
        <v>543</v>
      </c>
      <c r="H240" s="186"/>
      <c r="I240" s="16"/>
      <c r="J240" s="16"/>
      <c r="K240" s="49"/>
      <c r="L240" s="16"/>
      <c r="M240" s="16"/>
      <c r="N240" s="16"/>
      <c r="O240" s="16"/>
      <c r="P240" s="49"/>
      <c r="Q240" s="85"/>
    </row>
    <row r="241" ht="19.5" customHeight="1">
      <c r="A241" s="49"/>
      <c r="B241" s="16"/>
      <c r="C241" s="16"/>
      <c r="D241" s="102"/>
      <c r="E241" s="198" t="s">
        <v>532</v>
      </c>
      <c r="F241" s="210" t="s">
        <v>501</v>
      </c>
      <c r="G241" s="207" t="s">
        <v>533</v>
      </c>
      <c r="H241" s="186"/>
      <c r="I241" s="16"/>
      <c r="J241" s="16"/>
      <c r="K241" s="49"/>
      <c r="L241" s="16"/>
      <c r="M241" s="16"/>
      <c r="N241" s="16"/>
      <c r="O241" s="16"/>
      <c r="P241" s="49"/>
      <c r="Q241" s="85"/>
    </row>
    <row r="242" ht="19.5" customHeight="1">
      <c r="A242" s="49"/>
      <c r="B242" s="16"/>
      <c r="C242" s="16"/>
      <c r="D242" s="102" t="s">
        <v>547</v>
      </c>
      <c r="E242" s="138"/>
      <c r="F242" s="211"/>
      <c r="G242" s="138"/>
      <c r="H242" s="186"/>
      <c r="I242" s="16"/>
      <c r="J242" s="16"/>
      <c r="K242" s="49"/>
      <c r="L242" s="16"/>
      <c r="M242" s="16"/>
      <c r="N242" s="16"/>
      <c r="O242" s="16"/>
      <c r="P242" s="49"/>
      <c r="Q242" s="85"/>
    </row>
    <row r="243" ht="19.5" customHeight="1">
      <c r="A243" s="49"/>
      <c r="B243" s="16"/>
      <c r="C243" s="16"/>
      <c r="D243" s="119"/>
      <c r="E243" s="63" t="s">
        <v>548</v>
      </c>
      <c r="F243" s="204" t="s">
        <v>504</v>
      </c>
      <c r="G243" s="207" t="s">
        <v>526</v>
      </c>
      <c r="H243" s="186"/>
      <c r="I243" s="16"/>
      <c r="J243" s="16"/>
      <c r="K243" s="49"/>
      <c r="L243" s="16"/>
      <c r="M243" s="16"/>
      <c r="N243" s="16"/>
      <c r="O243" s="16"/>
      <c r="P243" s="49"/>
      <c r="Q243" s="85"/>
    </row>
    <row r="244" ht="19.5" customHeight="1">
      <c r="A244" s="13"/>
      <c r="B244" s="16"/>
      <c r="C244" s="16"/>
      <c r="D244" s="119"/>
      <c r="E244" s="63" t="s">
        <v>549</v>
      </c>
      <c r="F244" s="211" t="s">
        <v>501</v>
      </c>
      <c r="G244" s="63" t="s">
        <v>533</v>
      </c>
      <c r="H244" s="186"/>
      <c r="I244" s="16"/>
      <c r="J244" s="16"/>
      <c r="K244" s="13"/>
      <c r="L244" s="16"/>
      <c r="M244" s="16"/>
      <c r="N244" s="16"/>
      <c r="O244" s="16"/>
      <c r="P244" s="13"/>
      <c r="Q244" s="85"/>
    </row>
    <row r="245" ht="48.0" customHeight="1">
      <c r="A245" s="18">
        <f t="shared" ref="A245:A246" si="12">IF(ISBLANK(B245),"",COUNTA($B$4:B245))</f>
        <v>51</v>
      </c>
      <c r="B245" s="37" t="s">
        <v>550</v>
      </c>
      <c r="C245" s="20">
        <v>45704.0</v>
      </c>
      <c r="D245" s="212" t="s">
        <v>551</v>
      </c>
      <c r="E245" s="82"/>
      <c r="F245" s="107" t="s">
        <v>552</v>
      </c>
      <c r="G245" s="107" t="s">
        <v>553</v>
      </c>
      <c r="H245" s="81"/>
      <c r="I245" s="30"/>
      <c r="J245" s="158">
        <v>45769.0</v>
      </c>
      <c r="K245" s="27" t="s">
        <v>20</v>
      </c>
      <c r="L245" s="35" t="s">
        <v>554</v>
      </c>
      <c r="M245" s="82"/>
      <c r="N245" s="83"/>
      <c r="O245" s="83"/>
      <c r="P245" s="22"/>
      <c r="Q245" s="85"/>
    </row>
    <row r="246" ht="19.5" customHeight="1">
      <c r="A246" s="36">
        <f t="shared" si="12"/>
        <v>52</v>
      </c>
      <c r="B246" s="91" t="s">
        <v>555</v>
      </c>
      <c r="C246" s="213">
        <v>45706.0</v>
      </c>
      <c r="D246" s="102" t="s">
        <v>556</v>
      </c>
      <c r="E246" s="138"/>
      <c r="F246" s="214"/>
      <c r="G246" s="117"/>
      <c r="H246" s="186"/>
      <c r="I246" s="92"/>
      <c r="J246" s="48">
        <v>45690.0</v>
      </c>
      <c r="K246" s="44" t="s">
        <v>20</v>
      </c>
      <c r="L246" s="46" t="s">
        <v>557</v>
      </c>
      <c r="M246" s="72" t="s">
        <v>558</v>
      </c>
      <c r="N246" s="188" t="s">
        <v>22</v>
      </c>
      <c r="O246" s="24"/>
      <c r="P246" s="92"/>
      <c r="Q246" s="85"/>
    </row>
    <row r="247" ht="19.5" customHeight="1">
      <c r="A247" s="49"/>
      <c r="B247" s="49"/>
      <c r="C247" s="49"/>
      <c r="D247" s="119"/>
      <c r="E247" s="63" t="s">
        <v>559</v>
      </c>
      <c r="F247" s="203"/>
      <c r="G247" s="132" t="s">
        <v>560</v>
      </c>
      <c r="H247" s="186"/>
      <c r="I247" s="49"/>
      <c r="J247" s="49"/>
      <c r="K247" s="49"/>
      <c r="L247" s="49"/>
      <c r="M247" s="17"/>
      <c r="N247" s="17"/>
      <c r="O247" s="17"/>
      <c r="P247" s="49"/>
      <c r="Q247" s="85"/>
    </row>
    <row r="248" ht="19.5" customHeight="1">
      <c r="A248" s="49"/>
      <c r="B248" s="49"/>
      <c r="C248" s="49"/>
      <c r="D248" s="119"/>
      <c r="E248" s="63" t="s">
        <v>561</v>
      </c>
      <c r="F248" s="203"/>
      <c r="G248" s="132" t="s">
        <v>562</v>
      </c>
      <c r="H248" s="186"/>
      <c r="I248" s="49"/>
      <c r="J248" s="49"/>
      <c r="K248" s="49"/>
      <c r="L248" s="49"/>
      <c r="M248" s="17"/>
      <c r="N248" s="17"/>
      <c r="O248" s="17"/>
      <c r="P248" s="49"/>
      <c r="Q248" s="85"/>
    </row>
    <row r="249" ht="19.5" customHeight="1">
      <c r="A249" s="13"/>
      <c r="B249" s="13"/>
      <c r="C249" s="13"/>
      <c r="D249" s="123"/>
      <c r="E249" s="65" t="s">
        <v>563</v>
      </c>
      <c r="F249" s="215"/>
      <c r="G249" s="140" t="s">
        <v>564</v>
      </c>
      <c r="H249" s="186"/>
      <c r="I249" s="13"/>
      <c r="J249" s="13"/>
      <c r="K249" s="13"/>
      <c r="L249" s="13"/>
      <c r="M249" s="15"/>
      <c r="N249" s="15"/>
      <c r="O249" s="15"/>
      <c r="P249" s="13"/>
      <c r="Q249" s="85"/>
    </row>
    <row r="250" ht="19.5" customHeight="1">
      <c r="A250" s="36">
        <f>IF(ISBLANK(B250),"",COUNTA($B$4:B250))</f>
        <v>53</v>
      </c>
      <c r="B250" s="37" t="s">
        <v>565</v>
      </c>
      <c r="C250" s="20">
        <v>45706.0</v>
      </c>
      <c r="D250" s="38" t="s">
        <v>566</v>
      </c>
      <c r="E250" s="115"/>
      <c r="F250" s="214"/>
      <c r="G250" s="117"/>
      <c r="H250" s="186"/>
      <c r="I250" s="42"/>
      <c r="J250" s="160">
        <v>45690.0</v>
      </c>
      <c r="K250" s="44" t="s">
        <v>20</v>
      </c>
      <c r="L250" s="45" t="s">
        <v>567</v>
      </c>
      <c r="M250" s="46" t="s">
        <v>568</v>
      </c>
      <c r="N250" s="188" t="s">
        <v>22</v>
      </c>
      <c r="O250" s="24"/>
      <c r="P250" s="216"/>
      <c r="Q250" s="85"/>
    </row>
    <row r="251" ht="19.5" customHeight="1">
      <c r="A251" s="49"/>
      <c r="B251" s="16"/>
      <c r="C251" s="16"/>
      <c r="D251" s="119"/>
      <c r="E251" s="63" t="s">
        <v>569</v>
      </c>
      <c r="F251" s="203"/>
      <c r="G251" s="132" t="s">
        <v>570</v>
      </c>
      <c r="H251" s="186"/>
      <c r="I251" s="16"/>
      <c r="J251" s="16"/>
      <c r="K251" s="49"/>
      <c r="L251" s="16"/>
      <c r="M251" s="49"/>
      <c r="N251" s="17"/>
      <c r="O251" s="17"/>
      <c r="P251" s="49"/>
      <c r="Q251" s="85"/>
    </row>
    <row r="252" ht="19.5" customHeight="1">
      <c r="A252" s="13"/>
      <c r="B252" s="16"/>
      <c r="C252" s="16"/>
      <c r="D252" s="123"/>
      <c r="E252" s="65" t="s">
        <v>571</v>
      </c>
      <c r="F252" s="215"/>
      <c r="G252" s="140" t="s">
        <v>572</v>
      </c>
      <c r="H252" s="186"/>
      <c r="I252" s="16"/>
      <c r="J252" s="16"/>
      <c r="K252" s="13"/>
      <c r="L252" s="16"/>
      <c r="M252" s="13"/>
      <c r="N252" s="15"/>
      <c r="O252" s="15"/>
      <c r="P252" s="13"/>
      <c r="Q252" s="85"/>
    </row>
    <row r="253" ht="19.5" customHeight="1">
      <c r="A253" s="18">
        <f t="shared" ref="A253:A256" si="13">IF(ISBLANK(B253),"",COUNTA($B$4:B253))</f>
        <v>54</v>
      </c>
      <c r="B253" s="37" t="s">
        <v>573</v>
      </c>
      <c r="C253" s="20">
        <v>45706.0</v>
      </c>
      <c r="D253" s="78" t="s">
        <v>574</v>
      </c>
      <c r="E253" s="79"/>
      <c r="F253" s="195" t="s">
        <v>575</v>
      </c>
      <c r="G253" s="80" t="s">
        <v>576</v>
      </c>
      <c r="H253" s="81"/>
      <c r="I253" s="30"/>
      <c r="J253" s="32">
        <v>45690.0</v>
      </c>
      <c r="K253" s="27" t="s">
        <v>20</v>
      </c>
      <c r="L253" s="35" t="s">
        <v>577</v>
      </c>
      <c r="M253" s="217" t="s">
        <v>22</v>
      </c>
      <c r="N253" s="218" t="s">
        <v>22</v>
      </c>
      <c r="O253" s="34"/>
      <c r="P253" s="108"/>
      <c r="Q253" s="85"/>
    </row>
    <row r="254" ht="19.5" customHeight="1">
      <c r="A254" s="18">
        <f t="shared" si="13"/>
        <v>55</v>
      </c>
      <c r="B254" s="37" t="s">
        <v>578</v>
      </c>
      <c r="C254" s="20">
        <v>45706.0</v>
      </c>
      <c r="D254" s="78" t="s">
        <v>579</v>
      </c>
      <c r="E254" s="79"/>
      <c r="F254" s="195" t="s">
        <v>580</v>
      </c>
      <c r="G254" s="80" t="s">
        <v>142</v>
      </c>
      <c r="H254" s="81"/>
      <c r="I254" s="30"/>
      <c r="J254" s="32">
        <v>45690.0</v>
      </c>
      <c r="K254" s="27" t="s">
        <v>20</v>
      </c>
      <c r="L254" s="35" t="s">
        <v>581</v>
      </c>
      <c r="M254" s="35" t="s">
        <v>377</v>
      </c>
      <c r="N254" s="83"/>
      <c r="O254" s="83"/>
      <c r="P254" s="108"/>
      <c r="Q254" s="85"/>
    </row>
    <row r="255" ht="19.5" customHeight="1">
      <c r="A255" s="18">
        <f t="shared" si="13"/>
        <v>56</v>
      </c>
      <c r="B255" s="37" t="s">
        <v>582</v>
      </c>
      <c r="C255" s="20">
        <v>45706.0</v>
      </c>
      <c r="D255" s="21" t="s">
        <v>583</v>
      </c>
      <c r="E255" s="82"/>
      <c r="F255" s="53" t="s">
        <v>584</v>
      </c>
      <c r="G255" s="80" t="s">
        <v>585</v>
      </c>
      <c r="H255" s="81"/>
      <c r="I255" s="30"/>
      <c r="J255" s="32">
        <v>45786.0</v>
      </c>
      <c r="K255" s="27" t="s">
        <v>20</v>
      </c>
      <c r="L255" s="35" t="s">
        <v>586</v>
      </c>
      <c r="M255" s="82"/>
      <c r="N255" s="83"/>
      <c r="O255" s="83"/>
      <c r="P255" s="22"/>
      <c r="Q255" s="85"/>
    </row>
    <row r="256" ht="19.5" customHeight="1">
      <c r="A256" s="36">
        <f t="shared" si="13"/>
        <v>57</v>
      </c>
      <c r="B256" s="37" t="s">
        <v>587</v>
      </c>
      <c r="C256" s="20">
        <v>45706.0</v>
      </c>
      <c r="D256" s="38" t="s">
        <v>588</v>
      </c>
      <c r="E256" s="115"/>
      <c r="F256" s="214"/>
      <c r="G256" s="117"/>
      <c r="H256" s="186"/>
      <c r="I256" s="42"/>
      <c r="J256" s="48">
        <v>45690.0</v>
      </c>
      <c r="K256" s="44" t="s">
        <v>20</v>
      </c>
      <c r="L256" s="45" t="s">
        <v>589</v>
      </c>
      <c r="M256" s="171"/>
      <c r="N256" s="42"/>
      <c r="O256" s="42"/>
      <c r="P256" s="216"/>
      <c r="Q256" s="85"/>
    </row>
    <row r="257" ht="19.5" customHeight="1">
      <c r="A257" s="49"/>
      <c r="B257" s="16"/>
      <c r="C257" s="16"/>
      <c r="D257" s="119"/>
      <c r="E257" s="63" t="s">
        <v>590</v>
      </c>
      <c r="F257" s="203" t="s">
        <v>591</v>
      </c>
      <c r="G257" s="132" t="s">
        <v>592</v>
      </c>
      <c r="H257" s="186"/>
      <c r="I257" s="16"/>
      <c r="J257" s="49"/>
      <c r="K257" s="49"/>
      <c r="L257" s="16"/>
      <c r="M257" s="16"/>
      <c r="N257" s="16"/>
      <c r="O257" s="16"/>
      <c r="P257" s="49"/>
      <c r="Q257" s="85"/>
    </row>
    <row r="258" ht="19.5" customHeight="1">
      <c r="A258" s="13"/>
      <c r="B258" s="16"/>
      <c r="C258" s="16"/>
      <c r="D258" s="119"/>
      <c r="E258" s="63" t="s">
        <v>593</v>
      </c>
      <c r="F258" s="203" t="s">
        <v>591</v>
      </c>
      <c r="G258" s="132" t="s">
        <v>592</v>
      </c>
      <c r="H258" s="186"/>
      <c r="I258" s="16"/>
      <c r="J258" s="13"/>
      <c r="K258" s="13"/>
      <c r="L258" s="16"/>
      <c r="M258" s="16"/>
      <c r="N258" s="16"/>
      <c r="O258" s="16"/>
      <c r="P258" s="13"/>
      <c r="Q258" s="85"/>
    </row>
    <row r="259" ht="19.5" customHeight="1">
      <c r="A259" s="36">
        <f>IF(ISBLANK(B259),"",COUNTA($B$4:B259))</f>
        <v>58</v>
      </c>
      <c r="B259" s="37" t="s">
        <v>594</v>
      </c>
      <c r="C259" s="20">
        <v>45706.0</v>
      </c>
      <c r="D259" s="38" t="s">
        <v>595</v>
      </c>
      <c r="E259" s="115"/>
      <c r="F259" s="214"/>
      <c r="G259" s="117"/>
      <c r="H259" s="186"/>
      <c r="I259" s="92"/>
      <c r="J259" s="48">
        <v>45690.0</v>
      </c>
      <c r="K259" s="44" t="s">
        <v>20</v>
      </c>
      <c r="L259" s="46" t="s">
        <v>596</v>
      </c>
      <c r="M259" s="46" t="s">
        <v>597</v>
      </c>
      <c r="N259" s="91" t="s">
        <v>260</v>
      </c>
      <c r="O259" s="91"/>
      <c r="P259" s="92"/>
      <c r="Q259" s="85"/>
    </row>
    <row r="260" ht="19.5" customHeight="1">
      <c r="A260" s="49"/>
      <c r="B260" s="16"/>
      <c r="C260" s="16"/>
      <c r="D260" s="119"/>
      <c r="E260" s="198" t="s">
        <v>598</v>
      </c>
      <c r="F260" s="199" t="s">
        <v>599</v>
      </c>
      <c r="G260" s="219" t="s">
        <v>600</v>
      </c>
      <c r="H260" s="186"/>
      <c r="I260" s="49"/>
      <c r="J260" s="49"/>
      <c r="K260" s="49"/>
      <c r="L260" s="49"/>
      <c r="M260" s="49"/>
      <c r="N260" s="49"/>
      <c r="O260" s="49"/>
      <c r="P260" s="49"/>
      <c r="Q260" s="85"/>
    </row>
    <row r="261" ht="19.5" customHeight="1">
      <c r="A261" s="49"/>
      <c r="B261" s="16"/>
      <c r="C261" s="16"/>
      <c r="D261" s="119"/>
      <c r="E261" s="220" t="s">
        <v>601</v>
      </c>
      <c r="F261" s="199" t="s">
        <v>602</v>
      </c>
      <c r="G261" s="219" t="s">
        <v>600</v>
      </c>
      <c r="H261" s="186"/>
      <c r="I261" s="49"/>
      <c r="J261" s="49"/>
      <c r="K261" s="49"/>
      <c r="L261" s="49"/>
      <c r="M261" s="49"/>
      <c r="N261" s="49"/>
      <c r="O261" s="49"/>
      <c r="P261" s="49"/>
      <c r="Q261" s="85"/>
    </row>
    <row r="262" ht="19.5" customHeight="1">
      <c r="A262" s="49"/>
      <c r="B262" s="16"/>
      <c r="C262" s="16"/>
      <c r="D262" s="119"/>
      <c r="E262" s="198" t="s">
        <v>603</v>
      </c>
      <c r="F262" s="199" t="s">
        <v>604</v>
      </c>
      <c r="G262" s="219" t="s">
        <v>600</v>
      </c>
      <c r="H262" s="186"/>
      <c r="I262" s="49"/>
      <c r="J262" s="49"/>
      <c r="K262" s="49"/>
      <c r="L262" s="49"/>
      <c r="M262" s="49"/>
      <c r="N262" s="49"/>
      <c r="O262" s="49"/>
      <c r="P262" s="49"/>
      <c r="Q262" s="85"/>
    </row>
    <row r="263" ht="19.5" customHeight="1">
      <c r="A263" s="49"/>
      <c r="B263" s="16"/>
      <c r="C263" s="16"/>
      <c r="D263" s="119"/>
      <c r="E263" s="198" t="s">
        <v>605</v>
      </c>
      <c r="F263" s="199" t="s">
        <v>606</v>
      </c>
      <c r="G263" s="219" t="s">
        <v>600</v>
      </c>
      <c r="H263" s="186"/>
      <c r="I263" s="49"/>
      <c r="J263" s="49"/>
      <c r="K263" s="49"/>
      <c r="L263" s="49"/>
      <c r="M263" s="49"/>
      <c r="N263" s="49"/>
      <c r="O263" s="49"/>
      <c r="P263" s="49"/>
      <c r="Q263" s="85"/>
    </row>
    <row r="264" ht="19.5" customHeight="1">
      <c r="A264" s="49"/>
      <c r="B264" s="16"/>
      <c r="C264" s="16"/>
      <c r="D264" s="119"/>
      <c r="E264" s="198" t="s">
        <v>607</v>
      </c>
      <c r="F264" s="199" t="s">
        <v>608</v>
      </c>
      <c r="G264" s="219" t="s">
        <v>600</v>
      </c>
      <c r="H264" s="186"/>
      <c r="I264" s="49"/>
      <c r="J264" s="49"/>
      <c r="K264" s="49"/>
      <c r="L264" s="49"/>
      <c r="M264" s="49"/>
      <c r="N264" s="49"/>
      <c r="O264" s="49"/>
      <c r="P264" s="49"/>
      <c r="Q264" s="85"/>
    </row>
    <row r="265" ht="19.5" customHeight="1">
      <c r="A265" s="49"/>
      <c r="B265" s="16"/>
      <c r="C265" s="16"/>
      <c r="D265" s="119"/>
      <c r="E265" s="183" t="s">
        <v>609</v>
      </c>
      <c r="F265" s="199" t="s">
        <v>610</v>
      </c>
      <c r="G265" s="219" t="s">
        <v>600</v>
      </c>
      <c r="H265" s="186"/>
      <c r="I265" s="49"/>
      <c r="J265" s="49"/>
      <c r="K265" s="49"/>
      <c r="L265" s="49"/>
      <c r="M265" s="49"/>
      <c r="N265" s="49"/>
      <c r="O265" s="49"/>
      <c r="P265" s="49"/>
      <c r="Q265" s="85"/>
    </row>
    <row r="266" ht="19.5" customHeight="1">
      <c r="A266" s="49"/>
      <c r="B266" s="16"/>
      <c r="C266" s="16"/>
      <c r="D266" s="119"/>
      <c r="E266" s="198" t="s">
        <v>611</v>
      </c>
      <c r="F266" s="199" t="s">
        <v>612</v>
      </c>
      <c r="G266" s="219" t="s">
        <v>576</v>
      </c>
      <c r="H266" s="186"/>
      <c r="I266" s="49"/>
      <c r="J266" s="49"/>
      <c r="K266" s="49"/>
      <c r="L266" s="49"/>
      <c r="M266" s="49"/>
      <c r="N266" s="49"/>
      <c r="O266" s="49"/>
      <c r="P266" s="49"/>
      <c r="Q266" s="85"/>
    </row>
    <row r="267" ht="19.5" customHeight="1">
      <c r="A267" s="49"/>
      <c r="B267" s="16"/>
      <c r="C267" s="16"/>
      <c r="D267" s="119"/>
      <c r="E267" s="198" t="s">
        <v>613</v>
      </c>
      <c r="F267" s="199" t="s">
        <v>614</v>
      </c>
      <c r="G267" s="219" t="s">
        <v>600</v>
      </c>
      <c r="H267" s="186"/>
      <c r="I267" s="49"/>
      <c r="J267" s="49"/>
      <c r="K267" s="49"/>
      <c r="L267" s="49"/>
      <c r="M267" s="49"/>
      <c r="N267" s="49"/>
      <c r="O267" s="49"/>
      <c r="P267" s="49"/>
      <c r="Q267" s="85"/>
    </row>
    <row r="268" ht="19.5" customHeight="1">
      <c r="A268" s="49"/>
      <c r="B268" s="16"/>
      <c r="C268" s="16"/>
      <c r="D268" s="119"/>
      <c r="E268" s="198" t="s">
        <v>615</v>
      </c>
      <c r="F268" s="199" t="s">
        <v>616</v>
      </c>
      <c r="G268" s="219" t="s">
        <v>337</v>
      </c>
      <c r="H268" s="186"/>
      <c r="I268" s="49"/>
      <c r="J268" s="49"/>
      <c r="K268" s="49"/>
      <c r="L268" s="49"/>
      <c r="M268" s="49"/>
      <c r="N268" s="49"/>
      <c r="O268" s="49"/>
      <c r="P268" s="49"/>
      <c r="Q268" s="85"/>
    </row>
    <row r="269" ht="19.5" customHeight="1">
      <c r="A269" s="13"/>
      <c r="B269" s="16"/>
      <c r="C269" s="16"/>
      <c r="D269" s="119"/>
      <c r="E269" s="221" t="s">
        <v>617</v>
      </c>
      <c r="F269" s="199" t="s">
        <v>618</v>
      </c>
      <c r="G269" s="219" t="s">
        <v>600</v>
      </c>
      <c r="H269" s="186"/>
      <c r="I269" s="13"/>
      <c r="J269" s="13"/>
      <c r="K269" s="13"/>
      <c r="L269" s="13"/>
      <c r="M269" s="13"/>
      <c r="N269" s="13"/>
      <c r="O269" s="13"/>
      <c r="P269" s="13"/>
      <c r="Q269" s="85"/>
    </row>
    <row r="270" ht="19.5" customHeight="1">
      <c r="A270" s="36">
        <f>IF(ISBLANK(B270),"",COUNTA($B$4:B270))</f>
        <v>59</v>
      </c>
      <c r="B270" s="91" t="s">
        <v>619</v>
      </c>
      <c r="C270" s="213">
        <v>45706.0</v>
      </c>
      <c r="D270" s="38" t="s">
        <v>620</v>
      </c>
      <c r="E270" s="115"/>
      <c r="F270" s="189"/>
      <c r="G270" s="115"/>
      <c r="H270" s="186"/>
      <c r="I270" s="92"/>
      <c r="J270" s="48">
        <v>45690.0</v>
      </c>
      <c r="K270" s="44" t="s">
        <v>20</v>
      </c>
      <c r="L270" s="46" t="s">
        <v>621</v>
      </c>
      <c r="M270" s="46" t="s">
        <v>622</v>
      </c>
      <c r="N270" s="91" t="s">
        <v>260</v>
      </c>
      <c r="O270" s="91"/>
      <c r="P270" s="91"/>
      <c r="Q270" s="85"/>
    </row>
    <row r="271" ht="19.5" customHeight="1">
      <c r="A271" s="49"/>
      <c r="B271" s="49"/>
      <c r="C271" s="49"/>
      <c r="D271" s="119"/>
      <c r="E271" s="63" t="s">
        <v>623</v>
      </c>
      <c r="F271" s="103" t="s">
        <v>624</v>
      </c>
      <c r="G271" s="63" t="s">
        <v>625</v>
      </c>
      <c r="H271" s="186"/>
      <c r="I271" s="49"/>
      <c r="J271" s="49"/>
      <c r="K271" s="49"/>
      <c r="L271" s="49"/>
      <c r="M271" s="49"/>
      <c r="N271" s="49"/>
      <c r="O271" s="49"/>
      <c r="P271" s="49"/>
      <c r="Q271" s="85"/>
    </row>
    <row r="272" ht="19.5" customHeight="1">
      <c r="A272" s="49"/>
      <c r="B272" s="49"/>
      <c r="C272" s="49"/>
      <c r="D272" s="119"/>
      <c r="E272" s="63" t="s">
        <v>626</v>
      </c>
      <c r="F272" s="103" t="s">
        <v>627</v>
      </c>
      <c r="G272" s="63" t="s">
        <v>628</v>
      </c>
      <c r="H272" s="186"/>
      <c r="I272" s="49"/>
      <c r="J272" s="49"/>
      <c r="K272" s="49"/>
      <c r="L272" s="49"/>
      <c r="M272" s="49"/>
      <c r="N272" s="49"/>
      <c r="O272" s="49"/>
      <c r="P272" s="49"/>
      <c r="Q272" s="85"/>
    </row>
    <row r="273" ht="19.5" customHeight="1">
      <c r="A273" s="49"/>
      <c r="B273" s="49"/>
      <c r="C273" s="49"/>
      <c r="D273" s="119"/>
      <c r="E273" s="63" t="s">
        <v>629</v>
      </c>
      <c r="F273" s="103" t="s">
        <v>630</v>
      </c>
      <c r="G273" s="63" t="s">
        <v>631</v>
      </c>
      <c r="H273" s="186"/>
      <c r="I273" s="49"/>
      <c r="J273" s="49"/>
      <c r="K273" s="49"/>
      <c r="L273" s="49"/>
      <c r="M273" s="49"/>
      <c r="N273" s="49"/>
      <c r="O273" s="49"/>
      <c r="P273" s="49"/>
      <c r="Q273" s="85"/>
    </row>
    <row r="274" ht="19.5" customHeight="1">
      <c r="A274" s="49"/>
      <c r="B274" s="49"/>
      <c r="C274" s="49"/>
      <c r="D274" s="119"/>
      <c r="E274" s="63" t="s">
        <v>632</v>
      </c>
      <c r="F274" s="103" t="s">
        <v>633</v>
      </c>
      <c r="G274" s="63" t="s">
        <v>631</v>
      </c>
      <c r="H274" s="186"/>
      <c r="I274" s="49"/>
      <c r="J274" s="49"/>
      <c r="K274" s="49"/>
      <c r="L274" s="49"/>
      <c r="M274" s="49"/>
      <c r="N274" s="49"/>
      <c r="O274" s="49"/>
      <c r="P274" s="49"/>
      <c r="Q274" s="85"/>
    </row>
    <row r="275" ht="19.5" customHeight="1">
      <c r="A275" s="49"/>
      <c r="B275" s="49"/>
      <c r="C275" s="49"/>
      <c r="D275" s="119"/>
      <c r="E275" s="63" t="s">
        <v>634</v>
      </c>
      <c r="F275" s="103" t="s">
        <v>635</v>
      </c>
      <c r="G275" s="63" t="s">
        <v>625</v>
      </c>
      <c r="H275" s="186"/>
      <c r="I275" s="49"/>
      <c r="J275" s="49"/>
      <c r="K275" s="49"/>
      <c r="L275" s="49"/>
      <c r="M275" s="49"/>
      <c r="N275" s="49"/>
      <c r="O275" s="49"/>
      <c r="P275" s="49"/>
      <c r="Q275" s="85"/>
    </row>
    <row r="276" ht="19.5" customHeight="1">
      <c r="A276" s="49"/>
      <c r="B276" s="49"/>
      <c r="C276" s="49"/>
      <c r="D276" s="119"/>
      <c r="E276" s="63" t="s">
        <v>636</v>
      </c>
      <c r="F276" s="103" t="s">
        <v>637</v>
      </c>
      <c r="G276" s="63" t="s">
        <v>625</v>
      </c>
      <c r="H276" s="186"/>
      <c r="I276" s="49"/>
      <c r="J276" s="49"/>
      <c r="K276" s="49"/>
      <c r="L276" s="49"/>
      <c r="M276" s="49"/>
      <c r="N276" s="49"/>
      <c r="O276" s="49"/>
      <c r="P276" s="49"/>
      <c r="Q276" s="85"/>
    </row>
    <row r="277" ht="19.5" customHeight="1">
      <c r="A277" s="13"/>
      <c r="B277" s="13"/>
      <c r="C277" s="13"/>
      <c r="D277" s="119"/>
      <c r="E277" s="63" t="s">
        <v>638</v>
      </c>
      <c r="F277" s="103" t="s">
        <v>639</v>
      </c>
      <c r="G277" s="63" t="s">
        <v>640</v>
      </c>
      <c r="H277" s="186"/>
      <c r="I277" s="13"/>
      <c r="J277" s="13"/>
      <c r="K277" s="13"/>
      <c r="L277" s="13"/>
      <c r="M277" s="13"/>
      <c r="N277" s="13"/>
      <c r="O277" s="13"/>
      <c r="P277" s="13"/>
      <c r="Q277" s="85"/>
    </row>
    <row r="278" ht="19.5" customHeight="1">
      <c r="A278" s="36">
        <f>IF(ISBLANK(B278),"",COUNTA($B$4:B278))</f>
        <v>60</v>
      </c>
      <c r="B278" s="37" t="s">
        <v>641</v>
      </c>
      <c r="C278" s="20">
        <v>45706.0</v>
      </c>
      <c r="D278" s="38" t="s">
        <v>642</v>
      </c>
      <c r="E278" s="115"/>
      <c r="F278" s="116"/>
      <c r="G278" s="117"/>
      <c r="H278" s="186"/>
      <c r="I278" s="42"/>
      <c r="J278" s="160">
        <v>45690.0</v>
      </c>
      <c r="K278" s="44" t="s">
        <v>20</v>
      </c>
      <c r="L278" s="45" t="s">
        <v>643</v>
      </c>
      <c r="M278" s="171"/>
      <c r="N278" s="42"/>
      <c r="O278" s="42"/>
      <c r="P278" s="91" t="s">
        <v>644</v>
      </c>
      <c r="Q278" s="85"/>
    </row>
    <row r="279" ht="19.5" customHeight="1">
      <c r="A279" s="49"/>
      <c r="B279" s="16"/>
      <c r="C279" s="16"/>
      <c r="D279" s="119"/>
      <c r="E279" s="63" t="s">
        <v>645</v>
      </c>
      <c r="F279" s="121"/>
      <c r="G279" s="132" t="s">
        <v>646</v>
      </c>
      <c r="H279" s="186"/>
      <c r="I279" s="16"/>
      <c r="J279" s="16"/>
      <c r="K279" s="49"/>
      <c r="L279" s="16"/>
      <c r="M279" s="16"/>
      <c r="N279" s="16"/>
      <c r="O279" s="16"/>
      <c r="P279" s="49"/>
      <c r="Q279" s="85"/>
    </row>
    <row r="280" ht="19.5" customHeight="1">
      <c r="A280" s="49"/>
      <c r="B280" s="16"/>
      <c r="C280" s="16"/>
      <c r="D280" s="119"/>
      <c r="E280" s="63" t="s">
        <v>647</v>
      </c>
      <c r="F280" s="121"/>
      <c r="G280" s="132" t="s">
        <v>646</v>
      </c>
      <c r="H280" s="186"/>
      <c r="I280" s="16"/>
      <c r="J280" s="16"/>
      <c r="K280" s="49"/>
      <c r="L280" s="16"/>
      <c r="M280" s="16"/>
      <c r="N280" s="16"/>
      <c r="O280" s="16"/>
      <c r="P280" s="49"/>
      <c r="Q280" s="85"/>
    </row>
    <row r="281" ht="19.5" customHeight="1">
      <c r="A281" s="49"/>
      <c r="B281" s="16"/>
      <c r="C281" s="16"/>
      <c r="D281" s="119"/>
      <c r="E281" s="63" t="s">
        <v>648</v>
      </c>
      <c r="F281" s="121"/>
      <c r="G281" s="132" t="s">
        <v>646</v>
      </c>
      <c r="H281" s="186"/>
      <c r="I281" s="16"/>
      <c r="J281" s="16"/>
      <c r="K281" s="49"/>
      <c r="L281" s="16"/>
      <c r="M281" s="16"/>
      <c r="N281" s="16"/>
      <c r="O281" s="16"/>
      <c r="P281" s="49"/>
      <c r="Q281" s="85"/>
    </row>
    <row r="282" ht="19.5" customHeight="1">
      <c r="A282" s="49"/>
      <c r="B282" s="16"/>
      <c r="C282" s="16"/>
      <c r="D282" s="119"/>
      <c r="E282" s="63" t="s">
        <v>649</v>
      </c>
      <c r="F282" s="121"/>
      <c r="G282" s="132" t="s">
        <v>646</v>
      </c>
      <c r="H282" s="186"/>
      <c r="I282" s="16"/>
      <c r="J282" s="16"/>
      <c r="K282" s="49"/>
      <c r="L282" s="16"/>
      <c r="M282" s="16"/>
      <c r="N282" s="16"/>
      <c r="O282" s="16"/>
      <c r="P282" s="49"/>
      <c r="Q282" s="85"/>
    </row>
    <row r="283" ht="19.5" customHeight="1">
      <c r="A283" s="49"/>
      <c r="B283" s="16"/>
      <c r="C283" s="16"/>
      <c r="D283" s="119"/>
      <c r="E283" s="63" t="s">
        <v>650</v>
      </c>
      <c r="F283" s="121"/>
      <c r="G283" s="132"/>
      <c r="H283" s="186"/>
      <c r="I283" s="16"/>
      <c r="J283" s="16"/>
      <c r="K283" s="49"/>
      <c r="L283" s="16"/>
      <c r="M283" s="16"/>
      <c r="N283" s="16"/>
      <c r="O283" s="16"/>
      <c r="P283" s="49"/>
      <c r="Q283" s="85"/>
    </row>
    <row r="284" ht="19.5" customHeight="1">
      <c r="A284" s="49"/>
      <c r="B284" s="16"/>
      <c r="C284" s="16"/>
      <c r="D284" s="119"/>
      <c r="E284" s="63" t="s">
        <v>651</v>
      </c>
      <c r="F284" s="121"/>
      <c r="G284" s="132" t="s">
        <v>646</v>
      </c>
      <c r="H284" s="186"/>
      <c r="I284" s="16"/>
      <c r="J284" s="16"/>
      <c r="K284" s="49"/>
      <c r="L284" s="16"/>
      <c r="M284" s="16"/>
      <c r="N284" s="16"/>
      <c r="O284" s="16"/>
      <c r="P284" s="49"/>
      <c r="Q284" s="85"/>
    </row>
    <row r="285" ht="19.5" customHeight="1">
      <c r="A285" s="49"/>
      <c r="B285" s="16"/>
      <c r="C285" s="16"/>
      <c r="D285" s="119"/>
      <c r="E285" s="63" t="s">
        <v>652</v>
      </c>
      <c r="F285" s="121"/>
      <c r="G285" s="132" t="s">
        <v>646</v>
      </c>
      <c r="H285" s="186"/>
      <c r="I285" s="16"/>
      <c r="J285" s="16"/>
      <c r="K285" s="49"/>
      <c r="L285" s="16"/>
      <c r="M285" s="16"/>
      <c r="N285" s="16"/>
      <c r="O285" s="16"/>
      <c r="P285" s="49"/>
      <c r="Q285" s="85"/>
    </row>
    <row r="286" ht="19.5" customHeight="1">
      <c r="A286" s="13"/>
      <c r="B286" s="16"/>
      <c r="C286" s="16"/>
      <c r="D286" s="123"/>
      <c r="E286" s="65" t="s">
        <v>653</v>
      </c>
      <c r="F286" s="78"/>
      <c r="G286" s="140" t="s">
        <v>646</v>
      </c>
      <c r="H286" s="186"/>
      <c r="I286" s="16"/>
      <c r="J286" s="16"/>
      <c r="K286" s="13"/>
      <c r="L286" s="16"/>
      <c r="M286" s="16"/>
      <c r="N286" s="16"/>
      <c r="O286" s="16"/>
      <c r="P286" s="13"/>
      <c r="Q286" s="85"/>
    </row>
    <row r="287" ht="24.0" customHeight="1">
      <c r="A287" s="18">
        <f t="shared" ref="A287:A292" si="14">IF(ISBLANK(B287),"",COUNTA($B$4:B287))</f>
        <v>61</v>
      </c>
      <c r="B287" s="37" t="s">
        <v>654</v>
      </c>
      <c r="C287" s="20">
        <v>45711.0</v>
      </c>
      <c r="D287" s="78" t="s">
        <v>655</v>
      </c>
      <c r="E287" s="79"/>
      <c r="F287" s="53" t="s">
        <v>656</v>
      </c>
      <c r="G287" s="80" t="s">
        <v>657</v>
      </c>
      <c r="H287" s="81"/>
      <c r="I287" s="30"/>
      <c r="J287" s="32">
        <v>45695.0</v>
      </c>
      <c r="K287" s="27" t="s">
        <v>20</v>
      </c>
      <c r="L287" s="35" t="s">
        <v>658</v>
      </c>
      <c r="M287" s="82"/>
      <c r="N287" s="83"/>
      <c r="O287" s="83"/>
      <c r="P287" s="108"/>
      <c r="Q287" s="85"/>
    </row>
    <row r="288" ht="27.75" customHeight="1">
      <c r="A288" s="18">
        <f t="shared" si="14"/>
        <v>62</v>
      </c>
      <c r="B288" s="37" t="s">
        <v>659</v>
      </c>
      <c r="C288" s="20">
        <v>45711.0</v>
      </c>
      <c r="D288" s="121" t="s">
        <v>660</v>
      </c>
      <c r="E288" s="138"/>
      <c r="F288" s="53" t="s">
        <v>661</v>
      </c>
      <c r="G288" s="80" t="s">
        <v>657</v>
      </c>
      <c r="H288" s="81"/>
      <c r="I288" s="30"/>
      <c r="J288" s="32">
        <v>45695.0</v>
      </c>
      <c r="K288" s="27" t="s">
        <v>20</v>
      </c>
      <c r="L288" s="35" t="s">
        <v>662</v>
      </c>
      <c r="M288" s="82"/>
      <c r="N288" s="83"/>
      <c r="O288" s="83"/>
      <c r="P288" s="108"/>
      <c r="Q288" s="85"/>
    </row>
    <row r="289" ht="19.5" customHeight="1">
      <c r="A289" s="18">
        <f t="shared" si="14"/>
        <v>63</v>
      </c>
      <c r="B289" s="37" t="s">
        <v>663</v>
      </c>
      <c r="C289" s="20">
        <v>45711.0</v>
      </c>
      <c r="D289" s="21" t="s">
        <v>664</v>
      </c>
      <c r="E289" s="82"/>
      <c r="F289" s="21" t="s">
        <v>665</v>
      </c>
      <c r="G289" s="107" t="s">
        <v>666</v>
      </c>
      <c r="H289" s="186"/>
      <c r="I289" s="42"/>
      <c r="J289" s="32">
        <v>45695.0</v>
      </c>
      <c r="K289" s="27" t="s">
        <v>20</v>
      </c>
      <c r="L289" s="45" t="s">
        <v>667</v>
      </c>
      <c r="M289" s="171"/>
      <c r="N289" s="42"/>
      <c r="O289" s="42"/>
      <c r="P289" s="137"/>
      <c r="Q289" s="85"/>
    </row>
    <row r="290" ht="19.5" customHeight="1">
      <c r="A290" s="18">
        <f t="shared" si="14"/>
        <v>64</v>
      </c>
      <c r="B290" s="37" t="s">
        <v>668</v>
      </c>
      <c r="C290" s="20">
        <v>45711.0</v>
      </c>
      <c r="D290" s="78" t="s">
        <v>669</v>
      </c>
      <c r="E290" s="79"/>
      <c r="F290" s="53" t="s">
        <v>670</v>
      </c>
      <c r="G290" s="80" t="s">
        <v>671</v>
      </c>
      <c r="H290" s="81"/>
      <c r="I290" s="30"/>
      <c r="J290" s="32">
        <v>45695.0</v>
      </c>
      <c r="K290" s="27" t="s">
        <v>20</v>
      </c>
      <c r="L290" s="35" t="s">
        <v>672</v>
      </c>
      <c r="M290" s="82"/>
      <c r="N290" s="83"/>
      <c r="O290" s="83"/>
      <c r="P290" s="108"/>
      <c r="Q290" s="85"/>
    </row>
    <row r="291" ht="29.25" customHeight="1">
      <c r="A291" s="18">
        <f t="shared" si="14"/>
        <v>65</v>
      </c>
      <c r="B291" s="37" t="s">
        <v>673</v>
      </c>
      <c r="C291" s="20">
        <v>45711.0</v>
      </c>
      <c r="D291" s="78" t="s">
        <v>674</v>
      </c>
      <c r="E291" s="79"/>
      <c r="F291" s="53" t="s">
        <v>675</v>
      </c>
      <c r="G291" s="80" t="s">
        <v>676</v>
      </c>
      <c r="H291" s="81"/>
      <c r="I291" s="30"/>
      <c r="J291" s="32">
        <v>45695.0</v>
      </c>
      <c r="K291" s="27" t="s">
        <v>20</v>
      </c>
      <c r="L291" s="35" t="s">
        <v>677</v>
      </c>
      <c r="M291" s="82"/>
      <c r="N291" s="34" t="s">
        <v>260</v>
      </c>
      <c r="O291" s="34"/>
      <c r="P291" s="108"/>
      <c r="Q291" s="85"/>
    </row>
    <row r="292" ht="19.5" customHeight="1">
      <c r="A292" s="18">
        <f t="shared" si="14"/>
        <v>66</v>
      </c>
      <c r="B292" s="37" t="s">
        <v>678</v>
      </c>
      <c r="C292" s="20">
        <v>45711.0</v>
      </c>
      <c r="D292" s="121" t="s">
        <v>679</v>
      </c>
      <c r="E292" s="138"/>
      <c r="F292" s="52" t="s">
        <v>680</v>
      </c>
      <c r="G292" s="113" t="s">
        <v>681</v>
      </c>
      <c r="H292" s="81"/>
      <c r="I292" s="30"/>
      <c r="J292" s="32">
        <v>45695.0</v>
      </c>
      <c r="K292" s="27" t="s">
        <v>20</v>
      </c>
      <c r="L292" s="35" t="s">
        <v>682</v>
      </c>
      <c r="M292" s="82"/>
      <c r="N292" s="83"/>
      <c r="O292" s="83"/>
      <c r="P292" s="108"/>
      <c r="Q292" s="85"/>
    </row>
    <row r="293" ht="19.5" customHeight="1">
      <c r="A293" s="222">
        <f t="shared" ref="A293:A294" si="15">IF(ISBLANK(B293),"",COUNTA($B$4:B300))</f>
        <v>70</v>
      </c>
      <c r="B293" s="37" t="s">
        <v>683</v>
      </c>
      <c r="C293" s="20">
        <v>45711.0</v>
      </c>
      <c r="D293" s="116" t="s">
        <v>684</v>
      </c>
      <c r="E293" s="223"/>
      <c r="F293" s="116" t="s">
        <v>685</v>
      </c>
      <c r="G293" s="139" t="s">
        <v>686</v>
      </c>
      <c r="H293" s="186"/>
      <c r="I293" s="30"/>
      <c r="J293" s="32">
        <v>45695.0</v>
      </c>
      <c r="K293" s="27" t="s">
        <v>20</v>
      </c>
      <c r="L293" s="35" t="s">
        <v>687</v>
      </c>
      <c r="M293" s="82"/>
      <c r="N293" s="83"/>
      <c r="O293" s="83"/>
      <c r="P293" s="187"/>
      <c r="Q293" s="85"/>
    </row>
    <row r="294" ht="19.5" customHeight="1">
      <c r="A294" s="222">
        <f t="shared" si="15"/>
        <v>71</v>
      </c>
      <c r="B294" s="37" t="s">
        <v>688</v>
      </c>
      <c r="C294" s="20">
        <v>45711.0</v>
      </c>
      <c r="D294" s="21" t="s">
        <v>689</v>
      </c>
      <c r="E294" s="168"/>
      <c r="F294" s="21" t="s">
        <v>690</v>
      </c>
      <c r="G294" s="107" t="s">
        <v>592</v>
      </c>
      <c r="H294" s="186"/>
      <c r="I294" s="30"/>
      <c r="J294" s="32">
        <v>45695.0</v>
      </c>
      <c r="K294" s="27" t="s">
        <v>20</v>
      </c>
      <c r="L294" s="35" t="s">
        <v>691</v>
      </c>
      <c r="M294" s="82"/>
      <c r="N294" s="83"/>
      <c r="O294" s="83"/>
      <c r="P294" s="224"/>
      <c r="Q294" s="85"/>
    </row>
    <row r="295" ht="19.5" customHeight="1">
      <c r="A295" s="18">
        <f t="shared" ref="A295:A296" si="16">IF(ISBLANK(B295),"",COUNTA($B$4:B295))</f>
        <v>69</v>
      </c>
      <c r="B295" s="37" t="s">
        <v>692</v>
      </c>
      <c r="C295" s="20">
        <v>45718.0</v>
      </c>
      <c r="D295" s="121" t="s">
        <v>693</v>
      </c>
      <c r="E295" s="138"/>
      <c r="F295" s="52"/>
      <c r="G295" s="113" t="s">
        <v>686</v>
      </c>
      <c r="H295" s="81"/>
      <c r="I295" s="30"/>
      <c r="J295" s="32">
        <v>45695.0</v>
      </c>
      <c r="K295" s="27" t="s">
        <v>20</v>
      </c>
      <c r="L295" s="35" t="s">
        <v>694</v>
      </c>
      <c r="M295" s="82"/>
      <c r="N295" s="83"/>
      <c r="O295" s="83"/>
      <c r="P295" s="224"/>
      <c r="Q295" s="85"/>
    </row>
    <row r="296" ht="19.5" customHeight="1">
      <c r="A296" s="36">
        <f t="shared" si="16"/>
        <v>70</v>
      </c>
      <c r="B296" s="37" t="s">
        <v>695</v>
      </c>
      <c r="C296" s="20">
        <v>45718.0</v>
      </c>
      <c r="D296" s="38" t="s">
        <v>696</v>
      </c>
      <c r="E296" s="115"/>
      <c r="F296" s="116"/>
      <c r="G296" s="117"/>
      <c r="H296" s="186"/>
      <c r="I296" s="42"/>
      <c r="J296" s="48">
        <v>45695.0</v>
      </c>
      <c r="K296" s="44" t="s">
        <v>20</v>
      </c>
      <c r="L296" s="45" t="s">
        <v>697</v>
      </c>
      <c r="M296" s="171"/>
      <c r="N296" s="42"/>
      <c r="O296" s="42"/>
      <c r="P296" s="91" t="s">
        <v>698</v>
      </c>
      <c r="Q296" s="85"/>
    </row>
    <row r="297" ht="19.5" customHeight="1">
      <c r="A297" s="49"/>
      <c r="B297" s="16"/>
      <c r="C297" s="16"/>
      <c r="D297" s="119"/>
      <c r="E297" s="63" t="s">
        <v>699</v>
      </c>
      <c r="F297" s="121" t="s">
        <v>700</v>
      </c>
      <c r="G297" s="132" t="s">
        <v>701</v>
      </c>
      <c r="H297" s="186"/>
      <c r="I297" s="16"/>
      <c r="J297" s="49"/>
      <c r="K297" s="49"/>
      <c r="L297" s="16"/>
      <c r="M297" s="16"/>
      <c r="N297" s="16"/>
      <c r="O297" s="16"/>
      <c r="P297" s="49"/>
      <c r="Q297" s="85"/>
    </row>
    <row r="298" ht="19.5" customHeight="1">
      <c r="A298" s="49"/>
      <c r="B298" s="16"/>
      <c r="C298" s="16"/>
      <c r="D298" s="119"/>
      <c r="E298" s="63" t="s">
        <v>702</v>
      </c>
      <c r="F298" s="121" t="s">
        <v>703</v>
      </c>
      <c r="G298" s="132" t="s">
        <v>701</v>
      </c>
      <c r="H298" s="186"/>
      <c r="I298" s="16"/>
      <c r="J298" s="49"/>
      <c r="K298" s="49"/>
      <c r="L298" s="16"/>
      <c r="M298" s="16"/>
      <c r="N298" s="16"/>
      <c r="O298" s="16"/>
      <c r="P298" s="49"/>
      <c r="Q298" s="85"/>
    </row>
    <row r="299" ht="19.5" customHeight="1">
      <c r="A299" s="49"/>
      <c r="B299" s="16"/>
      <c r="C299" s="16"/>
      <c r="D299" s="119"/>
      <c r="E299" s="63" t="s">
        <v>704</v>
      </c>
      <c r="F299" s="121" t="s">
        <v>705</v>
      </c>
      <c r="G299" s="132" t="s">
        <v>701</v>
      </c>
      <c r="H299" s="186"/>
      <c r="I299" s="16"/>
      <c r="J299" s="49"/>
      <c r="K299" s="49"/>
      <c r="L299" s="16"/>
      <c r="M299" s="16"/>
      <c r="N299" s="16"/>
      <c r="O299" s="16"/>
      <c r="P299" s="49"/>
      <c r="Q299" s="85"/>
    </row>
    <row r="300" ht="19.5" customHeight="1">
      <c r="A300" s="13"/>
      <c r="B300" s="16"/>
      <c r="C300" s="16"/>
      <c r="D300" s="123"/>
      <c r="E300" s="65" t="s">
        <v>706</v>
      </c>
      <c r="F300" s="78" t="s">
        <v>707</v>
      </c>
      <c r="G300" s="140" t="s">
        <v>701</v>
      </c>
      <c r="H300" s="186"/>
      <c r="I300" s="16"/>
      <c r="J300" s="13"/>
      <c r="K300" s="13"/>
      <c r="L300" s="16"/>
      <c r="M300" s="16"/>
      <c r="N300" s="16"/>
      <c r="O300" s="16"/>
      <c r="P300" s="13"/>
      <c r="Q300" s="85"/>
    </row>
    <row r="301" ht="19.5" customHeight="1">
      <c r="A301" s="36">
        <f>IF(ISBLANK(B301),"",COUNTA($B$4:B301))</f>
        <v>71</v>
      </c>
      <c r="B301" s="225" t="s">
        <v>708</v>
      </c>
      <c r="C301" s="127">
        <v>45718.0</v>
      </c>
      <c r="D301" s="38" t="s">
        <v>709</v>
      </c>
      <c r="E301" s="115"/>
      <c r="F301" s="116"/>
      <c r="G301" s="139"/>
      <c r="H301" s="186"/>
      <c r="I301" s="42"/>
      <c r="J301" s="48">
        <v>45695.0</v>
      </c>
      <c r="K301" s="44" t="s">
        <v>20</v>
      </c>
      <c r="L301" s="45" t="s">
        <v>710</v>
      </c>
      <c r="M301" s="171"/>
      <c r="N301" s="42"/>
      <c r="O301" s="42"/>
      <c r="P301" s="91"/>
      <c r="Q301" s="85"/>
    </row>
    <row r="302" ht="19.5" customHeight="1">
      <c r="A302" s="49"/>
      <c r="B302" s="16"/>
      <c r="C302" s="16"/>
      <c r="D302" s="119"/>
      <c r="E302" s="198" t="s">
        <v>711</v>
      </c>
      <c r="F302" s="226" t="s">
        <v>712</v>
      </c>
      <c r="G302" s="132" t="s">
        <v>713</v>
      </c>
      <c r="H302" s="186"/>
      <c r="I302" s="16"/>
      <c r="J302" s="49"/>
      <c r="K302" s="49"/>
      <c r="L302" s="16"/>
      <c r="M302" s="16"/>
      <c r="N302" s="16"/>
      <c r="O302" s="16"/>
      <c r="P302" s="49"/>
      <c r="Q302" s="85"/>
    </row>
    <row r="303" ht="19.5" customHeight="1">
      <c r="A303" s="49"/>
      <c r="B303" s="16"/>
      <c r="C303" s="16"/>
      <c r="D303" s="119"/>
      <c r="E303" s="198" t="s">
        <v>714</v>
      </c>
      <c r="F303" s="226" t="s">
        <v>715</v>
      </c>
      <c r="G303" s="132" t="s">
        <v>713</v>
      </c>
      <c r="H303" s="186"/>
      <c r="I303" s="16"/>
      <c r="J303" s="49"/>
      <c r="K303" s="49"/>
      <c r="L303" s="16"/>
      <c r="M303" s="16"/>
      <c r="N303" s="16"/>
      <c r="O303" s="16"/>
      <c r="P303" s="49"/>
      <c r="Q303" s="85"/>
    </row>
    <row r="304" ht="19.5" customHeight="1">
      <c r="A304" s="49"/>
      <c r="B304" s="16"/>
      <c r="C304" s="16"/>
      <c r="D304" s="119"/>
      <c r="E304" s="220" t="s">
        <v>716</v>
      </c>
      <c r="F304" s="226" t="s">
        <v>717</v>
      </c>
      <c r="G304" s="132" t="s">
        <v>713</v>
      </c>
      <c r="H304" s="186"/>
      <c r="I304" s="16"/>
      <c r="J304" s="49"/>
      <c r="K304" s="49"/>
      <c r="L304" s="16"/>
      <c r="M304" s="16"/>
      <c r="N304" s="16"/>
      <c r="O304" s="16"/>
      <c r="P304" s="49"/>
      <c r="Q304" s="85"/>
    </row>
    <row r="305" ht="19.5" customHeight="1">
      <c r="A305" s="49"/>
      <c r="B305" s="16"/>
      <c r="C305" s="16"/>
      <c r="D305" s="119"/>
      <c r="E305" s="220" t="s">
        <v>718</v>
      </c>
      <c r="F305" s="226" t="s">
        <v>602</v>
      </c>
      <c r="G305" s="132" t="s">
        <v>713</v>
      </c>
      <c r="H305" s="186"/>
      <c r="I305" s="16"/>
      <c r="J305" s="49"/>
      <c r="K305" s="49"/>
      <c r="L305" s="16"/>
      <c r="M305" s="16"/>
      <c r="N305" s="16"/>
      <c r="O305" s="16"/>
      <c r="P305" s="49"/>
      <c r="Q305" s="85"/>
    </row>
    <row r="306" ht="19.5" customHeight="1">
      <c r="A306" s="49"/>
      <c r="B306" s="16"/>
      <c r="C306" s="16"/>
      <c r="D306" s="119"/>
      <c r="E306" s="198" t="s">
        <v>719</v>
      </c>
      <c r="F306" s="199" t="s">
        <v>720</v>
      </c>
      <c r="G306" s="132" t="s">
        <v>713</v>
      </c>
      <c r="H306" s="186"/>
      <c r="I306" s="16"/>
      <c r="J306" s="49"/>
      <c r="K306" s="49"/>
      <c r="L306" s="16"/>
      <c r="M306" s="16"/>
      <c r="N306" s="16"/>
      <c r="O306" s="16"/>
      <c r="P306" s="49"/>
      <c r="Q306" s="85"/>
    </row>
    <row r="307" ht="19.5" customHeight="1">
      <c r="A307" s="49"/>
      <c r="B307" s="16"/>
      <c r="C307" s="16"/>
      <c r="D307" s="119"/>
      <c r="E307" s="183" t="s">
        <v>721</v>
      </c>
      <c r="F307" s="204" t="s">
        <v>722</v>
      </c>
      <c r="G307" s="132" t="s">
        <v>713</v>
      </c>
      <c r="H307" s="186"/>
      <c r="I307" s="16"/>
      <c r="J307" s="49"/>
      <c r="K307" s="49"/>
      <c r="L307" s="16"/>
      <c r="M307" s="16"/>
      <c r="N307" s="16"/>
      <c r="O307" s="16"/>
      <c r="P307" s="49"/>
      <c r="Q307" s="85"/>
    </row>
    <row r="308" ht="19.5" customHeight="1">
      <c r="A308" s="49"/>
      <c r="B308" s="16"/>
      <c r="C308" s="16"/>
      <c r="D308" s="119"/>
      <c r="E308" s="198" t="s">
        <v>723</v>
      </c>
      <c r="F308" s="204" t="s">
        <v>724</v>
      </c>
      <c r="G308" s="132" t="s">
        <v>713</v>
      </c>
      <c r="H308" s="186"/>
      <c r="I308" s="16"/>
      <c r="J308" s="49"/>
      <c r="K308" s="49"/>
      <c r="L308" s="16"/>
      <c r="M308" s="16"/>
      <c r="N308" s="16"/>
      <c r="O308" s="16"/>
      <c r="P308" s="49"/>
      <c r="Q308" s="85"/>
    </row>
    <row r="309" ht="19.5" customHeight="1">
      <c r="A309" s="49"/>
      <c r="B309" s="16"/>
      <c r="C309" s="16"/>
      <c r="D309" s="119"/>
      <c r="E309" s="198" t="s">
        <v>725</v>
      </c>
      <c r="F309" s="204" t="s">
        <v>726</v>
      </c>
      <c r="G309" s="132" t="s">
        <v>713</v>
      </c>
      <c r="H309" s="186"/>
      <c r="I309" s="16"/>
      <c r="J309" s="49"/>
      <c r="K309" s="49"/>
      <c r="L309" s="16"/>
      <c r="M309" s="16"/>
      <c r="N309" s="16"/>
      <c r="O309" s="16"/>
      <c r="P309" s="49"/>
      <c r="Q309" s="85"/>
    </row>
    <row r="310" ht="19.5" customHeight="1">
      <c r="A310" s="49"/>
      <c r="B310" s="16"/>
      <c r="C310" s="16"/>
      <c r="D310" s="119"/>
      <c r="E310" s="198" t="s">
        <v>727</v>
      </c>
      <c r="F310" s="204" t="s">
        <v>728</v>
      </c>
      <c r="G310" s="132" t="s">
        <v>713</v>
      </c>
      <c r="H310" s="186"/>
      <c r="I310" s="16"/>
      <c r="J310" s="49"/>
      <c r="K310" s="49"/>
      <c r="L310" s="16"/>
      <c r="M310" s="16"/>
      <c r="N310" s="16"/>
      <c r="O310" s="16"/>
      <c r="P310" s="49"/>
      <c r="Q310" s="85"/>
    </row>
    <row r="311" ht="19.5" customHeight="1">
      <c r="A311" s="49"/>
      <c r="B311" s="16"/>
      <c r="C311" s="16"/>
      <c r="D311" s="119"/>
      <c r="E311" s="198" t="s">
        <v>729</v>
      </c>
      <c r="F311" s="204" t="s">
        <v>730</v>
      </c>
      <c r="G311" s="132" t="s">
        <v>713</v>
      </c>
      <c r="H311" s="186"/>
      <c r="I311" s="16"/>
      <c r="J311" s="49"/>
      <c r="K311" s="49"/>
      <c r="L311" s="16"/>
      <c r="M311" s="16"/>
      <c r="N311" s="16"/>
      <c r="O311" s="16"/>
      <c r="P311" s="49"/>
      <c r="Q311" s="85"/>
    </row>
    <row r="312" ht="19.5" customHeight="1">
      <c r="A312" s="49"/>
      <c r="B312" s="16"/>
      <c r="C312" s="16"/>
      <c r="D312" s="119"/>
      <c r="E312" s="198" t="s">
        <v>731</v>
      </c>
      <c r="F312" s="204" t="s">
        <v>732</v>
      </c>
      <c r="G312" s="132" t="s">
        <v>174</v>
      </c>
      <c r="H312" s="186"/>
      <c r="I312" s="16"/>
      <c r="J312" s="49"/>
      <c r="K312" s="49"/>
      <c r="L312" s="16"/>
      <c r="M312" s="16"/>
      <c r="N312" s="16"/>
      <c r="O312" s="16"/>
      <c r="P312" s="49"/>
      <c r="Q312" s="85"/>
    </row>
    <row r="313" ht="19.5" customHeight="1">
      <c r="A313" s="49"/>
      <c r="B313" s="16"/>
      <c r="C313" s="16"/>
      <c r="D313" s="119"/>
      <c r="E313" s="198" t="s">
        <v>733</v>
      </c>
      <c r="F313" s="121" t="s">
        <v>734</v>
      </c>
      <c r="G313" s="132" t="s">
        <v>713</v>
      </c>
      <c r="H313" s="186"/>
      <c r="I313" s="16"/>
      <c r="J313" s="49"/>
      <c r="K313" s="49"/>
      <c r="L313" s="16"/>
      <c r="M313" s="16"/>
      <c r="N313" s="16"/>
      <c r="O313" s="16"/>
      <c r="P313" s="49"/>
      <c r="Q313" s="85"/>
    </row>
    <row r="314" ht="19.5" customHeight="1">
      <c r="A314" s="13"/>
      <c r="B314" s="16"/>
      <c r="C314" s="16"/>
      <c r="D314" s="119"/>
      <c r="E314" s="198" t="s">
        <v>735</v>
      </c>
      <c r="F314" s="121" t="s">
        <v>736</v>
      </c>
      <c r="G314" s="132" t="s">
        <v>713</v>
      </c>
      <c r="H314" s="186"/>
      <c r="I314" s="16"/>
      <c r="J314" s="13"/>
      <c r="K314" s="13"/>
      <c r="L314" s="16"/>
      <c r="M314" s="16"/>
      <c r="N314" s="16"/>
      <c r="O314" s="16"/>
      <c r="P314" s="13"/>
      <c r="Q314" s="85"/>
    </row>
    <row r="315" ht="19.5" customHeight="1">
      <c r="A315" s="222">
        <f t="shared" ref="A315:A316" si="17">IF(ISBLANK(B315),"",COUNTA($B$4:B315))</f>
        <v>72</v>
      </c>
      <c r="B315" s="227" t="s">
        <v>737</v>
      </c>
      <c r="C315" s="228"/>
      <c r="D315" s="229" t="s">
        <v>738</v>
      </c>
      <c r="E315" s="230"/>
      <c r="F315" s="231" t="s">
        <v>739</v>
      </c>
      <c r="G315" s="232"/>
      <c r="H315" s="81"/>
      <c r="I315" s="30"/>
      <c r="J315" s="85"/>
      <c r="K315" s="27" t="s">
        <v>311</v>
      </c>
      <c r="L315" s="82"/>
      <c r="M315" s="82"/>
      <c r="N315" s="83"/>
      <c r="O315" s="83"/>
      <c r="P315" s="224"/>
      <c r="Q315" s="85"/>
    </row>
    <row r="316" ht="19.5" customHeight="1">
      <c r="A316" s="36">
        <f t="shared" si="17"/>
        <v>73</v>
      </c>
      <c r="B316" s="37" t="s">
        <v>740</v>
      </c>
      <c r="C316" s="20">
        <v>45719.0</v>
      </c>
      <c r="D316" s="38" t="s">
        <v>741</v>
      </c>
      <c r="E316" s="115"/>
      <c r="F316" s="116"/>
      <c r="G316" s="117"/>
      <c r="H316" s="186"/>
      <c r="I316" s="30"/>
      <c r="J316" s="48">
        <v>45703.0</v>
      </c>
      <c r="K316" s="44" t="s">
        <v>20</v>
      </c>
      <c r="L316" s="45" t="s">
        <v>742</v>
      </c>
      <c r="M316" s="42"/>
      <c r="N316" s="197" t="s">
        <v>743</v>
      </c>
      <c r="O316" s="197" t="s">
        <v>744</v>
      </c>
      <c r="P316" s="91"/>
      <c r="Q316" s="85"/>
    </row>
    <row r="317" ht="19.5" customHeight="1">
      <c r="A317" s="49"/>
      <c r="B317" s="16"/>
      <c r="C317" s="16"/>
      <c r="D317" s="119"/>
      <c r="E317" s="63" t="s">
        <v>745</v>
      </c>
      <c r="F317" s="121"/>
      <c r="G317" s="132" t="s">
        <v>746</v>
      </c>
      <c r="H317" s="186"/>
      <c r="I317" s="30"/>
      <c r="J317" s="49"/>
      <c r="K317" s="49"/>
      <c r="L317" s="16"/>
      <c r="M317" s="16"/>
      <c r="N317" s="16"/>
      <c r="O317" s="16"/>
      <c r="P317" s="49"/>
      <c r="Q317" s="85"/>
    </row>
    <row r="318" ht="19.5" customHeight="1">
      <c r="A318" s="49"/>
      <c r="B318" s="16"/>
      <c r="C318" s="16"/>
      <c r="D318" s="119"/>
      <c r="E318" s="63" t="s">
        <v>747</v>
      </c>
      <c r="F318" s="121"/>
      <c r="G318" s="132" t="s">
        <v>337</v>
      </c>
      <c r="H318" s="186"/>
      <c r="I318" s="30"/>
      <c r="J318" s="49"/>
      <c r="K318" s="49"/>
      <c r="L318" s="16"/>
      <c r="M318" s="16"/>
      <c r="N318" s="16"/>
      <c r="O318" s="16"/>
      <c r="P318" s="49"/>
      <c r="Q318" s="85"/>
    </row>
    <row r="319" ht="19.5" customHeight="1">
      <c r="A319" s="49"/>
      <c r="B319" s="16"/>
      <c r="C319" s="16"/>
      <c r="D319" s="119"/>
      <c r="E319" s="63" t="s">
        <v>748</v>
      </c>
      <c r="F319" s="121"/>
      <c r="G319" s="132" t="s">
        <v>337</v>
      </c>
      <c r="H319" s="186"/>
      <c r="I319" s="30"/>
      <c r="J319" s="49"/>
      <c r="K319" s="49"/>
      <c r="L319" s="16"/>
      <c r="M319" s="16"/>
      <c r="N319" s="16"/>
      <c r="O319" s="16"/>
      <c r="P319" s="49"/>
      <c r="Q319" s="85"/>
    </row>
    <row r="320" ht="19.5" customHeight="1">
      <c r="A320" s="13"/>
      <c r="B320" s="16"/>
      <c r="C320" s="16"/>
      <c r="D320" s="123"/>
      <c r="E320" s="65" t="s">
        <v>749</v>
      </c>
      <c r="F320" s="78"/>
      <c r="G320" s="140" t="s">
        <v>750</v>
      </c>
      <c r="H320" s="186"/>
      <c r="I320" s="30"/>
      <c r="J320" s="13"/>
      <c r="K320" s="13"/>
      <c r="L320" s="16"/>
      <c r="M320" s="16"/>
      <c r="N320" s="16"/>
      <c r="O320" s="16"/>
      <c r="P320" s="13"/>
      <c r="Q320" s="85"/>
    </row>
    <row r="321" ht="35.25" customHeight="1">
      <c r="A321" s="18">
        <f t="shared" ref="A321:A322" si="18">IF(ISBLANK(B321),"",COUNTA($B$4:B321))</f>
        <v>74</v>
      </c>
      <c r="B321" s="37" t="s">
        <v>751</v>
      </c>
      <c r="C321" s="20">
        <v>45719.0</v>
      </c>
      <c r="D321" s="121" t="s">
        <v>752</v>
      </c>
      <c r="E321" s="138"/>
      <c r="F321" s="157" t="s">
        <v>753</v>
      </c>
      <c r="G321" s="113" t="s">
        <v>492</v>
      </c>
      <c r="H321" s="81"/>
      <c r="I321" s="30"/>
      <c r="J321" s="32">
        <v>45703.0</v>
      </c>
      <c r="K321" s="27" t="s">
        <v>20</v>
      </c>
      <c r="L321" s="35" t="s">
        <v>754</v>
      </c>
      <c r="M321" s="35" t="s">
        <v>494</v>
      </c>
      <c r="N321" s="83"/>
      <c r="O321" s="83"/>
      <c r="P321" s="108"/>
      <c r="Q321" s="85"/>
    </row>
    <row r="322" ht="19.5" customHeight="1">
      <c r="A322" s="36">
        <f t="shared" si="18"/>
        <v>75</v>
      </c>
      <c r="B322" s="37" t="s">
        <v>755</v>
      </c>
      <c r="C322" s="20">
        <v>45719.0</v>
      </c>
      <c r="D322" s="38" t="s">
        <v>756</v>
      </c>
      <c r="E322" s="115"/>
      <c r="F322" s="116"/>
      <c r="G322" s="117"/>
      <c r="H322" s="186"/>
      <c r="I322" s="30"/>
      <c r="J322" s="48">
        <v>45703.0</v>
      </c>
      <c r="K322" s="44" t="s">
        <v>20</v>
      </c>
      <c r="L322" s="45" t="s">
        <v>757</v>
      </c>
      <c r="M322" s="42"/>
      <c r="N322" s="42"/>
      <c r="O322" s="42"/>
      <c r="P322" s="47"/>
      <c r="Q322" s="85"/>
    </row>
    <row r="323" ht="19.5" customHeight="1">
      <c r="A323" s="49"/>
      <c r="B323" s="16"/>
      <c r="C323" s="16"/>
      <c r="D323" s="119"/>
      <c r="E323" s="63" t="s">
        <v>758</v>
      </c>
      <c r="F323" s="121" t="s">
        <v>759</v>
      </c>
      <c r="G323" s="132" t="s">
        <v>300</v>
      </c>
      <c r="H323" s="186"/>
      <c r="I323" s="30"/>
      <c r="J323" s="49"/>
      <c r="K323" s="49"/>
      <c r="L323" s="16"/>
      <c r="M323" s="16"/>
      <c r="N323" s="16"/>
      <c r="O323" s="16"/>
      <c r="P323" s="49"/>
      <c r="Q323" s="85"/>
    </row>
    <row r="324" ht="19.5" customHeight="1">
      <c r="A324" s="49"/>
      <c r="B324" s="16"/>
      <c r="C324" s="16"/>
      <c r="D324" s="119"/>
      <c r="E324" s="63" t="s">
        <v>760</v>
      </c>
      <c r="F324" s="121" t="s">
        <v>761</v>
      </c>
      <c r="G324" s="132" t="s">
        <v>300</v>
      </c>
      <c r="H324" s="186"/>
      <c r="I324" s="30"/>
      <c r="J324" s="49"/>
      <c r="K324" s="49"/>
      <c r="L324" s="16"/>
      <c r="M324" s="16"/>
      <c r="N324" s="16"/>
      <c r="O324" s="16"/>
      <c r="P324" s="49"/>
      <c r="Q324" s="85"/>
    </row>
    <row r="325" ht="19.5" customHeight="1">
      <c r="A325" s="49"/>
      <c r="B325" s="16"/>
      <c r="C325" s="16"/>
      <c r="D325" s="119"/>
      <c r="E325" s="63" t="s">
        <v>762</v>
      </c>
      <c r="F325" s="121" t="s">
        <v>763</v>
      </c>
      <c r="G325" s="132" t="s">
        <v>300</v>
      </c>
      <c r="H325" s="186"/>
      <c r="I325" s="30"/>
      <c r="J325" s="49"/>
      <c r="K325" s="49"/>
      <c r="L325" s="16"/>
      <c r="M325" s="16"/>
      <c r="N325" s="16"/>
      <c r="O325" s="16"/>
      <c r="P325" s="49"/>
      <c r="Q325" s="85"/>
    </row>
    <row r="326" ht="19.5" customHeight="1">
      <c r="A326" s="49"/>
      <c r="B326" s="16"/>
      <c r="C326" s="16"/>
      <c r="D326" s="119"/>
      <c r="E326" s="63" t="s">
        <v>764</v>
      </c>
      <c r="F326" s="121" t="s">
        <v>765</v>
      </c>
      <c r="G326" s="132" t="s">
        <v>300</v>
      </c>
      <c r="H326" s="186"/>
      <c r="I326" s="30"/>
      <c r="J326" s="49"/>
      <c r="K326" s="49"/>
      <c r="L326" s="16"/>
      <c r="M326" s="16"/>
      <c r="N326" s="16"/>
      <c r="O326" s="16"/>
      <c r="P326" s="49"/>
      <c r="Q326" s="85"/>
    </row>
    <row r="327" ht="19.5" customHeight="1">
      <c r="A327" s="49"/>
      <c r="B327" s="16"/>
      <c r="C327" s="16"/>
      <c r="D327" s="119"/>
      <c r="E327" s="63" t="s">
        <v>766</v>
      </c>
      <c r="F327" s="121" t="s">
        <v>767</v>
      </c>
      <c r="G327" s="132" t="s">
        <v>300</v>
      </c>
      <c r="H327" s="186"/>
      <c r="I327" s="30"/>
      <c r="J327" s="49"/>
      <c r="K327" s="49"/>
      <c r="L327" s="16"/>
      <c r="M327" s="16"/>
      <c r="N327" s="16"/>
      <c r="O327" s="16"/>
      <c r="P327" s="49"/>
      <c r="Q327" s="85"/>
    </row>
    <row r="328" ht="19.5" customHeight="1">
      <c r="A328" s="13"/>
      <c r="B328" s="16"/>
      <c r="C328" s="16"/>
      <c r="D328" s="119"/>
      <c r="E328" s="63" t="s">
        <v>768</v>
      </c>
      <c r="F328" s="121" t="s">
        <v>769</v>
      </c>
      <c r="G328" s="132" t="s">
        <v>300</v>
      </c>
      <c r="H328" s="186"/>
      <c r="I328" s="30"/>
      <c r="J328" s="13"/>
      <c r="K328" s="13"/>
      <c r="L328" s="16"/>
      <c r="M328" s="16"/>
      <c r="N328" s="16"/>
      <c r="O328" s="16"/>
      <c r="P328" s="13"/>
      <c r="Q328" s="85"/>
    </row>
    <row r="329" ht="19.5" customHeight="1">
      <c r="A329" s="36">
        <f>IF(ISBLANK(B329),"",COUNTA($B$4:B329))</f>
        <v>76</v>
      </c>
      <c r="B329" s="37" t="s">
        <v>770</v>
      </c>
      <c r="C329" s="20">
        <v>45719.0</v>
      </c>
      <c r="D329" s="38" t="s">
        <v>771</v>
      </c>
      <c r="E329" s="115"/>
      <c r="F329" s="116"/>
      <c r="G329" s="117"/>
      <c r="H329" s="186"/>
      <c r="I329" s="30"/>
      <c r="J329" s="48">
        <v>45703.0</v>
      </c>
      <c r="K329" s="44" t="s">
        <v>20</v>
      </c>
      <c r="L329" s="45" t="s">
        <v>772</v>
      </c>
      <c r="M329" s="197" t="s">
        <v>773</v>
      </c>
      <c r="N329" s="42"/>
      <c r="O329" s="42"/>
      <c r="P329" s="47"/>
      <c r="Q329" s="85"/>
    </row>
    <row r="330" ht="19.5" customHeight="1">
      <c r="A330" s="49"/>
      <c r="B330" s="16"/>
      <c r="C330" s="16"/>
      <c r="D330" s="119"/>
      <c r="E330" s="63" t="s">
        <v>774</v>
      </c>
      <c r="F330" s="121" t="s">
        <v>775</v>
      </c>
      <c r="G330" s="132" t="s">
        <v>337</v>
      </c>
      <c r="H330" s="186"/>
      <c r="I330" s="30"/>
      <c r="J330" s="49"/>
      <c r="K330" s="49"/>
      <c r="L330" s="16"/>
      <c r="M330" s="16"/>
      <c r="N330" s="16"/>
      <c r="O330" s="16"/>
      <c r="P330" s="49"/>
      <c r="Q330" s="85"/>
    </row>
    <row r="331" ht="19.5" customHeight="1">
      <c r="A331" s="13"/>
      <c r="B331" s="16"/>
      <c r="C331" s="16"/>
      <c r="D331" s="123"/>
      <c r="E331" s="65" t="s">
        <v>776</v>
      </c>
      <c r="F331" s="78" t="s">
        <v>777</v>
      </c>
      <c r="G331" s="132" t="s">
        <v>337</v>
      </c>
      <c r="H331" s="186"/>
      <c r="I331" s="30"/>
      <c r="J331" s="13"/>
      <c r="K331" s="13"/>
      <c r="L331" s="16"/>
      <c r="M331" s="16"/>
      <c r="N331" s="16"/>
      <c r="O331" s="16"/>
      <c r="P331" s="13"/>
      <c r="Q331" s="85"/>
    </row>
    <row r="332" ht="19.5" customHeight="1">
      <c r="A332" s="36">
        <f>IF(ISBLANK(B332),"",COUNTA($B$4:B332))</f>
        <v>77</v>
      </c>
      <c r="B332" s="37" t="s">
        <v>778</v>
      </c>
      <c r="C332" s="20">
        <v>45719.0</v>
      </c>
      <c r="D332" s="102" t="s">
        <v>779</v>
      </c>
      <c r="E332" s="138"/>
      <c r="F332" s="121"/>
      <c r="G332" s="139"/>
      <c r="H332" s="186"/>
      <c r="I332" s="30"/>
      <c r="J332" s="48">
        <v>45703.0</v>
      </c>
      <c r="K332" s="44" t="s">
        <v>20</v>
      </c>
      <c r="L332" s="45" t="s">
        <v>780</v>
      </c>
      <c r="M332" s="42"/>
      <c r="N332" s="42"/>
      <c r="O332" s="42"/>
      <c r="P332" s="47"/>
      <c r="Q332" s="85"/>
    </row>
    <row r="333" ht="19.5" customHeight="1">
      <c r="A333" s="49"/>
      <c r="B333" s="16"/>
      <c r="C333" s="16"/>
      <c r="D333" s="121"/>
      <c r="E333" s="63" t="s">
        <v>182</v>
      </c>
      <c r="F333" s="121" t="s">
        <v>781</v>
      </c>
      <c r="G333" s="132" t="s">
        <v>782</v>
      </c>
      <c r="H333" s="186"/>
      <c r="I333" s="30"/>
      <c r="J333" s="49"/>
      <c r="K333" s="49"/>
      <c r="L333" s="16"/>
      <c r="M333" s="16"/>
      <c r="N333" s="16"/>
      <c r="O333" s="16"/>
      <c r="P333" s="49"/>
      <c r="Q333" s="85"/>
    </row>
    <row r="334" ht="19.5" customHeight="1">
      <c r="A334" s="13"/>
      <c r="B334" s="16"/>
      <c r="C334" s="16"/>
      <c r="D334" s="121"/>
      <c r="E334" s="63" t="s">
        <v>185</v>
      </c>
      <c r="F334" s="121" t="s">
        <v>783</v>
      </c>
      <c r="G334" s="140" t="s">
        <v>784</v>
      </c>
      <c r="H334" s="186"/>
      <c r="I334" s="30"/>
      <c r="J334" s="13"/>
      <c r="K334" s="13"/>
      <c r="L334" s="16"/>
      <c r="M334" s="16"/>
      <c r="N334" s="16"/>
      <c r="O334" s="16"/>
      <c r="P334" s="49"/>
      <c r="Q334" s="85"/>
    </row>
    <row r="335" ht="19.5" customHeight="1">
      <c r="A335" s="36">
        <f>IF(ISBLANK(B335),"",COUNTA($B$4:B335))</f>
        <v>78</v>
      </c>
      <c r="B335" s="37" t="s">
        <v>785</v>
      </c>
      <c r="C335" s="20">
        <v>45719.0</v>
      </c>
      <c r="D335" s="38" t="s">
        <v>786</v>
      </c>
      <c r="E335" s="68"/>
      <c r="F335" s="116"/>
      <c r="G335" s="142"/>
      <c r="H335" s="186"/>
      <c r="I335" s="30"/>
      <c r="J335" s="48">
        <v>45703.0</v>
      </c>
      <c r="K335" s="44" t="s">
        <v>20</v>
      </c>
      <c r="L335" s="45" t="s">
        <v>787</v>
      </c>
      <c r="M335" s="42"/>
      <c r="N335" s="42"/>
      <c r="O335" s="42"/>
      <c r="P335" s="144"/>
      <c r="Q335" s="85"/>
    </row>
    <row r="336" ht="19.5" customHeight="1">
      <c r="A336" s="49"/>
      <c r="B336" s="16"/>
      <c r="C336" s="16"/>
      <c r="D336" s="119"/>
      <c r="E336" s="63" t="s">
        <v>788</v>
      </c>
      <c r="F336" s="121" t="s">
        <v>789</v>
      </c>
      <c r="G336" s="132" t="s">
        <v>790</v>
      </c>
      <c r="H336" s="186"/>
      <c r="I336" s="30"/>
      <c r="J336" s="49"/>
      <c r="K336" s="49"/>
      <c r="L336" s="16"/>
      <c r="M336" s="16"/>
      <c r="N336" s="16"/>
      <c r="O336" s="16"/>
      <c r="P336" s="49"/>
      <c r="Q336" s="85"/>
    </row>
    <row r="337" ht="19.5" customHeight="1">
      <c r="A337" s="49"/>
      <c r="B337" s="16"/>
      <c r="C337" s="16"/>
      <c r="D337" s="119"/>
      <c r="E337" s="63" t="s">
        <v>791</v>
      </c>
      <c r="F337" s="121" t="s">
        <v>789</v>
      </c>
      <c r="G337" s="132" t="s">
        <v>790</v>
      </c>
      <c r="H337" s="186"/>
      <c r="I337" s="30"/>
      <c r="J337" s="49"/>
      <c r="K337" s="49"/>
      <c r="L337" s="16"/>
      <c r="M337" s="16"/>
      <c r="N337" s="16"/>
      <c r="O337" s="16"/>
      <c r="P337" s="49"/>
      <c r="Q337" s="85"/>
    </row>
    <row r="338" ht="19.5" customHeight="1">
      <c r="A338" s="13"/>
      <c r="B338" s="16"/>
      <c r="C338" s="16"/>
      <c r="D338" s="123"/>
      <c r="E338" s="65" t="s">
        <v>792</v>
      </c>
      <c r="F338" s="78" t="s">
        <v>793</v>
      </c>
      <c r="G338" s="140" t="s">
        <v>790</v>
      </c>
      <c r="H338" s="186"/>
      <c r="I338" s="30"/>
      <c r="J338" s="13"/>
      <c r="K338" s="13"/>
      <c r="L338" s="16"/>
      <c r="M338" s="16"/>
      <c r="N338" s="16"/>
      <c r="O338" s="16"/>
      <c r="P338" s="13"/>
      <c r="Q338" s="85"/>
    </row>
    <row r="339" ht="19.5" customHeight="1">
      <c r="A339" s="18">
        <f t="shared" ref="A339:A341" si="19">IF(ISBLANK(B339),"",COUNTA($B$4:B339))</f>
        <v>79</v>
      </c>
      <c r="B339" s="37" t="s">
        <v>794</v>
      </c>
      <c r="C339" s="20">
        <v>45719.0</v>
      </c>
      <c r="D339" s="21" t="s">
        <v>795</v>
      </c>
      <c r="E339" s="82"/>
      <c r="F339" s="76" t="s">
        <v>796</v>
      </c>
      <c r="G339" s="107" t="s">
        <v>797</v>
      </c>
      <c r="H339" s="186"/>
      <c r="I339" s="30"/>
      <c r="J339" s="32">
        <v>45703.0</v>
      </c>
      <c r="K339" s="27" t="s">
        <v>20</v>
      </c>
      <c r="L339" s="233" t="s">
        <v>798</v>
      </c>
      <c r="M339" s="223"/>
      <c r="N339" s="234"/>
      <c r="O339" s="234"/>
      <c r="P339" s="235"/>
      <c r="Q339" s="85"/>
    </row>
    <row r="340" ht="19.5" customHeight="1">
      <c r="A340" s="18">
        <f t="shared" si="19"/>
        <v>80</v>
      </c>
      <c r="B340" s="37" t="s">
        <v>799</v>
      </c>
      <c r="C340" s="20">
        <v>45719.0</v>
      </c>
      <c r="D340" s="121" t="s">
        <v>800</v>
      </c>
      <c r="E340" s="138"/>
      <c r="F340" s="52" t="s">
        <v>801</v>
      </c>
      <c r="G340" s="113" t="s">
        <v>492</v>
      </c>
      <c r="H340" s="81"/>
      <c r="I340" s="30"/>
      <c r="J340" s="32">
        <v>45703.0</v>
      </c>
      <c r="K340" s="27" t="s">
        <v>20</v>
      </c>
      <c r="L340" s="35" t="s">
        <v>802</v>
      </c>
      <c r="M340" s="82"/>
      <c r="N340" s="83"/>
      <c r="O340" s="83"/>
      <c r="P340" s="187"/>
      <c r="Q340" s="85"/>
    </row>
    <row r="341" ht="19.5" customHeight="1">
      <c r="A341" s="36">
        <f t="shared" si="19"/>
        <v>81</v>
      </c>
      <c r="B341" s="37" t="s">
        <v>803</v>
      </c>
      <c r="C341" s="20">
        <v>45719.0</v>
      </c>
      <c r="D341" s="38" t="s">
        <v>804</v>
      </c>
      <c r="E341" s="115"/>
      <c r="F341" s="236" t="s">
        <v>805</v>
      </c>
      <c r="G341" s="139" t="s">
        <v>806</v>
      </c>
      <c r="H341" s="186"/>
      <c r="I341" s="30"/>
      <c r="J341" s="48">
        <v>45703.0</v>
      </c>
      <c r="K341" s="44" t="s">
        <v>20</v>
      </c>
      <c r="L341" s="45" t="s">
        <v>807</v>
      </c>
      <c r="M341" s="42"/>
      <c r="N341" s="42"/>
      <c r="O341" s="42"/>
      <c r="P341" s="47"/>
      <c r="Q341" s="85"/>
    </row>
    <row r="342" ht="19.5" customHeight="1">
      <c r="A342" s="49"/>
      <c r="B342" s="16"/>
      <c r="C342" s="16"/>
      <c r="D342" s="119"/>
      <c r="E342" s="138"/>
      <c r="F342" s="237" t="s">
        <v>808</v>
      </c>
      <c r="G342" s="132" t="s">
        <v>806</v>
      </c>
      <c r="H342" s="186"/>
      <c r="I342" s="30"/>
      <c r="J342" s="49"/>
      <c r="K342" s="49"/>
      <c r="L342" s="16"/>
      <c r="M342" s="16"/>
      <c r="N342" s="16"/>
      <c r="O342" s="16"/>
      <c r="P342" s="49"/>
      <c r="Q342" s="85"/>
    </row>
    <row r="343" ht="19.5" customHeight="1">
      <c r="A343" s="49"/>
      <c r="B343" s="16"/>
      <c r="C343" s="16"/>
      <c r="D343" s="119"/>
      <c r="E343" s="138"/>
      <c r="F343" s="237" t="s">
        <v>809</v>
      </c>
      <c r="G343" s="132" t="s">
        <v>806</v>
      </c>
      <c r="H343" s="186"/>
      <c r="I343" s="30"/>
      <c r="J343" s="49"/>
      <c r="K343" s="49"/>
      <c r="L343" s="16"/>
      <c r="M343" s="16"/>
      <c r="N343" s="16"/>
      <c r="O343" s="16"/>
      <c r="P343" s="49"/>
      <c r="Q343" s="85"/>
    </row>
    <row r="344" ht="19.5" customHeight="1">
      <c r="A344" s="49"/>
      <c r="B344" s="16"/>
      <c r="C344" s="16"/>
      <c r="D344" s="38" t="s">
        <v>810</v>
      </c>
      <c r="E344" s="223"/>
      <c r="F344" s="40" t="s">
        <v>805</v>
      </c>
      <c r="G344" s="139" t="s">
        <v>811</v>
      </c>
      <c r="H344" s="186"/>
      <c r="I344" s="30"/>
      <c r="J344" s="49"/>
      <c r="K344" s="49"/>
      <c r="L344" s="16"/>
      <c r="M344" s="16"/>
      <c r="N344" s="16"/>
      <c r="O344" s="16"/>
      <c r="P344" s="49"/>
      <c r="Q344" s="85"/>
    </row>
    <row r="345" ht="19.5" customHeight="1">
      <c r="A345" s="49"/>
      <c r="B345" s="16"/>
      <c r="C345" s="16"/>
      <c r="D345" s="119"/>
      <c r="E345" s="238"/>
      <c r="F345" s="52" t="s">
        <v>808</v>
      </c>
      <c r="G345" s="132" t="s">
        <v>811</v>
      </c>
      <c r="H345" s="186"/>
      <c r="I345" s="30"/>
      <c r="J345" s="49"/>
      <c r="K345" s="49"/>
      <c r="L345" s="16"/>
      <c r="M345" s="16"/>
      <c r="N345" s="16"/>
      <c r="O345" s="16"/>
      <c r="P345" s="49"/>
      <c r="Q345" s="85"/>
    </row>
    <row r="346" ht="19.5" customHeight="1">
      <c r="A346" s="49"/>
      <c r="B346" s="16"/>
      <c r="C346" s="16"/>
      <c r="D346" s="119"/>
      <c r="E346" s="238"/>
      <c r="F346" s="52" t="s">
        <v>809</v>
      </c>
      <c r="G346" s="132" t="s">
        <v>811</v>
      </c>
      <c r="H346" s="186"/>
      <c r="I346" s="30"/>
      <c r="J346" s="49"/>
      <c r="K346" s="49"/>
      <c r="L346" s="16"/>
      <c r="M346" s="16"/>
      <c r="N346" s="16"/>
      <c r="O346" s="16"/>
      <c r="P346" s="49"/>
      <c r="Q346" s="85"/>
    </row>
    <row r="347" ht="19.5" customHeight="1">
      <c r="A347" s="49"/>
      <c r="B347" s="16"/>
      <c r="C347" s="16"/>
      <c r="D347" s="123"/>
      <c r="E347" s="170"/>
      <c r="F347" s="53" t="s">
        <v>812</v>
      </c>
      <c r="G347" s="140" t="s">
        <v>811</v>
      </c>
      <c r="H347" s="186"/>
      <c r="I347" s="30"/>
      <c r="J347" s="49"/>
      <c r="K347" s="49"/>
      <c r="L347" s="16"/>
      <c r="M347" s="16"/>
      <c r="N347" s="16"/>
      <c r="O347" s="16"/>
      <c r="P347" s="49"/>
      <c r="Q347" s="85"/>
    </row>
    <row r="348" ht="19.5" customHeight="1">
      <c r="A348" s="49"/>
      <c r="B348" s="16"/>
      <c r="C348" s="16"/>
      <c r="D348" s="239" t="s">
        <v>813</v>
      </c>
      <c r="E348" s="79"/>
      <c r="F348" s="53" t="s">
        <v>812</v>
      </c>
      <c r="G348" s="80" t="s">
        <v>806</v>
      </c>
      <c r="H348" s="81"/>
      <c r="I348" s="30"/>
      <c r="J348" s="49"/>
      <c r="K348" s="49"/>
      <c r="L348" s="16"/>
      <c r="M348" s="16"/>
      <c r="N348" s="16"/>
      <c r="O348" s="16"/>
      <c r="P348" s="49"/>
      <c r="Q348" s="85"/>
    </row>
    <row r="349" ht="19.5" customHeight="1">
      <c r="A349" s="49"/>
      <c r="B349" s="16"/>
      <c r="C349" s="16"/>
      <c r="D349" s="102" t="s">
        <v>814</v>
      </c>
      <c r="E349" s="138"/>
      <c r="F349" s="52" t="s">
        <v>815</v>
      </c>
      <c r="G349" s="113" t="s">
        <v>811</v>
      </c>
      <c r="H349" s="81"/>
      <c r="I349" s="30"/>
      <c r="J349" s="49"/>
      <c r="K349" s="49"/>
      <c r="L349" s="16"/>
      <c r="M349" s="16"/>
      <c r="N349" s="16"/>
      <c r="O349" s="16"/>
      <c r="P349" s="49"/>
      <c r="Q349" s="85"/>
    </row>
    <row r="350" ht="19.5" customHeight="1">
      <c r="A350" s="49"/>
      <c r="B350" s="16"/>
      <c r="C350" s="16"/>
      <c r="D350" s="38" t="s">
        <v>816</v>
      </c>
      <c r="E350" s="223"/>
      <c r="F350" s="40"/>
      <c r="G350" s="115"/>
      <c r="H350" s="186"/>
      <c r="I350" s="30"/>
      <c r="J350" s="49"/>
      <c r="K350" s="49"/>
      <c r="L350" s="16"/>
      <c r="M350" s="16"/>
      <c r="N350" s="16"/>
      <c r="O350" s="16"/>
      <c r="P350" s="49"/>
      <c r="Q350" s="85"/>
    </row>
    <row r="351" ht="19.5" customHeight="1">
      <c r="A351" s="49"/>
      <c r="B351" s="16"/>
      <c r="C351" s="16"/>
      <c r="D351" s="119"/>
      <c r="E351" s="113" t="s">
        <v>817</v>
      </c>
      <c r="F351" s="52" t="s">
        <v>818</v>
      </c>
      <c r="G351" s="63" t="s">
        <v>811</v>
      </c>
      <c r="H351" s="186"/>
      <c r="I351" s="30"/>
      <c r="J351" s="49"/>
      <c r="K351" s="49"/>
      <c r="L351" s="16"/>
      <c r="M351" s="16"/>
      <c r="N351" s="16"/>
      <c r="O351" s="16"/>
      <c r="P351" s="49"/>
      <c r="Q351" s="85"/>
    </row>
    <row r="352" ht="19.5" customHeight="1">
      <c r="A352" s="49"/>
      <c r="B352" s="16"/>
      <c r="C352" s="16"/>
      <c r="D352" s="123"/>
      <c r="E352" s="80" t="s">
        <v>819</v>
      </c>
      <c r="F352" s="53" t="s">
        <v>820</v>
      </c>
      <c r="G352" s="65" t="s">
        <v>811</v>
      </c>
      <c r="H352" s="186"/>
      <c r="I352" s="30"/>
      <c r="J352" s="49"/>
      <c r="K352" s="49"/>
      <c r="L352" s="16"/>
      <c r="M352" s="16"/>
      <c r="N352" s="16"/>
      <c r="O352" s="16"/>
      <c r="P352" s="49"/>
      <c r="Q352" s="85"/>
    </row>
    <row r="353" ht="19.5" customHeight="1">
      <c r="A353" s="13"/>
      <c r="B353" s="16"/>
      <c r="C353" s="16"/>
      <c r="D353" s="239" t="s">
        <v>182</v>
      </c>
      <c r="E353" s="170"/>
      <c r="F353" s="53" t="s">
        <v>781</v>
      </c>
      <c r="G353" s="80" t="s">
        <v>821</v>
      </c>
      <c r="H353" s="186"/>
      <c r="I353" s="30"/>
      <c r="J353" s="13"/>
      <c r="K353" s="13"/>
      <c r="L353" s="16"/>
      <c r="M353" s="16"/>
      <c r="N353" s="16"/>
      <c r="O353" s="16"/>
      <c r="P353" s="13"/>
      <c r="Q353" s="85"/>
    </row>
    <row r="354" ht="19.5" customHeight="1">
      <c r="A354" s="18">
        <f t="shared" ref="A354:A357" si="20">IF(ISBLANK(B354),"",COUNTA($B$4:B354))</f>
        <v>82</v>
      </c>
      <c r="B354" s="37" t="s">
        <v>822</v>
      </c>
      <c r="C354" s="20">
        <v>45719.0</v>
      </c>
      <c r="D354" s="78" t="s">
        <v>823</v>
      </c>
      <c r="E354" s="79"/>
      <c r="F354" s="53" t="s">
        <v>824</v>
      </c>
      <c r="G354" s="80" t="s">
        <v>825</v>
      </c>
      <c r="H354" s="81"/>
      <c r="I354" s="30"/>
      <c r="J354" s="32">
        <v>45703.0</v>
      </c>
      <c r="K354" s="27" t="s">
        <v>20</v>
      </c>
      <c r="L354" s="35" t="s">
        <v>826</v>
      </c>
      <c r="M354" s="82"/>
      <c r="N354" s="83"/>
      <c r="O354" s="83"/>
      <c r="P354" s="84"/>
      <c r="Q354" s="85"/>
    </row>
    <row r="355" ht="19.5" customHeight="1">
      <c r="A355" s="18">
        <f t="shared" si="20"/>
        <v>83</v>
      </c>
      <c r="B355" s="37" t="s">
        <v>827</v>
      </c>
      <c r="C355" s="20">
        <v>45719.0</v>
      </c>
      <c r="D355" s="78" t="s">
        <v>679</v>
      </c>
      <c r="E355" s="79"/>
      <c r="F355" s="53" t="s">
        <v>680</v>
      </c>
      <c r="G355" s="80" t="s">
        <v>828</v>
      </c>
      <c r="H355" s="81"/>
      <c r="I355" s="30"/>
      <c r="J355" s="32">
        <v>45703.0</v>
      </c>
      <c r="K355" s="27" t="s">
        <v>20</v>
      </c>
      <c r="L355" s="35" t="s">
        <v>829</v>
      </c>
      <c r="M355" s="82"/>
      <c r="N355" s="83"/>
      <c r="O355" s="83"/>
      <c r="P355" s="84"/>
      <c r="Q355" s="85"/>
    </row>
    <row r="356" ht="19.5" customHeight="1">
      <c r="A356" s="18">
        <f t="shared" si="20"/>
        <v>84</v>
      </c>
      <c r="B356" s="37" t="s">
        <v>830</v>
      </c>
      <c r="C356" s="20">
        <v>45719.0</v>
      </c>
      <c r="D356" s="121" t="s">
        <v>831</v>
      </c>
      <c r="E356" s="138"/>
      <c r="F356" s="52"/>
      <c r="G356" s="52" t="s">
        <v>832</v>
      </c>
      <c r="H356" s="81"/>
      <c r="I356" s="30"/>
      <c r="J356" s="32">
        <v>45703.0</v>
      </c>
      <c r="K356" s="27" t="s">
        <v>20</v>
      </c>
      <c r="L356" s="35" t="s">
        <v>833</v>
      </c>
      <c r="M356" s="82"/>
      <c r="N356" s="83"/>
      <c r="O356" s="83"/>
      <c r="P356" s="108"/>
      <c r="Q356" s="85"/>
    </row>
    <row r="357" ht="19.5" customHeight="1">
      <c r="A357" s="36">
        <f t="shared" si="20"/>
        <v>85</v>
      </c>
      <c r="B357" s="37" t="s">
        <v>834</v>
      </c>
      <c r="C357" s="20">
        <v>45719.0</v>
      </c>
      <c r="D357" s="38" t="s">
        <v>835</v>
      </c>
      <c r="E357" s="223"/>
      <c r="F357" s="40"/>
      <c r="G357" s="139"/>
      <c r="H357" s="186"/>
      <c r="I357" s="30"/>
      <c r="J357" s="48">
        <v>45703.0</v>
      </c>
      <c r="K357" s="44" t="s">
        <v>20</v>
      </c>
      <c r="L357" s="45" t="s">
        <v>836</v>
      </c>
      <c r="M357" s="42"/>
      <c r="N357" s="42"/>
      <c r="O357" s="42"/>
      <c r="P357" s="47"/>
      <c r="Q357" s="85"/>
    </row>
    <row r="358" ht="19.5" customHeight="1">
      <c r="A358" s="49"/>
      <c r="B358" s="16"/>
      <c r="C358" s="16"/>
      <c r="D358" s="121"/>
      <c r="E358" s="240" t="s">
        <v>837</v>
      </c>
      <c r="F358" s="200" t="s">
        <v>838</v>
      </c>
      <c r="G358" s="132" t="s">
        <v>839</v>
      </c>
      <c r="H358" s="186"/>
      <c r="I358" s="30"/>
      <c r="J358" s="49"/>
      <c r="K358" s="49"/>
      <c r="L358" s="16"/>
      <c r="M358" s="16"/>
      <c r="N358" s="16"/>
      <c r="O358" s="16"/>
      <c r="P358" s="49"/>
      <c r="Q358" s="85"/>
    </row>
    <row r="359" ht="19.5" customHeight="1">
      <c r="A359" s="49"/>
      <c r="B359" s="16"/>
      <c r="C359" s="16"/>
      <c r="D359" s="121"/>
      <c r="E359" s="240" t="s">
        <v>840</v>
      </c>
      <c r="F359" s="200" t="s">
        <v>838</v>
      </c>
      <c r="G359" s="132" t="s">
        <v>839</v>
      </c>
      <c r="H359" s="186"/>
      <c r="I359" s="30"/>
      <c r="J359" s="49"/>
      <c r="K359" s="49"/>
      <c r="L359" s="16"/>
      <c r="M359" s="16"/>
      <c r="N359" s="16"/>
      <c r="O359" s="16"/>
      <c r="P359" s="49"/>
      <c r="Q359" s="85"/>
    </row>
    <row r="360" ht="19.5" customHeight="1">
      <c r="A360" s="49"/>
      <c r="B360" s="16"/>
      <c r="C360" s="16"/>
      <c r="D360" s="121"/>
      <c r="E360" s="240" t="s">
        <v>841</v>
      </c>
      <c r="F360" s="200" t="s">
        <v>838</v>
      </c>
      <c r="G360" s="132" t="s">
        <v>839</v>
      </c>
      <c r="H360" s="186"/>
      <c r="I360" s="30"/>
      <c r="J360" s="49"/>
      <c r="K360" s="49"/>
      <c r="L360" s="16"/>
      <c r="M360" s="16"/>
      <c r="N360" s="16"/>
      <c r="O360" s="16"/>
      <c r="P360" s="49"/>
      <c r="Q360" s="85"/>
    </row>
    <row r="361" ht="19.5" customHeight="1">
      <c r="A361" s="13"/>
      <c r="B361" s="16"/>
      <c r="C361" s="16"/>
      <c r="D361" s="78"/>
      <c r="E361" s="241" t="s">
        <v>842</v>
      </c>
      <c r="F361" s="242" t="s">
        <v>838</v>
      </c>
      <c r="G361" s="140" t="s">
        <v>839</v>
      </c>
      <c r="H361" s="186"/>
      <c r="I361" s="30"/>
      <c r="J361" s="13"/>
      <c r="K361" s="13"/>
      <c r="L361" s="16"/>
      <c r="M361" s="16"/>
      <c r="N361" s="16"/>
      <c r="O361" s="16"/>
      <c r="P361" s="13"/>
      <c r="Q361" s="85"/>
    </row>
    <row r="362" ht="19.5" customHeight="1">
      <c r="A362" s="18">
        <f t="shared" ref="A362:A363" si="21">IF(ISBLANK(B362),"",COUNTA($B$4:B362))</f>
        <v>86</v>
      </c>
      <c r="B362" s="37" t="s">
        <v>843</v>
      </c>
      <c r="C362" s="20">
        <v>45719.0</v>
      </c>
      <c r="D362" s="121" t="s">
        <v>844</v>
      </c>
      <c r="E362" s="138"/>
      <c r="F362" s="52" t="s">
        <v>845</v>
      </c>
      <c r="G362" s="113" t="s">
        <v>846</v>
      </c>
      <c r="H362" s="81"/>
      <c r="I362" s="30"/>
      <c r="J362" s="32">
        <v>45703.0</v>
      </c>
      <c r="K362" s="27" t="s">
        <v>20</v>
      </c>
      <c r="L362" s="35" t="s">
        <v>847</v>
      </c>
      <c r="M362" s="82"/>
      <c r="N362" s="83"/>
      <c r="O362" s="83"/>
      <c r="P362" s="108"/>
      <c r="Q362" s="85"/>
    </row>
    <row r="363" ht="19.5" customHeight="1">
      <c r="A363" s="36">
        <f t="shared" si="21"/>
        <v>87</v>
      </c>
      <c r="B363" s="37" t="s">
        <v>848</v>
      </c>
      <c r="C363" s="42"/>
      <c r="D363" s="38" t="s">
        <v>849</v>
      </c>
      <c r="E363" s="223"/>
      <c r="F363" s="116"/>
      <c r="G363" s="117"/>
      <c r="H363" s="186"/>
      <c r="I363" s="30"/>
      <c r="J363" s="48">
        <v>45703.0</v>
      </c>
      <c r="K363" s="44" t="s">
        <v>20</v>
      </c>
      <c r="L363" s="46" t="s">
        <v>850</v>
      </c>
      <c r="M363" s="180"/>
      <c r="N363" s="180"/>
      <c r="O363" s="180"/>
      <c r="P363" s="180"/>
      <c r="Q363" s="85"/>
    </row>
    <row r="364" ht="19.5" customHeight="1">
      <c r="A364" s="49"/>
      <c r="B364" s="16"/>
      <c r="C364" s="16"/>
      <c r="D364" s="119"/>
      <c r="E364" s="113" t="s">
        <v>851</v>
      </c>
      <c r="F364" s="121" t="s">
        <v>852</v>
      </c>
      <c r="G364" s="132" t="s">
        <v>853</v>
      </c>
      <c r="H364" s="186"/>
      <c r="I364" s="30"/>
      <c r="J364" s="49"/>
      <c r="K364" s="49"/>
      <c r="L364" s="49"/>
      <c r="M364" s="49"/>
      <c r="N364" s="49"/>
      <c r="O364" s="49"/>
      <c r="P364" s="49"/>
      <c r="Q364" s="85"/>
    </row>
    <row r="365" ht="19.5" customHeight="1">
      <c r="A365" s="13"/>
      <c r="B365" s="16"/>
      <c r="C365" s="16"/>
      <c r="D365" s="123"/>
      <c r="E365" s="80" t="s">
        <v>854</v>
      </c>
      <c r="F365" s="78" t="s">
        <v>855</v>
      </c>
      <c r="G365" s="140" t="s">
        <v>853</v>
      </c>
      <c r="H365" s="186"/>
      <c r="I365" s="30"/>
      <c r="J365" s="13"/>
      <c r="K365" s="13"/>
      <c r="L365" s="13"/>
      <c r="M365" s="13"/>
      <c r="N365" s="13"/>
      <c r="O365" s="13"/>
      <c r="P365" s="13"/>
      <c r="Q365" s="85"/>
    </row>
    <row r="366" ht="19.5" customHeight="1">
      <c r="A366" s="18">
        <f t="shared" ref="A366:A368" si="22">IF(ISBLANK(B366),"",COUNTA($B$4:B366))</f>
        <v>88</v>
      </c>
      <c r="B366" s="37" t="s">
        <v>856</v>
      </c>
      <c r="C366" s="20">
        <v>45745.0</v>
      </c>
      <c r="D366" s="78" t="s">
        <v>857</v>
      </c>
      <c r="E366" s="79"/>
      <c r="F366" s="53"/>
      <c r="G366" s="80" t="s">
        <v>71</v>
      </c>
      <c r="H366" s="81"/>
      <c r="I366" s="30"/>
      <c r="J366" s="32">
        <v>45730.0</v>
      </c>
      <c r="K366" s="27" t="s">
        <v>20</v>
      </c>
      <c r="L366" s="35" t="s">
        <v>858</v>
      </c>
      <c r="M366" s="82"/>
      <c r="N366" s="83"/>
      <c r="O366" s="83"/>
      <c r="P366" s="108"/>
      <c r="Q366" s="85"/>
    </row>
    <row r="367" ht="19.5" customHeight="1">
      <c r="A367" s="18">
        <f t="shared" si="22"/>
        <v>89</v>
      </c>
      <c r="B367" s="37" t="s">
        <v>859</v>
      </c>
      <c r="C367" s="20">
        <v>45745.0</v>
      </c>
      <c r="D367" s="78" t="s">
        <v>860</v>
      </c>
      <c r="E367" s="79"/>
      <c r="F367" s="53" t="s">
        <v>861</v>
      </c>
      <c r="G367" s="80" t="s">
        <v>592</v>
      </c>
      <c r="H367" s="81"/>
      <c r="I367" s="30"/>
      <c r="J367" s="32">
        <v>45730.0</v>
      </c>
      <c r="K367" s="27" t="s">
        <v>20</v>
      </c>
      <c r="L367" s="35" t="s">
        <v>862</v>
      </c>
      <c r="M367" s="82"/>
      <c r="N367" s="83"/>
      <c r="O367" s="83"/>
      <c r="P367" s="108"/>
      <c r="Q367" s="85"/>
    </row>
    <row r="368" ht="19.5" customHeight="1">
      <c r="A368" s="36">
        <f t="shared" si="22"/>
        <v>90</v>
      </c>
      <c r="B368" s="37" t="s">
        <v>863</v>
      </c>
      <c r="C368" s="20">
        <v>45745.0</v>
      </c>
      <c r="D368" s="102" t="s">
        <v>864</v>
      </c>
      <c r="E368" s="138"/>
      <c r="F368" s="52"/>
      <c r="G368" s="113"/>
      <c r="H368" s="81"/>
      <c r="I368" s="30"/>
      <c r="J368" s="48">
        <v>45730.0</v>
      </c>
      <c r="K368" s="44" t="s">
        <v>20</v>
      </c>
      <c r="L368" s="45" t="s">
        <v>865</v>
      </c>
      <c r="M368" s="42"/>
      <c r="N368" s="42"/>
      <c r="O368" s="42"/>
      <c r="P368" s="42"/>
      <c r="Q368" s="85"/>
    </row>
    <row r="369" ht="19.5" customHeight="1">
      <c r="A369" s="49"/>
      <c r="B369" s="16"/>
      <c r="C369" s="16"/>
      <c r="D369" s="121"/>
      <c r="E369" s="63" t="s">
        <v>866</v>
      </c>
      <c r="F369" s="157" t="s">
        <v>867</v>
      </c>
      <c r="G369" s="113" t="s">
        <v>868</v>
      </c>
      <c r="H369" s="81"/>
      <c r="I369" s="30"/>
      <c r="J369" s="49"/>
      <c r="K369" s="49"/>
      <c r="L369" s="16"/>
      <c r="M369" s="16"/>
      <c r="N369" s="16"/>
      <c r="O369" s="16"/>
      <c r="P369" s="16"/>
      <c r="Q369" s="85"/>
    </row>
    <row r="370" ht="19.5" customHeight="1">
      <c r="A370" s="49"/>
      <c r="B370" s="16"/>
      <c r="C370" s="16"/>
      <c r="D370" s="121"/>
      <c r="E370" s="63" t="s">
        <v>869</v>
      </c>
      <c r="F370" s="49"/>
      <c r="H370" s="81"/>
      <c r="I370" s="30"/>
      <c r="J370" s="49"/>
      <c r="K370" s="49"/>
      <c r="L370" s="16"/>
      <c r="M370" s="16"/>
      <c r="N370" s="16"/>
      <c r="O370" s="16"/>
      <c r="P370" s="16"/>
      <c r="Q370" s="85"/>
    </row>
    <row r="371" ht="19.5" customHeight="1">
      <c r="A371" s="49"/>
      <c r="B371" s="16"/>
      <c r="C371" s="16"/>
      <c r="D371" s="121"/>
      <c r="E371" s="63" t="s">
        <v>870</v>
      </c>
      <c r="F371" s="49"/>
      <c r="H371" s="81"/>
      <c r="I371" s="30"/>
      <c r="J371" s="49"/>
      <c r="K371" s="49"/>
      <c r="L371" s="16"/>
      <c r="M371" s="16"/>
      <c r="N371" s="16"/>
      <c r="O371" s="16"/>
      <c r="P371" s="16"/>
      <c r="Q371" s="85"/>
    </row>
    <row r="372" ht="19.5" customHeight="1">
      <c r="A372" s="13"/>
      <c r="B372" s="16"/>
      <c r="C372" s="16"/>
      <c r="D372" s="121"/>
      <c r="E372" s="63" t="s">
        <v>871</v>
      </c>
      <c r="F372" s="49"/>
      <c r="H372" s="81"/>
      <c r="I372" s="30"/>
      <c r="J372" s="13"/>
      <c r="K372" s="13"/>
      <c r="L372" s="16"/>
      <c r="M372" s="16"/>
      <c r="N372" s="16"/>
      <c r="O372" s="16"/>
      <c r="P372" s="16"/>
      <c r="Q372" s="85"/>
    </row>
    <row r="373" ht="19.5" customHeight="1">
      <c r="A373" s="36">
        <f>IF(ISBLANK(B373),"",COUNTA($B$4:B373))</f>
        <v>91</v>
      </c>
      <c r="B373" s="37" t="s">
        <v>872</v>
      </c>
      <c r="C373" s="42"/>
      <c r="D373" s="38" t="s">
        <v>873</v>
      </c>
      <c r="E373" s="223"/>
      <c r="F373" s="116"/>
      <c r="G373" s="117"/>
      <c r="H373" s="186"/>
      <c r="I373" s="30"/>
      <c r="J373" s="20">
        <v>45829.0</v>
      </c>
      <c r="K373" s="44" t="s">
        <v>20</v>
      </c>
      <c r="L373" s="45" t="s">
        <v>874</v>
      </c>
      <c r="M373" s="42"/>
      <c r="N373" s="42"/>
      <c r="O373" s="42"/>
      <c r="P373" s="42"/>
      <c r="Q373" s="85"/>
    </row>
    <row r="374" ht="19.5" customHeight="1">
      <c r="A374" s="49"/>
      <c r="B374" s="16"/>
      <c r="C374" s="16"/>
      <c r="D374" s="119"/>
      <c r="E374" s="113" t="s">
        <v>875</v>
      </c>
      <c r="F374" s="121" t="s">
        <v>876</v>
      </c>
      <c r="G374" s="132" t="s">
        <v>576</v>
      </c>
      <c r="H374" s="186"/>
      <c r="I374" s="30"/>
      <c r="J374" s="16"/>
      <c r="K374" s="49"/>
      <c r="L374" s="16"/>
      <c r="M374" s="16"/>
      <c r="N374" s="16"/>
      <c r="O374" s="16"/>
      <c r="P374" s="16"/>
      <c r="Q374" s="85"/>
    </row>
    <row r="375" ht="19.5" customHeight="1">
      <c r="A375" s="49"/>
      <c r="B375" s="16"/>
      <c r="C375" s="16"/>
      <c r="D375" s="119"/>
      <c r="E375" s="113" t="s">
        <v>877</v>
      </c>
      <c r="F375" s="121" t="s">
        <v>878</v>
      </c>
      <c r="G375" s="132" t="s">
        <v>576</v>
      </c>
      <c r="H375" s="186"/>
      <c r="I375" s="30"/>
      <c r="J375" s="16"/>
      <c r="K375" s="49"/>
      <c r="L375" s="16"/>
      <c r="M375" s="16"/>
      <c r="N375" s="16"/>
      <c r="O375" s="16"/>
      <c r="P375" s="16"/>
      <c r="Q375" s="85"/>
    </row>
    <row r="376" ht="19.5" customHeight="1">
      <c r="A376" s="49"/>
      <c r="B376" s="16"/>
      <c r="C376" s="16"/>
      <c r="D376" s="119"/>
      <c r="E376" s="113" t="s">
        <v>182</v>
      </c>
      <c r="F376" s="121" t="s">
        <v>879</v>
      </c>
      <c r="G376" s="132" t="s">
        <v>880</v>
      </c>
      <c r="H376" s="186"/>
      <c r="I376" s="30"/>
      <c r="J376" s="16"/>
      <c r="K376" s="49"/>
      <c r="L376" s="16"/>
      <c r="M376" s="16"/>
      <c r="N376" s="16"/>
      <c r="O376" s="16"/>
      <c r="P376" s="16"/>
      <c r="Q376" s="85"/>
    </row>
    <row r="377" ht="19.5" customHeight="1">
      <c r="A377" s="13"/>
      <c r="B377" s="16"/>
      <c r="C377" s="16"/>
      <c r="D377" s="119"/>
      <c r="E377" s="113" t="s">
        <v>185</v>
      </c>
      <c r="F377" s="121" t="s">
        <v>881</v>
      </c>
      <c r="G377" s="132" t="s">
        <v>882</v>
      </c>
      <c r="H377" s="186"/>
      <c r="I377" s="30"/>
      <c r="J377" s="16"/>
      <c r="K377" s="13"/>
      <c r="L377" s="16"/>
      <c r="M377" s="16"/>
      <c r="N377" s="16"/>
      <c r="O377" s="16"/>
      <c r="P377" s="16"/>
      <c r="Q377" s="85"/>
    </row>
    <row r="378" ht="19.5" customHeight="1">
      <c r="A378" s="36">
        <f>IF(ISBLANK(B378),"",COUNTA($B$4:B378))</f>
        <v>92</v>
      </c>
      <c r="B378" s="37" t="s">
        <v>883</v>
      </c>
      <c r="C378" s="20">
        <v>45745.0</v>
      </c>
      <c r="D378" s="38" t="s">
        <v>884</v>
      </c>
      <c r="E378" s="223"/>
      <c r="F378" s="116"/>
      <c r="G378" s="139"/>
      <c r="H378" s="186"/>
      <c r="I378" s="30"/>
      <c r="J378" s="20">
        <v>45731.0</v>
      </c>
      <c r="K378" s="44" t="s">
        <v>20</v>
      </c>
      <c r="L378" s="45" t="s">
        <v>885</v>
      </c>
      <c r="M378" s="42"/>
      <c r="N378" s="42"/>
      <c r="O378" s="42"/>
      <c r="P378" s="42"/>
      <c r="Q378" s="85"/>
    </row>
    <row r="379" ht="19.5" customHeight="1">
      <c r="A379" s="49"/>
      <c r="B379" s="16"/>
      <c r="C379" s="16"/>
      <c r="D379" s="102"/>
      <c r="E379" s="113" t="s">
        <v>886</v>
      </c>
      <c r="F379" s="121"/>
      <c r="G379" s="132" t="s">
        <v>576</v>
      </c>
      <c r="H379" s="186"/>
      <c r="I379" s="30"/>
      <c r="J379" s="16"/>
      <c r="K379" s="49"/>
      <c r="L379" s="16"/>
      <c r="M379" s="16"/>
      <c r="N379" s="16"/>
      <c r="O379" s="16"/>
      <c r="P379" s="16"/>
      <c r="Q379" s="85"/>
    </row>
    <row r="380" ht="19.5" customHeight="1">
      <c r="A380" s="13"/>
      <c r="B380" s="16"/>
      <c r="C380" s="16"/>
      <c r="D380" s="123"/>
      <c r="E380" s="80" t="s">
        <v>887</v>
      </c>
      <c r="F380" s="78"/>
      <c r="G380" s="243"/>
      <c r="H380" s="186"/>
      <c r="I380" s="30"/>
      <c r="J380" s="16"/>
      <c r="K380" s="13"/>
      <c r="L380" s="16"/>
      <c r="M380" s="16"/>
      <c r="N380" s="16"/>
      <c r="O380" s="16"/>
      <c r="P380" s="16"/>
      <c r="Q380" s="85"/>
    </row>
    <row r="381" ht="19.5" customHeight="1">
      <c r="A381" s="18">
        <f t="shared" ref="A381:A390" si="23">IF(ISBLANK(B381),"",COUNTA($B$4:B381))</f>
        <v>93</v>
      </c>
      <c r="B381" s="37" t="s">
        <v>888</v>
      </c>
      <c r="C381" s="20">
        <v>45745.0</v>
      </c>
      <c r="D381" s="78" t="s">
        <v>889</v>
      </c>
      <c r="E381" s="79"/>
      <c r="F381" s="53" t="s">
        <v>890</v>
      </c>
      <c r="G381" s="80" t="s">
        <v>701</v>
      </c>
      <c r="H381" s="81"/>
      <c r="I381" s="30"/>
      <c r="J381" s="32">
        <v>45731.0</v>
      </c>
      <c r="K381" s="27" t="s">
        <v>20</v>
      </c>
      <c r="L381" s="35" t="s">
        <v>891</v>
      </c>
      <c r="M381" s="82"/>
      <c r="N381" s="83"/>
      <c r="O381" s="83"/>
      <c r="P381" s="108"/>
      <c r="Q381" s="85"/>
    </row>
    <row r="382" ht="19.5" customHeight="1">
      <c r="A382" s="18">
        <f t="shared" si="23"/>
        <v>94</v>
      </c>
      <c r="B382" s="37" t="s">
        <v>892</v>
      </c>
      <c r="C382" s="42"/>
      <c r="D382" s="244" t="s">
        <v>893</v>
      </c>
      <c r="E382" s="245"/>
      <c r="F382" s="179" t="s">
        <v>894</v>
      </c>
      <c r="G382" s="246" t="s">
        <v>576</v>
      </c>
      <c r="H382" s="247"/>
      <c r="I382" s="248"/>
      <c r="J382" s="249"/>
      <c r="K382" s="27" t="s">
        <v>311</v>
      </c>
      <c r="L382" s="82"/>
      <c r="M382" s="82"/>
      <c r="N382" s="83"/>
      <c r="O382" s="83"/>
      <c r="P382" s="108"/>
      <c r="Q382" s="85"/>
    </row>
    <row r="383" ht="19.5" customHeight="1">
      <c r="A383" s="18">
        <f t="shared" si="23"/>
        <v>95</v>
      </c>
      <c r="B383" s="37" t="s">
        <v>895</v>
      </c>
      <c r="C383" s="20">
        <v>45745.0</v>
      </c>
      <c r="D383" s="78" t="s">
        <v>896</v>
      </c>
      <c r="E383" s="79"/>
      <c r="F383" s="53" t="s">
        <v>897</v>
      </c>
      <c r="G383" s="80" t="s">
        <v>898</v>
      </c>
      <c r="H383" s="81"/>
      <c r="I383" s="30"/>
      <c r="J383" s="32">
        <v>45731.0</v>
      </c>
      <c r="K383" s="27" t="s">
        <v>20</v>
      </c>
      <c r="L383" s="35" t="s">
        <v>899</v>
      </c>
      <c r="M383" s="82"/>
      <c r="N383" s="83"/>
      <c r="O383" s="83"/>
      <c r="P383" s="108"/>
      <c r="Q383" s="85"/>
    </row>
    <row r="384" ht="19.5" customHeight="1">
      <c r="A384" s="18">
        <f t="shared" si="23"/>
        <v>96</v>
      </c>
      <c r="B384" s="37" t="s">
        <v>900</v>
      </c>
      <c r="C384" s="20">
        <v>45745.0</v>
      </c>
      <c r="D384" s="78" t="s">
        <v>901</v>
      </c>
      <c r="E384" s="79"/>
      <c r="F384" s="53" t="s">
        <v>902</v>
      </c>
      <c r="G384" s="80" t="s">
        <v>790</v>
      </c>
      <c r="H384" s="81"/>
      <c r="I384" s="30"/>
      <c r="J384" s="32">
        <v>45731.0</v>
      </c>
      <c r="K384" s="27" t="s">
        <v>20</v>
      </c>
      <c r="L384" s="35" t="s">
        <v>903</v>
      </c>
      <c r="M384" s="82"/>
      <c r="N384" s="83"/>
      <c r="O384" s="83"/>
      <c r="P384" s="108"/>
      <c r="Q384" s="85"/>
    </row>
    <row r="385" ht="19.5" customHeight="1">
      <c r="A385" s="18">
        <f t="shared" si="23"/>
        <v>97</v>
      </c>
      <c r="B385" s="37" t="s">
        <v>904</v>
      </c>
      <c r="C385" s="42"/>
      <c r="D385" s="78" t="s">
        <v>905</v>
      </c>
      <c r="E385" s="79"/>
      <c r="F385" s="53"/>
      <c r="G385" s="80" t="s">
        <v>906</v>
      </c>
      <c r="H385" s="81"/>
      <c r="I385" s="30"/>
      <c r="J385" s="148"/>
      <c r="K385" s="27" t="s">
        <v>907</v>
      </c>
      <c r="L385" s="82"/>
      <c r="M385" s="82"/>
      <c r="N385" s="83"/>
      <c r="O385" s="83"/>
      <c r="P385" s="108"/>
      <c r="Q385" s="85"/>
    </row>
    <row r="386" ht="19.5" customHeight="1">
      <c r="A386" s="18">
        <f t="shared" si="23"/>
        <v>98</v>
      </c>
      <c r="B386" s="37" t="s">
        <v>908</v>
      </c>
      <c r="C386" s="42"/>
      <c r="D386" s="78" t="s">
        <v>909</v>
      </c>
      <c r="E386" s="79"/>
      <c r="F386" s="53" t="s">
        <v>910</v>
      </c>
      <c r="G386" s="80" t="s">
        <v>911</v>
      </c>
      <c r="H386" s="81"/>
      <c r="I386" s="30"/>
      <c r="J386" s="32">
        <v>45829.0</v>
      </c>
      <c r="K386" s="27" t="s">
        <v>20</v>
      </c>
      <c r="L386" s="35" t="s">
        <v>912</v>
      </c>
      <c r="M386" s="82"/>
      <c r="N386" s="83"/>
      <c r="O386" s="83"/>
      <c r="P386" s="108"/>
      <c r="Q386" s="85"/>
    </row>
    <row r="387" ht="19.5" hidden="1" customHeight="1">
      <c r="A387" s="18">
        <f t="shared" si="23"/>
        <v>99</v>
      </c>
      <c r="B387" s="37" t="s">
        <v>913</v>
      </c>
      <c r="C387" s="42"/>
      <c r="D387" s="78" t="s">
        <v>914</v>
      </c>
      <c r="E387" s="79"/>
      <c r="F387" s="53" t="s">
        <v>796</v>
      </c>
      <c r="G387" s="80" t="s">
        <v>71</v>
      </c>
      <c r="H387" s="81"/>
      <c r="I387" s="30"/>
      <c r="J387" s="148"/>
      <c r="K387" s="27" t="s">
        <v>915</v>
      </c>
      <c r="L387" s="82"/>
      <c r="M387" s="82"/>
      <c r="N387" s="83"/>
      <c r="O387" s="83"/>
      <c r="P387" s="108"/>
      <c r="Q387" s="85"/>
    </row>
    <row r="388" ht="19.5" customHeight="1">
      <c r="A388" s="18">
        <f t="shared" si="23"/>
        <v>100</v>
      </c>
      <c r="B388" s="37" t="s">
        <v>916</v>
      </c>
      <c r="C388" s="20">
        <v>45745.0</v>
      </c>
      <c r="D388" s="78" t="s">
        <v>917</v>
      </c>
      <c r="E388" s="79"/>
      <c r="F388" s="53" t="s">
        <v>918</v>
      </c>
      <c r="G388" s="80" t="s">
        <v>919</v>
      </c>
      <c r="H388" s="81"/>
      <c r="I388" s="30"/>
      <c r="J388" s="32">
        <v>45731.0</v>
      </c>
      <c r="K388" s="27" t="s">
        <v>20</v>
      </c>
      <c r="L388" s="35" t="s">
        <v>920</v>
      </c>
      <c r="M388" s="82"/>
      <c r="N388" s="83"/>
      <c r="O388" s="83"/>
      <c r="P388" s="108"/>
      <c r="Q388" s="85"/>
    </row>
    <row r="389" ht="19.5" customHeight="1">
      <c r="A389" s="18">
        <f t="shared" si="23"/>
        <v>101</v>
      </c>
      <c r="B389" s="37" t="s">
        <v>921</v>
      </c>
      <c r="C389" s="20">
        <v>45745.0</v>
      </c>
      <c r="D389" s="121" t="s">
        <v>922</v>
      </c>
      <c r="E389" s="138"/>
      <c r="F389" s="52" t="s">
        <v>382</v>
      </c>
      <c r="G389" s="113" t="s">
        <v>576</v>
      </c>
      <c r="H389" s="81"/>
      <c r="I389" s="30"/>
      <c r="J389" s="148"/>
      <c r="K389" s="27" t="s">
        <v>907</v>
      </c>
      <c r="L389" s="82"/>
      <c r="M389" s="82"/>
      <c r="N389" s="83"/>
      <c r="O389" s="83"/>
      <c r="P389" s="108"/>
      <c r="Q389" s="85"/>
    </row>
    <row r="390" ht="19.5" customHeight="1">
      <c r="A390" s="36">
        <f t="shared" si="23"/>
        <v>102</v>
      </c>
      <c r="B390" s="37" t="s">
        <v>923</v>
      </c>
      <c r="C390" s="20">
        <v>45745.0</v>
      </c>
      <c r="D390" s="38" t="s">
        <v>924</v>
      </c>
      <c r="E390" s="223"/>
      <c r="F390" s="116"/>
      <c r="G390" s="117"/>
      <c r="H390" s="186"/>
      <c r="I390" s="30"/>
      <c r="J390" s="48">
        <v>45731.0</v>
      </c>
      <c r="K390" s="44" t="s">
        <v>20</v>
      </c>
      <c r="L390" s="45" t="s">
        <v>925</v>
      </c>
      <c r="M390" s="42"/>
      <c r="N390" s="42"/>
      <c r="O390" s="42"/>
      <c r="P390" s="47"/>
      <c r="Q390" s="85"/>
    </row>
    <row r="391" ht="19.5" customHeight="1">
      <c r="A391" s="49"/>
      <c r="B391" s="16"/>
      <c r="C391" s="16"/>
      <c r="D391" s="119"/>
      <c r="E391" s="113" t="s">
        <v>926</v>
      </c>
      <c r="F391" s="121" t="s">
        <v>927</v>
      </c>
      <c r="G391" s="132" t="s">
        <v>928</v>
      </c>
      <c r="H391" s="186"/>
      <c r="I391" s="30"/>
      <c r="J391" s="49"/>
      <c r="K391" s="49"/>
      <c r="L391" s="16"/>
      <c r="M391" s="16"/>
      <c r="N391" s="16"/>
      <c r="O391" s="16"/>
      <c r="P391" s="49"/>
      <c r="Q391" s="85"/>
    </row>
    <row r="392" ht="19.5" customHeight="1">
      <c r="A392" s="13"/>
      <c r="B392" s="16"/>
      <c r="C392" s="16"/>
      <c r="D392" s="123"/>
      <c r="E392" s="80" t="s">
        <v>929</v>
      </c>
      <c r="F392" s="78" t="s">
        <v>930</v>
      </c>
      <c r="G392" s="140" t="s">
        <v>928</v>
      </c>
      <c r="H392" s="186"/>
      <c r="I392" s="30"/>
      <c r="J392" s="13"/>
      <c r="K392" s="13"/>
      <c r="L392" s="16"/>
      <c r="M392" s="16"/>
      <c r="N392" s="16"/>
      <c r="O392" s="16"/>
      <c r="P392" s="13"/>
      <c r="Q392" s="85"/>
    </row>
    <row r="393" ht="19.5" customHeight="1">
      <c r="A393" s="18">
        <f t="shared" ref="A393:A397" si="24">IF(ISBLANK(B393),"",COUNTA($B$4:B393))</f>
        <v>103</v>
      </c>
      <c r="B393" s="37" t="s">
        <v>931</v>
      </c>
      <c r="C393" s="20">
        <v>45745.0</v>
      </c>
      <c r="D393" s="78" t="s">
        <v>932</v>
      </c>
      <c r="E393" s="79"/>
      <c r="F393" s="53" t="s">
        <v>933</v>
      </c>
      <c r="G393" s="80" t="s">
        <v>790</v>
      </c>
      <c r="H393" s="81"/>
      <c r="I393" s="30"/>
      <c r="J393" s="32">
        <v>45731.0</v>
      </c>
      <c r="K393" s="27" t="s">
        <v>20</v>
      </c>
      <c r="L393" s="35" t="s">
        <v>934</v>
      </c>
      <c r="M393" s="82"/>
      <c r="N393" s="83"/>
      <c r="O393" s="83"/>
      <c r="P393" s="108"/>
      <c r="Q393" s="85"/>
    </row>
    <row r="394" ht="19.5" customHeight="1">
      <c r="A394" s="18">
        <f t="shared" si="24"/>
        <v>104</v>
      </c>
      <c r="B394" s="37" t="s">
        <v>935</v>
      </c>
      <c r="C394" s="20">
        <v>45745.0</v>
      </c>
      <c r="D394" s="78" t="s">
        <v>936</v>
      </c>
      <c r="E394" s="79"/>
      <c r="F394" s="53" t="s">
        <v>937</v>
      </c>
      <c r="G394" s="80" t="s">
        <v>300</v>
      </c>
      <c r="H394" s="81"/>
      <c r="I394" s="30"/>
      <c r="J394" s="32">
        <v>45731.0</v>
      </c>
      <c r="K394" s="27" t="s">
        <v>20</v>
      </c>
      <c r="L394" s="35" t="s">
        <v>938</v>
      </c>
      <c r="M394" s="82"/>
      <c r="N394" s="83"/>
      <c r="O394" s="83"/>
      <c r="P394" s="108"/>
      <c r="Q394" s="85"/>
    </row>
    <row r="395" ht="19.5" customHeight="1">
      <c r="A395" s="18">
        <f t="shared" si="24"/>
        <v>105</v>
      </c>
      <c r="B395" s="37" t="s">
        <v>939</v>
      </c>
      <c r="C395" s="20">
        <v>45745.0</v>
      </c>
      <c r="D395" s="78" t="s">
        <v>940</v>
      </c>
      <c r="E395" s="79"/>
      <c r="F395" s="53"/>
      <c r="G395" s="80" t="s">
        <v>941</v>
      </c>
      <c r="H395" s="81"/>
      <c r="I395" s="30"/>
      <c r="J395" s="32">
        <v>45731.0</v>
      </c>
      <c r="K395" s="27" t="s">
        <v>20</v>
      </c>
      <c r="L395" s="35" t="s">
        <v>942</v>
      </c>
      <c r="M395" s="82"/>
      <c r="N395" s="83"/>
      <c r="O395" s="83"/>
      <c r="P395" s="108"/>
      <c r="Q395" s="85"/>
    </row>
    <row r="396" ht="19.5" customHeight="1">
      <c r="A396" s="18">
        <f t="shared" si="24"/>
        <v>106</v>
      </c>
      <c r="B396" s="37" t="s">
        <v>943</v>
      </c>
      <c r="C396" s="42"/>
      <c r="D396" s="78" t="s">
        <v>944</v>
      </c>
      <c r="E396" s="79"/>
      <c r="F396" s="53" t="s">
        <v>945</v>
      </c>
      <c r="G396" s="80" t="s">
        <v>946</v>
      </c>
      <c r="H396" s="81"/>
      <c r="I396" s="30"/>
      <c r="J396" s="148"/>
      <c r="K396" s="27" t="s">
        <v>907</v>
      </c>
      <c r="L396" s="82"/>
      <c r="M396" s="82"/>
      <c r="N396" s="83"/>
      <c r="O396" s="83"/>
      <c r="P396" s="108"/>
      <c r="Q396" s="85"/>
    </row>
    <row r="397" ht="19.5" customHeight="1">
      <c r="A397" s="18">
        <f t="shared" si="24"/>
        <v>107</v>
      </c>
      <c r="B397" s="37" t="s">
        <v>947</v>
      </c>
      <c r="C397" s="42"/>
      <c r="D397" s="121" t="s">
        <v>948</v>
      </c>
      <c r="E397" s="138"/>
      <c r="F397" s="52" t="s">
        <v>945</v>
      </c>
      <c r="G397" s="113" t="s">
        <v>949</v>
      </c>
      <c r="H397" s="81"/>
      <c r="I397" s="30"/>
      <c r="J397" s="148"/>
      <c r="K397" s="27" t="s">
        <v>907</v>
      </c>
      <c r="L397" s="82"/>
      <c r="M397" s="82"/>
      <c r="N397" s="83"/>
      <c r="O397" s="83"/>
      <c r="P397" s="108"/>
      <c r="Q397" s="85"/>
    </row>
    <row r="398" ht="19.5" customHeight="1">
      <c r="A398" s="18">
        <f>IF(ISBLANK(B398),"",COUNTA($B$4:B403))</f>
        <v>111</v>
      </c>
      <c r="B398" s="37" t="s">
        <v>950</v>
      </c>
      <c r="C398" s="42"/>
      <c r="D398" s="116" t="s">
        <v>951</v>
      </c>
      <c r="E398" s="115"/>
      <c r="F398" s="76" t="s">
        <v>952</v>
      </c>
      <c r="G398" s="107" t="s">
        <v>142</v>
      </c>
      <c r="H398" s="81"/>
      <c r="I398" s="30"/>
      <c r="J398" s="148"/>
      <c r="K398" s="27" t="s">
        <v>907</v>
      </c>
      <c r="L398" s="82"/>
      <c r="M398" s="82"/>
      <c r="N398" s="83"/>
      <c r="O398" s="83"/>
      <c r="P398" s="108"/>
      <c r="Q398" s="85"/>
    </row>
    <row r="399" ht="19.5" hidden="1" customHeight="1">
      <c r="A399" s="18">
        <f>IF(ISBLANK(B399),"",COUNTA($B$4:B415))</f>
        <v>112</v>
      </c>
      <c r="B399" s="37" t="s">
        <v>953</v>
      </c>
      <c r="C399" s="42"/>
      <c r="D399" s="21" t="s">
        <v>954</v>
      </c>
      <c r="E399" s="82"/>
      <c r="F399" s="236"/>
      <c r="G399" s="139"/>
      <c r="H399" s="186"/>
      <c r="I399" s="30"/>
      <c r="J399" s="42"/>
      <c r="K399" s="27" t="s">
        <v>915</v>
      </c>
      <c r="L399" s="137"/>
      <c r="M399" s="137"/>
      <c r="N399" s="137"/>
      <c r="O399" s="137"/>
      <c r="P399" s="250"/>
      <c r="Q399" s="85"/>
    </row>
    <row r="400" ht="19.5" customHeight="1">
      <c r="A400" s="18">
        <f t="shared" ref="A400:A401" si="25">IF(ISBLANK(B400),"",COUNTA($B$4:B400))</f>
        <v>110</v>
      </c>
      <c r="B400" s="37" t="s">
        <v>955</v>
      </c>
      <c r="C400" s="20">
        <v>45746.0</v>
      </c>
      <c r="D400" s="21" t="s">
        <v>956</v>
      </c>
      <c r="E400" s="82"/>
      <c r="F400" s="21" t="s">
        <v>957</v>
      </c>
      <c r="G400" s="107" t="s">
        <v>300</v>
      </c>
      <c r="H400" s="186"/>
      <c r="I400" s="30"/>
      <c r="J400" s="32">
        <v>45733.0</v>
      </c>
      <c r="K400" s="27" t="s">
        <v>20</v>
      </c>
      <c r="L400" s="197" t="s">
        <v>958</v>
      </c>
      <c r="M400" s="42"/>
      <c r="N400" s="42"/>
      <c r="O400" s="42"/>
      <c r="P400" s="47"/>
      <c r="Q400" s="85"/>
    </row>
    <row r="401" ht="19.5" hidden="1" customHeight="1">
      <c r="A401" s="36">
        <f t="shared" si="25"/>
        <v>111</v>
      </c>
      <c r="B401" s="37" t="s">
        <v>959</v>
      </c>
      <c r="C401" s="42"/>
      <c r="D401" s="38" t="s">
        <v>960</v>
      </c>
      <c r="E401" s="223"/>
      <c r="F401" s="116"/>
      <c r="G401" s="47"/>
      <c r="H401" s="251"/>
      <c r="I401" s="42"/>
      <c r="J401" s="42"/>
      <c r="K401" s="42"/>
      <c r="L401" s="42"/>
      <c r="M401" s="42"/>
      <c r="N401" s="42"/>
      <c r="O401" s="42"/>
      <c r="P401" s="47"/>
      <c r="Q401" s="85"/>
    </row>
    <row r="402" ht="19.5" hidden="1" customHeight="1">
      <c r="A402" s="49"/>
      <c r="B402" s="16"/>
      <c r="C402" s="16"/>
      <c r="D402" s="119"/>
      <c r="E402" s="113" t="s">
        <v>961</v>
      </c>
      <c r="F402" s="121"/>
      <c r="G402" s="144"/>
      <c r="I402" s="16"/>
      <c r="J402" s="16"/>
      <c r="K402" s="16"/>
      <c r="L402" s="16"/>
      <c r="M402" s="16"/>
      <c r="N402" s="16"/>
      <c r="O402" s="16"/>
      <c r="P402" s="49"/>
      <c r="Q402" s="85"/>
    </row>
    <row r="403" ht="19.5" hidden="1" customHeight="1">
      <c r="A403" s="13"/>
      <c r="B403" s="16"/>
      <c r="C403" s="16"/>
      <c r="D403" s="123"/>
      <c r="E403" s="80" t="s">
        <v>72</v>
      </c>
      <c r="F403" s="78"/>
      <c r="G403" s="252"/>
      <c r="I403" s="16"/>
      <c r="J403" s="16"/>
      <c r="K403" s="16"/>
      <c r="L403" s="16"/>
      <c r="M403" s="16"/>
      <c r="N403" s="16"/>
      <c r="O403" s="16"/>
      <c r="P403" s="13"/>
      <c r="Q403" s="85"/>
    </row>
    <row r="404" ht="19.5" hidden="1" customHeight="1">
      <c r="A404" s="36">
        <f>IF(ISBLANK(B404),"",COUNTA($B$4:B404))</f>
        <v>112</v>
      </c>
      <c r="B404" s="37" t="s">
        <v>962</v>
      </c>
      <c r="C404" s="42"/>
      <c r="D404" s="38" t="s">
        <v>963</v>
      </c>
      <c r="E404" s="223"/>
      <c r="F404" s="116"/>
      <c r="G404" s="117"/>
      <c r="H404" s="186"/>
      <c r="I404" s="30"/>
      <c r="J404" s="42"/>
      <c r="K404" s="42"/>
      <c r="L404" s="42"/>
      <c r="M404" s="42"/>
      <c r="N404" s="42"/>
      <c r="O404" s="42"/>
      <c r="P404" s="47"/>
      <c r="Q404" s="85"/>
    </row>
    <row r="405" ht="19.5" hidden="1" customHeight="1">
      <c r="A405" s="49"/>
      <c r="B405" s="16"/>
      <c r="C405" s="16"/>
      <c r="D405" s="119"/>
      <c r="E405" s="113" t="s">
        <v>964</v>
      </c>
      <c r="F405" s="121" t="s">
        <v>965</v>
      </c>
      <c r="G405" s="142"/>
      <c r="H405" s="186"/>
      <c r="I405" s="30"/>
      <c r="J405" s="16"/>
      <c r="K405" s="16"/>
      <c r="L405" s="16"/>
      <c r="M405" s="16"/>
      <c r="N405" s="16"/>
      <c r="O405" s="16"/>
      <c r="P405" s="49"/>
      <c r="Q405" s="85"/>
    </row>
    <row r="406" ht="19.5" hidden="1" customHeight="1">
      <c r="A406" s="49"/>
      <c r="B406" s="16"/>
      <c r="C406" s="16"/>
      <c r="D406" s="119"/>
      <c r="E406" s="113" t="s">
        <v>966</v>
      </c>
      <c r="F406" s="121" t="s">
        <v>965</v>
      </c>
      <c r="G406" s="142"/>
      <c r="H406" s="186"/>
      <c r="I406" s="30"/>
      <c r="J406" s="16"/>
      <c r="K406" s="16"/>
      <c r="L406" s="16"/>
      <c r="M406" s="16"/>
      <c r="N406" s="16"/>
      <c r="O406" s="16"/>
      <c r="P406" s="49"/>
      <c r="Q406" s="85"/>
    </row>
    <row r="407" ht="19.5" hidden="1" customHeight="1">
      <c r="A407" s="49"/>
      <c r="B407" s="16"/>
      <c r="C407" s="16"/>
      <c r="D407" s="119"/>
      <c r="E407" s="113" t="s">
        <v>967</v>
      </c>
      <c r="F407" s="121" t="s">
        <v>965</v>
      </c>
      <c r="G407" s="142"/>
      <c r="H407" s="186"/>
      <c r="I407" s="30"/>
      <c r="J407" s="16"/>
      <c r="K407" s="16"/>
      <c r="L407" s="16"/>
      <c r="M407" s="16"/>
      <c r="N407" s="16"/>
      <c r="O407" s="16"/>
      <c r="P407" s="49"/>
      <c r="Q407" s="85"/>
    </row>
    <row r="408" ht="19.5" hidden="1" customHeight="1">
      <c r="A408" s="49"/>
      <c r="B408" s="16"/>
      <c r="C408" s="16"/>
      <c r="D408" s="119"/>
      <c r="E408" s="113" t="s">
        <v>968</v>
      </c>
      <c r="F408" s="121" t="s">
        <v>965</v>
      </c>
      <c r="G408" s="142"/>
      <c r="H408" s="186"/>
      <c r="I408" s="30"/>
      <c r="J408" s="16"/>
      <c r="K408" s="16"/>
      <c r="L408" s="16"/>
      <c r="M408" s="16"/>
      <c r="N408" s="16"/>
      <c r="O408" s="16"/>
      <c r="P408" s="49"/>
      <c r="Q408" s="85"/>
    </row>
    <row r="409" ht="19.5" hidden="1" customHeight="1">
      <c r="A409" s="49"/>
      <c r="B409" s="16"/>
      <c r="C409" s="16"/>
      <c r="D409" s="119"/>
      <c r="E409" s="113" t="s">
        <v>969</v>
      </c>
      <c r="F409" s="121" t="s">
        <v>970</v>
      </c>
      <c r="G409" s="142"/>
      <c r="H409" s="186"/>
      <c r="I409" s="30"/>
      <c r="J409" s="16"/>
      <c r="K409" s="16"/>
      <c r="L409" s="16"/>
      <c r="M409" s="16"/>
      <c r="N409" s="16"/>
      <c r="O409" s="16"/>
      <c r="P409" s="49"/>
      <c r="Q409" s="85"/>
    </row>
    <row r="410" ht="19.5" hidden="1" customHeight="1">
      <c r="A410" s="49"/>
      <c r="B410" s="16"/>
      <c r="C410" s="16"/>
      <c r="D410" s="119"/>
      <c r="E410" s="113" t="s">
        <v>971</v>
      </c>
      <c r="F410" s="121" t="s">
        <v>972</v>
      </c>
      <c r="G410" s="142"/>
      <c r="H410" s="186"/>
      <c r="I410" s="30"/>
      <c r="J410" s="16"/>
      <c r="K410" s="16"/>
      <c r="L410" s="16"/>
      <c r="M410" s="16"/>
      <c r="N410" s="16"/>
      <c r="O410" s="16"/>
      <c r="P410" s="49"/>
      <c r="Q410" s="85"/>
    </row>
    <row r="411" ht="19.5" hidden="1" customHeight="1">
      <c r="A411" s="49"/>
      <c r="B411" s="16"/>
      <c r="C411" s="16"/>
      <c r="D411" s="119"/>
      <c r="E411" s="113" t="s">
        <v>973</v>
      </c>
      <c r="F411" s="121" t="s">
        <v>974</v>
      </c>
      <c r="G411" s="142"/>
      <c r="H411" s="186"/>
      <c r="I411" s="30"/>
      <c r="J411" s="16"/>
      <c r="K411" s="16"/>
      <c r="L411" s="16"/>
      <c r="M411" s="16"/>
      <c r="N411" s="16"/>
      <c r="O411" s="16"/>
      <c r="P411" s="49"/>
      <c r="Q411" s="85"/>
    </row>
    <row r="412" ht="19.5" hidden="1" customHeight="1">
      <c r="A412" s="49"/>
      <c r="B412" s="16"/>
      <c r="C412" s="16"/>
      <c r="D412" s="119"/>
      <c r="E412" s="113" t="s">
        <v>975</v>
      </c>
      <c r="F412" s="121" t="s">
        <v>976</v>
      </c>
      <c r="G412" s="142"/>
      <c r="H412" s="186"/>
      <c r="I412" s="30"/>
      <c r="J412" s="16"/>
      <c r="K412" s="16"/>
      <c r="L412" s="16"/>
      <c r="M412" s="16"/>
      <c r="N412" s="16"/>
      <c r="O412" s="16"/>
      <c r="P412" s="49"/>
      <c r="Q412" s="85"/>
    </row>
    <row r="413" ht="19.5" hidden="1" customHeight="1">
      <c r="A413" s="49"/>
      <c r="B413" s="16"/>
      <c r="C413" s="16"/>
      <c r="D413" s="119"/>
      <c r="E413" s="113" t="s">
        <v>977</v>
      </c>
      <c r="F413" s="121" t="s">
        <v>978</v>
      </c>
      <c r="G413" s="142"/>
      <c r="H413" s="186"/>
      <c r="I413" s="30"/>
      <c r="J413" s="16"/>
      <c r="K413" s="16"/>
      <c r="L413" s="16"/>
      <c r="M413" s="16"/>
      <c r="N413" s="16"/>
      <c r="O413" s="16"/>
      <c r="P413" s="49"/>
      <c r="Q413" s="85"/>
    </row>
    <row r="414" ht="19.5" hidden="1" customHeight="1">
      <c r="A414" s="49"/>
      <c r="B414" s="16"/>
      <c r="C414" s="16"/>
      <c r="D414" s="119"/>
      <c r="E414" s="113" t="s">
        <v>979</v>
      </c>
      <c r="F414" s="121" t="s">
        <v>980</v>
      </c>
      <c r="G414" s="142"/>
      <c r="H414" s="186"/>
      <c r="I414" s="30"/>
      <c r="J414" s="16"/>
      <c r="K414" s="16"/>
      <c r="L414" s="16"/>
      <c r="M414" s="16"/>
      <c r="N414" s="16"/>
      <c r="O414" s="16"/>
      <c r="P414" s="49"/>
      <c r="Q414" s="85"/>
    </row>
    <row r="415" ht="19.5" hidden="1" customHeight="1">
      <c r="A415" s="13"/>
      <c r="B415" s="16"/>
      <c r="C415" s="16"/>
      <c r="D415" s="123"/>
      <c r="E415" s="80" t="s">
        <v>981</v>
      </c>
      <c r="F415" s="78"/>
      <c r="G415" s="243"/>
      <c r="H415" s="186"/>
      <c r="I415" s="30"/>
      <c r="J415" s="16"/>
      <c r="K415" s="16"/>
      <c r="L415" s="16"/>
      <c r="M415" s="16"/>
      <c r="N415" s="16"/>
      <c r="O415" s="16"/>
      <c r="P415" s="13"/>
      <c r="Q415" s="85"/>
    </row>
    <row r="416" ht="19.5" customHeight="1">
      <c r="A416" s="18"/>
      <c r="B416" s="37"/>
      <c r="C416" s="42"/>
      <c r="D416" s="152"/>
      <c r="E416" s="82"/>
      <c r="F416" s="76"/>
      <c r="G416" s="253"/>
      <c r="H416" s="81"/>
      <c r="I416" s="30"/>
      <c r="J416" s="148"/>
      <c r="K416" s="27"/>
      <c r="L416" s="82"/>
      <c r="M416" s="82"/>
      <c r="N416" s="83"/>
      <c r="O416" s="83"/>
      <c r="P416" s="108"/>
      <c r="Q416" s="85"/>
    </row>
    <row r="417" ht="19.5" customHeight="1">
      <c r="A417" s="18" t="str">
        <f t="shared" ref="A417:A419" si="26">IF(ISBLANK(B417),"",COUNTA($B$4:B417))</f>
        <v/>
      </c>
      <c r="B417" s="37"/>
      <c r="C417" s="42"/>
      <c r="D417" s="123"/>
      <c r="E417" s="79"/>
      <c r="F417" s="53"/>
      <c r="G417" s="170"/>
      <c r="H417" s="81"/>
      <c r="I417" s="30"/>
      <c r="J417" s="148"/>
      <c r="K417" s="27"/>
      <c r="L417" s="82"/>
      <c r="M417" s="82"/>
      <c r="N417" s="83"/>
      <c r="O417" s="83"/>
      <c r="P417" s="108"/>
      <c r="Q417" s="85"/>
    </row>
    <row r="418" ht="19.5" customHeight="1">
      <c r="A418" s="18" t="str">
        <f t="shared" si="26"/>
        <v/>
      </c>
      <c r="B418" s="37"/>
      <c r="C418" s="42"/>
      <c r="D418" s="123"/>
      <c r="E418" s="79"/>
      <c r="F418" s="53"/>
      <c r="G418" s="170"/>
      <c r="H418" s="81"/>
      <c r="I418" s="30"/>
      <c r="J418" s="148"/>
      <c r="K418" s="27"/>
      <c r="L418" s="82"/>
      <c r="M418" s="82"/>
      <c r="N418" s="83"/>
      <c r="O418" s="83"/>
      <c r="P418" s="108"/>
      <c r="Q418" s="85"/>
    </row>
    <row r="419" ht="19.5" customHeight="1">
      <c r="A419" s="18" t="str">
        <f t="shared" si="26"/>
        <v/>
      </c>
      <c r="B419" s="73"/>
      <c r="C419" s="137"/>
      <c r="D419" s="123"/>
      <c r="E419" s="79"/>
      <c r="F419" s="53"/>
      <c r="G419" s="170"/>
      <c r="H419" s="81"/>
      <c r="I419" s="30"/>
      <c r="J419" s="148"/>
      <c r="K419" s="27"/>
      <c r="L419" s="82"/>
      <c r="M419" s="82"/>
      <c r="N419" s="83"/>
      <c r="O419" s="83"/>
      <c r="P419" s="108"/>
      <c r="Q419" s="85"/>
    </row>
    <row r="420">
      <c r="A420" s="254"/>
      <c r="B420" s="255"/>
      <c r="C420" s="256"/>
      <c r="D420" s="257"/>
      <c r="E420" s="258"/>
      <c r="F420" s="259"/>
      <c r="G420" s="258"/>
      <c r="H420" s="255"/>
      <c r="I420" s="255"/>
      <c r="J420" s="260"/>
      <c r="K420" s="255"/>
      <c r="L420" s="258"/>
      <c r="M420" s="258"/>
      <c r="N420" s="255"/>
      <c r="O420" s="255"/>
      <c r="P420" s="254"/>
      <c r="Q420" s="260"/>
    </row>
    <row r="421">
      <c r="A421" s="254"/>
      <c r="B421" s="255"/>
      <c r="C421" s="256"/>
      <c r="D421" s="257"/>
      <c r="E421" s="258"/>
      <c r="F421" s="259"/>
      <c r="G421" s="258"/>
      <c r="H421" s="255"/>
      <c r="I421" s="255"/>
      <c r="J421" s="260"/>
      <c r="K421" s="255"/>
      <c r="L421" s="258"/>
      <c r="M421" s="258"/>
      <c r="N421" s="255"/>
      <c r="O421" s="255"/>
      <c r="P421" s="254"/>
      <c r="Q421" s="260"/>
    </row>
    <row r="422">
      <c r="A422" s="254"/>
      <c r="B422" s="255"/>
      <c r="C422" s="256"/>
      <c r="D422" s="257"/>
      <c r="E422" s="258"/>
      <c r="F422" s="259"/>
      <c r="G422" s="258"/>
      <c r="H422" s="255"/>
      <c r="I422" s="255"/>
      <c r="J422" s="260"/>
      <c r="K422" s="255"/>
      <c r="L422" s="258"/>
      <c r="M422" s="258"/>
      <c r="N422" s="255"/>
      <c r="O422" s="255"/>
      <c r="P422" s="254"/>
      <c r="Q422" s="260"/>
    </row>
    <row r="423">
      <c r="A423" s="254"/>
      <c r="B423" s="255"/>
      <c r="C423" s="256"/>
      <c r="D423" s="257"/>
      <c r="E423" s="258"/>
      <c r="F423" s="259"/>
      <c r="G423" s="258"/>
      <c r="H423" s="255"/>
      <c r="I423" s="255"/>
      <c r="J423" s="260"/>
      <c r="K423" s="255"/>
      <c r="L423" s="258"/>
      <c r="M423" s="258"/>
      <c r="N423" s="255"/>
      <c r="O423" s="255"/>
      <c r="P423" s="254"/>
      <c r="Q423" s="260"/>
    </row>
    <row r="424">
      <c r="A424" s="254"/>
      <c r="B424" s="255"/>
      <c r="C424" s="256"/>
      <c r="D424" s="257"/>
      <c r="E424" s="258"/>
      <c r="F424" s="259"/>
      <c r="G424" s="258"/>
      <c r="H424" s="255"/>
      <c r="I424" s="255"/>
      <c r="J424" s="260"/>
      <c r="K424" s="255"/>
      <c r="L424" s="258"/>
      <c r="M424" s="258"/>
      <c r="N424" s="255"/>
      <c r="O424" s="255"/>
      <c r="P424" s="254"/>
      <c r="Q424" s="260"/>
    </row>
    <row r="425">
      <c r="A425" s="254"/>
      <c r="B425" s="255"/>
      <c r="C425" s="256"/>
      <c r="D425" s="257"/>
      <c r="E425" s="258"/>
      <c r="F425" s="259"/>
      <c r="G425" s="258"/>
      <c r="H425" s="255"/>
      <c r="I425" s="255"/>
      <c r="J425" s="260"/>
      <c r="K425" s="255"/>
      <c r="L425" s="258"/>
      <c r="M425" s="258"/>
      <c r="N425" s="255"/>
      <c r="O425" s="255"/>
      <c r="P425" s="254"/>
      <c r="Q425" s="260"/>
    </row>
    <row r="426">
      <c r="A426" s="254"/>
      <c r="B426" s="255"/>
      <c r="C426" s="256"/>
      <c r="D426" s="257"/>
      <c r="E426" s="258"/>
      <c r="F426" s="259"/>
      <c r="G426" s="258"/>
      <c r="H426" s="255"/>
      <c r="I426" s="255"/>
      <c r="J426" s="260"/>
      <c r="K426" s="255"/>
      <c r="L426" s="258"/>
      <c r="M426" s="258"/>
      <c r="N426" s="255"/>
      <c r="O426" s="255"/>
      <c r="P426" s="254"/>
      <c r="Q426" s="260"/>
    </row>
    <row r="427">
      <c r="A427" s="254"/>
      <c r="B427" s="255"/>
      <c r="C427" s="256"/>
      <c r="D427" s="257"/>
      <c r="E427" s="258"/>
      <c r="F427" s="259"/>
      <c r="G427" s="258"/>
      <c r="H427" s="255"/>
      <c r="I427" s="255"/>
      <c r="J427" s="260"/>
      <c r="K427" s="255"/>
      <c r="L427" s="258"/>
      <c r="M427" s="258"/>
      <c r="N427" s="255"/>
      <c r="O427" s="255"/>
      <c r="P427" s="254"/>
      <c r="Q427" s="260"/>
    </row>
    <row r="428">
      <c r="A428" s="254"/>
      <c r="B428" s="255"/>
      <c r="C428" s="256"/>
      <c r="D428" s="257"/>
      <c r="E428" s="258"/>
      <c r="F428" s="259"/>
      <c r="G428" s="258"/>
      <c r="H428" s="255"/>
      <c r="I428" s="255"/>
      <c r="J428" s="260"/>
      <c r="K428" s="255"/>
      <c r="L428" s="258"/>
      <c r="M428" s="258"/>
      <c r="N428" s="255"/>
      <c r="O428" s="255"/>
      <c r="P428" s="254"/>
      <c r="Q428" s="260"/>
    </row>
    <row r="429">
      <c r="A429" s="254"/>
      <c r="B429" s="255"/>
      <c r="C429" s="256"/>
      <c r="D429" s="257"/>
      <c r="E429" s="258"/>
      <c r="F429" s="259"/>
      <c r="G429" s="258"/>
      <c r="H429" s="255"/>
      <c r="I429" s="255"/>
      <c r="J429" s="260"/>
      <c r="K429" s="255"/>
      <c r="L429" s="258"/>
      <c r="M429" s="258"/>
      <c r="N429" s="255"/>
      <c r="O429" s="255"/>
      <c r="P429" s="254"/>
      <c r="Q429" s="260"/>
    </row>
    <row r="430">
      <c r="A430" s="254"/>
      <c r="B430" s="255"/>
      <c r="C430" s="256"/>
      <c r="D430" s="257"/>
      <c r="E430" s="258"/>
      <c r="F430" s="259"/>
      <c r="G430" s="258"/>
      <c r="H430" s="255"/>
      <c r="I430" s="255"/>
      <c r="J430" s="260"/>
      <c r="K430" s="255"/>
      <c r="L430" s="258"/>
      <c r="M430" s="258"/>
      <c r="N430" s="255"/>
      <c r="O430" s="255"/>
      <c r="P430" s="254"/>
      <c r="Q430" s="260"/>
    </row>
    <row r="431">
      <c r="A431" s="254"/>
      <c r="B431" s="255"/>
      <c r="C431" s="256"/>
      <c r="D431" s="257"/>
      <c r="E431" s="258"/>
      <c r="F431" s="259"/>
      <c r="G431" s="258"/>
      <c r="H431" s="255"/>
      <c r="I431" s="255"/>
      <c r="J431" s="260"/>
      <c r="K431" s="255"/>
      <c r="L431" s="258"/>
      <c r="M431" s="258"/>
      <c r="N431" s="255"/>
      <c r="O431" s="255"/>
      <c r="P431" s="254"/>
      <c r="Q431" s="260"/>
    </row>
    <row r="432">
      <c r="A432" s="254"/>
      <c r="B432" s="255"/>
      <c r="C432" s="256"/>
      <c r="D432" s="257"/>
      <c r="E432" s="258"/>
      <c r="F432" s="259"/>
      <c r="G432" s="258"/>
      <c r="H432" s="255"/>
      <c r="I432" s="255"/>
      <c r="J432" s="260"/>
      <c r="K432" s="255"/>
      <c r="L432" s="258"/>
      <c r="M432" s="258"/>
      <c r="N432" s="255"/>
      <c r="O432" s="255"/>
      <c r="P432" s="254"/>
      <c r="Q432" s="260"/>
    </row>
    <row r="433">
      <c r="A433" s="254"/>
      <c r="B433" s="255"/>
      <c r="C433" s="256"/>
      <c r="D433" s="257"/>
      <c r="E433" s="258"/>
      <c r="F433" s="259"/>
      <c r="G433" s="258"/>
      <c r="H433" s="255"/>
      <c r="I433" s="255"/>
      <c r="J433" s="260"/>
      <c r="K433" s="255"/>
      <c r="L433" s="258"/>
      <c r="M433" s="258"/>
      <c r="N433" s="255"/>
      <c r="O433" s="255"/>
      <c r="P433" s="254"/>
      <c r="Q433" s="260"/>
    </row>
    <row r="434">
      <c r="A434" s="254"/>
      <c r="B434" s="255"/>
      <c r="C434" s="256"/>
      <c r="D434" s="257"/>
      <c r="E434" s="258"/>
      <c r="F434" s="259"/>
      <c r="G434" s="258"/>
      <c r="H434" s="255"/>
      <c r="I434" s="255"/>
      <c r="J434" s="260"/>
      <c r="K434" s="255"/>
      <c r="L434" s="258"/>
      <c r="M434" s="258"/>
      <c r="N434" s="255"/>
      <c r="O434" s="255"/>
      <c r="P434" s="254"/>
      <c r="Q434" s="260"/>
    </row>
    <row r="435">
      <c r="A435" s="254"/>
      <c r="B435" s="255"/>
      <c r="C435" s="256"/>
      <c r="D435" s="257"/>
      <c r="E435" s="258"/>
      <c r="F435" s="259"/>
      <c r="G435" s="258"/>
      <c r="H435" s="255"/>
      <c r="I435" s="255"/>
      <c r="J435" s="260"/>
      <c r="K435" s="255"/>
      <c r="L435" s="258"/>
      <c r="M435" s="258"/>
      <c r="N435" s="255"/>
      <c r="O435" s="255"/>
      <c r="P435" s="254"/>
      <c r="Q435" s="260"/>
    </row>
    <row r="436">
      <c r="A436" s="254"/>
      <c r="B436" s="255"/>
      <c r="C436" s="256"/>
      <c r="D436" s="257"/>
      <c r="E436" s="258"/>
      <c r="F436" s="259"/>
      <c r="G436" s="258"/>
      <c r="H436" s="255"/>
      <c r="I436" s="255"/>
      <c r="J436" s="260"/>
      <c r="K436" s="255"/>
      <c r="L436" s="258"/>
      <c r="M436" s="258"/>
      <c r="N436" s="255"/>
      <c r="O436" s="255"/>
      <c r="P436" s="254"/>
      <c r="Q436" s="260"/>
    </row>
    <row r="437">
      <c r="A437" s="254"/>
      <c r="B437" s="255"/>
      <c r="C437" s="256"/>
      <c r="D437" s="257"/>
      <c r="E437" s="258"/>
      <c r="F437" s="259"/>
      <c r="G437" s="258"/>
      <c r="H437" s="255"/>
      <c r="I437" s="255"/>
      <c r="J437" s="260"/>
      <c r="K437" s="255"/>
      <c r="L437" s="258"/>
      <c r="M437" s="258"/>
      <c r="N437" s="255"/>
      <c r="O437" s="255"/>
      <c r="P437" s="254"/>
      <c r="Q437" s="260"/>
    </row>
    <row r="438">
      <c r="A438" s="254"/>
      <c r="B438" s="255"/>
      <c r="C438" s="256"/>
      <c r="D438" s="257"/>
      <c r="E438" s="258"/>
      <c r="F438" s="259"/>
      <c r="G438" s="258"/>
      <c r="H438" s="255"/>
      <c r="I438" s="255"/>
      <c r="J438" s="260"/>
      <c r="K438" s="255"/>
      <c r="L438" s="258"/>
      <c r="M438" s="258"/>
      <c r="N438" s="255"/>
      <c r="O438" s="255"/>
      <c r="P438" s="254"/>
      <c r="Q438" s="260"/>
    </row>
    <row r="439">
      <c r="A439" s="254"/>
      <c r="B439" s="255"/>
      <c r="C439" s="256"/>
      <c r="D439" s="257"/>
      <c r="E439" s="258"/>
      <c r="F439" s="259"/>
      <c r="G439" s="258"/>
      <c r="H439" s="255"/>
      <c r="I439" s="255"/>
      <c r="J439" s="260"/>
      <c r="K439" s="255"/>
      <c r="L439" s="258"/>
      <c r="M439" s="258"/>
      <c r="N439" s="255"/>
      <c r="O439" s="255"/>
      <c r="P439" s="254"/>
      <c r="Q439" s="260"/>
    </row>
    <row r="440">
      <c r="A440" s="254"/>
      <c r="B440" s="255"/>
      <c r="C440" s="256"/>
      <c r="D440" s="257"/>
      <c r="E440" s="258"/>
      <c r="F440" s="259"/>
      <c r="G440" s="258"/>
      <c r="H440" s="255"/>
      <c r="I440" s="255"/>
      <c r="J440" s="260"/>
      <c r="K440" s="255"/>
      <c r="L440" s="258"/>
      <c r="M440" s="258"/>
      <c r="N440" s="255"/>
      <c r="O440" s="255"/>
      <c r="P440" s="254"/>
      <c r="Q440" s="260"/>
    </row>
    <row r="441">
      <c r="A441" s="254"/>
      <c r="B441" s="255"/>
      <c r="C441" s="256"/>
      <c r="D441" s="257"/>
      <c r="E441" s="258"/>
      <c r="F441" s="259"/>
      <c r="G441" s="258"/>
      <c r="H441" s="255"/>
      <c r="I441" s="255"/>
      <c r="J441" s="260"/>
      <c r="K441" s="255"/>
      <c r="L441" s="258"/>
      <c r="M441" s="258"/>
      <c r="N441" s="255"/>
      <c r="O441" s="255"/>
      <c r="P441" s="254"/>
      <c r="Q441" s="260"/>
    </row>
    <row r="442">
      <c r="A442" s="254"/>
      <c r="B442" s="255"/>
      <c r="C442" s="256"/>
      <c r="D442" s="257"/>
      <c r="E442" s="258"/>
      <c r="F442" s="259"/>
      <c r="G442" s="258"/>
      <c r="H442" s="255"/>
      <c r="I442" s="255"/>
      <c r="J442" s="260"/>
      <c r="K442" s="255"/>
      <c r="L442" s="258"/>
      <c r="M442" s="258"/>
      <c r="N442" s="255"/>
      <c r="O442" s="255"/>
      <c r="P442" s="254"/>
      <c r="Q442" s="260"/>
    </row>
    <row r="443">
      <c r="A443" s="254"/>
      <c r="B443" s="255"/>
      <c r="C443" s="256"/>
      <c r="D443" s="257"/>
      <c r="E443" s="258"/>
      <c r="F443" s="259"/>
      <c r="G443" s="258"/>
      <c r="H443" s="255"/>
      <c r="I443" s="255"/>
      <c r="J443" s="260"/>
      <c r="K443" s="255"/>
      <c r="L443" s="258"/>
      <c r="M443" s="258"/>
      <c r="N443" s="255"/>
      <c r="O443" s="255"/>
      <c r="P443" s="254"/>
      <c r="Q443" s="260"/>
    </row>
    <row r="444">
      <c r="A444" s="254"/>
      <c r="B444" s="255"/>
      <c r="C444" s="256"/>
      <c r="D444" s="257"/>
      <c r="E444" s="258"/>
      <c r="F444" s="259"/>
      <c r="G444" s="258"/>
      <c r="H444" s="255"/>
      <c r="I444" s="255"/>
      <c r="J444" s="260"/>
      <c r="K444" s="255"/>
      <c r="L444" s="258"/>
      <c r="M444" s="258"/>
      <c r="N444" s="255"/>
      <c r="O444" s="255"/>
      <c r="P444" s="254"/>
      <c r="Q444" s="260"/>
    </row>
    <row r="445">
      <c r="A445" s="254"/>
      <c r="B445" s="255"/>
      <c r="C445" s="256"/>
      <c r="D445" s="257"/>
      <c r="E445" s="258"/>
      <c r="F445" s="259"/>
      <c r="G445" s="258"/>
      <c r="H445" s="255"/>
      <c r="I445" s="255"/>
      <c r="J445" s="260"/>
      <c r="K445" s="255"/>
      <c r="L445" s="258"/>
      <c r="M445" s="258"/>
      <c r="N445" s="255"/>
      <c r="O445" s="255"/>
      <c r="P445" s="254"/>
      <c r="Q445" s="260"/>
    </row>
    <row r="446">
      <c r="A446" s="254"/>
      <c r="B446" s="255"/>
      <c r="C446" s="256"/>
      <c r="D446" s="257"/>
      <c r="E446" s="258"/>
      <c r="F446" s="259"/>
      <c r="G446" s="258"/>
      <c r="H446" s="255"/>
      <c r="I446" s="255"/>
      <c r="J446" s="260"/>
      <c r="K446" s="255"/>
      <c r="L446" s="258"/>
      <c r="M446" s="258"/>
      <c r="N446" s="255"/>
      <c r="O446" s="255"/>
      <c r="P446" s="254"/>
      <c r="Q446" s="260"/>
    </row>
    <row r="447">
      <c r="A447" s="254"/>
      <c r="B447" s="255"/>
      <c r="C447" s="256"/>
      <c r="D447" s="257"/>
      <c r="E447" s="258"/>
      <c r="F447" s="259"/>
      <c r="G447" s="258"/>
      <c r="H447" s="255"/>
      <c r="I447" s="255"/>
      <c r="J447" s="260"/>
      <c r="K447" s="255"/>
      <c r="L447" s="258"/>
      <c r="M447" s="258"/>
      <c r="N447" s="255"/>
      <c r="O447" s="255"/>
      <c r="P447" s="254"/>
      <c r="Q447" s="260"/>
    </row>
    <row r="448">
      <c r="A448" s="254"/>
      <c r="B448" s="255"/>
      <c r="C448" s="256"/>
      <c r="D448" s="257"/>
      <c r="E448" s="258"/>
      <c r="F448" s="259"/>
      <c r="G448" s="258"/>
      <c r="H448" s="255"/>
      <c r="I448" s="255"/>
      <c r="J448" s="260"/>
      <c r="K448" s="255"/>
      <c r="L448" s="258"/>
      <c r="M448" s="258"/>
      <c r="N448" s="255"/>
      <c r="O448" s="255"/>
      <c r="P448" s="254"/>
      <c r="Q448" s="260"/>
    </row>
    <row r="449">
      <c r="A449" s="254"/>
      <c r="B449" s="255"/>
      <c r="C449" s="256"/>
      <c r="D449" s="257"/>
      <c r="E449" s="258"/>
      <c r="F449" s="259"/>
      <c r="G449" s="258"/>
      <c r="H449" s="255"/>
      <c r="I449" s="255"/>
      <c r="J449" s="260"/>
      <c r="K449" s="255"/>
      <c r="L449" s="258"/>
      <c r="M449" s="258"/>
      <c r="N449" s="255"/>
      <c r="O449" s="255"/>
      <c r="P449" s="254"/>
      <c r="Q449" s="260"/>
    </row>
    <row r="450">
      <c r="A450" s="254"/>
      <c r="B450" s="255"/>
      <c r="C450" s="256"/>
      <c r="D450" s="257"/>
      <c r="E450" s="258"/>
      <c r="F450" s="259"/>
      <c r="G450" s="258"/>
      <c r="H450" s="255"/>
      <c r="I450" s="255"/>
      <c r="J450" s="260"/>
      <c r="K450" s="255"/>
      <c r="L450" s="258"/>
      <c r="M450" s="258"/>
      <c r="N450" s="255"/>
      <c r="O450" s="255"/>
      <c r="P450" s="254"/>
      <c r="Q450" s="260"/>
    </row>
    <row r="451">
      <c r="A451" s="254"/>
      <c r="B451" s="255"/>
      <c r="C451" s="256"/>
      <c r="D451" s="257"/>
      <c r="E451" s="258"/>
      <c r="F451" s="259"/>
      <c r="G451" s="258"/>
      <c r="H451" s="255"/>
      <c r="I451" s="255"/>
      <c r="J451" s="260"/>
      <c r="K451" s="255"/>
      <c r="L451" s="258"/>
      <c r="M451" s="258"/>
      <c r="N451" s="255"/>
      <c r="O451" s="255"/>
      <c r="P451" s="254"/>
      <c r="Q451" s="260"/>
    </row>
    <row r="452">
      <c r="A452" s="254"/>
      <c r="B452" s="255"/>
      <c r="C452" s="256"/>
      <c r="D452" s="257"/>
      <c r="E452" s="258"/>
      <c r="F452" s="259"/>
      <c r="G452" s="258"/>
      <c r="H452" s="255"/>
      <c r="I452" s="255"/>
      <c r="J452" s="260"/>
      <c r="K452" s="255"/>
      <c r="L452" s="258"/>
      <c r="M452" s="258"/>
      <c r="N452" s="255"/>
      <c r="O452" s="255"/>
      <c r="P452" s="254"/>
      <c r="Q452" s="260"/>
    </row>
    <row r="453">
      <c r="A453" s="254"/>
      <c r="B453" s="255"/>
      <c r="C453" s="256"/>
      <c r="D453" s="257"/>
      <c r="E453" s="258"/>
      <c r="F453" s="259"/>
      <c r="G453" s="258"/>
      <c r="H453" s="255"/>
      <c r="I453" s="255"/>
      <c r="J453" s="260"/>
      <c r="K453" s="255"/>
      <c r="L453" s="258"/>
      <c r="M453" s="258"/>
      <c r="N453" s="255"/>
      <c r="O453" s="255"/>
      <c r="P453" s="254"/>
      <c r="Q453" s="260"/>
    </row>
    <row r="454">
      <c r="A454" s="254"/>
      <c r="B454" s="255"/>
      <c r="C454" s="256"/>
      <c r="D454" s="257"/>
      <c r="E454" s="258"/>
      <c r="F454" s="259"/>
      <c r="G454" s="258"/>
      <c r="H454" s="255"/>
      <c r="I454" s="255"/>
      <c r="J454" s="260"/>
      <c r="K454" s="255"/>
      <c r="L454" s="258"/>
      <c r="M454" s="258"/>
      <c r="N454" s="255"/>
      <c r="O454" s="255"/>
      <c r="P454" s="254"/>
      <c r="Q454" s="260"/>
    </row>
    <row r="455">
      <c r="A455" s="254"/>
      <c r="B455" s="255"/>
      <c r="C455" s="256"/>
      <c r="D455" s="257"/>
      <c r="E455" s="258"/>
      <c r="F455" s="259"/>
      <c r="G455" s="258"/>
      <c r="H455" s="255"/>
      <c r="I455" s="255"/>
      <c r="J455" s="260"/>
      <c r="K455" s="255"/>
      <c r="L455" s="258"/>
      <c r="M455" s="258"/>
      <c r="N455" s="255"/>
      <c r="O455" s="255"/>
      <c r="P455" s="254"/>
      <c r="Q455" s="260"/>
    </row>
    <row r="456">
      <c r="A456" s="254"/>
      <c r="B456" s="255"/>
      <c r="C456" s="256"/>
      <c r="D456" s="257"/>
      <c r="E456" s="258"/>
      <c r="F456" s="259"/>
      <c r="G456" s="258"/>
      <c r="H456" s="255"/>
      <c r="I456" s="255"/>
      <c r="J456" s="260"/>
      <c r="K456" s="255"/>
      <c r="L456" s="258"/>
      <c r="M456" s="258"/>
      <c r="N456" s="255"/>
      <c r="O456" s="255"/>
      <c r="P456" s="254"/>
      <c r="Q456" s="260"/>
    </row>
    <row r="457">
      <c r="A457" s="254"/>
      <c r="B457" s="255"/>
      <c r="C457" s="256"/>
      <c r="D457" s="257"/>
      <c r="E457" s="258"/>
      <c r="F457" s="259"/>
      <c r="G457" s="258"/>
      <c r="H457" s="255"/>
      <c r="I457" s="255"/>
      <c r="J457" s="260"/>
      <c r="K457" s="255"/>
      <c r="L457" s="258"/>
      <c r="M457" s="258"/>
      <c r="N457" s="255"/>
      <c r="O457" s="255"/>
      <c r="P457" s="254"/>
      <c r="Q457" s="260"/>
    </row>
    <row r="458">
      <c r="A458" s="254"/>
      <c r="B458" s="255"/>
      <c r="C458" s="256"/>
      <c r="D458" s="257"/>
      <c r="E458" s="258"/>
      <c r="F458" s="259"/>
      <c r="G458" s="258"/>
      <c r="H458" s="255"/>
      <c r="I458" s="255"/>
      <c r="J458" s="260"/>
      <c r="K458" s="255"/>
      <c r="L458" s="258"/>
      <c r="M458" s="258"/>
      <c r="N458" s="255"/>
      <c r="O458" s="255"/>
      <c r="P458" s="254"/>
      <c r="Q458" s="260"/>
    </row>
    <row r="459">
      <c r="A459" s="254"/>
      <c r="B459" s="255"/>
      <c r="C459" s="256"/>
      <c r="D459" s="257"/>
      <c r="E459" s="258"/>
      <c r="F459" s="259"/>
      <c r="G459" s="258"/>
      <c r="H459" s="255"/>
      <c r="I459" s="255"/>
      <c r="J459" s="260"/>
      <c r="K459" s="255"/>
      <c r="L459" s="258"/>
      <c r="M459" s="258"/>
      <c r="N459" s="255"/>
      <c r="O459" s="255"/>
      <c r="P459" s="254"/>
      <c r="Q459" s="260"/>
    </row>
    <row r="460">
      <c r="A460" s="254"/>
      <c r="B460" s="255"/>
      <c r="C460" s="256"/>
      <c r="D460" s="257"/>
      <c r="E460" s="258"/>
      <c r="F460" s="259"/>
      <c r="G460" s="258"/>
      <c r="H460" s="255"/>
      <c r="I460" s="255"/>
      <c r="J460" s="260"/>
      <c r="K460" s="255"/>
      <c r="L460" s="258"/>
      <c r="M460" s="258"/>
      <c r="N460" s="255"/>
      <c r="O460" s="255"/>
      <c r="P460" s="254"/>
      <c r="Q460" s="260"/>
    </row>
    <row r="461">
      <c r="A461" s="254"/>
      <c r="B461" s="255"/>
      <c r="C461" s="256"/>
      <c r="D461" s="257"/>
      <c r="E461" s="258"/>
      <c r="F461" s="259"/>
      <c r="G461" s="258"/>
      <c r="H461" s="255"/>
      <c r="I461" s="255"/>
      <c r="J461" s="260"/>
      <c r="K461" s="255"/>
      <c r="L461" s="258"/>
      <c r="M461" s="258"/>
      <c r="N461" s="255"/>
      <c r="O461" s="255"/>
      <c r="P461" s="254"/>
      <c r="Q461" s="260"/>
    </row>
    <row r="462">
      <c r="A462" s="254"/>
      <c r="B462" s="255"/>
      <c r="C462" s="256"/>
      <c r="D462" s="257"/>
      <c r="E462" s="258"/>
      <c r="F462" s="259"/>
      <c r="G462" s="258"/>
      <c r="H462" s="255"/>
      <c r="I462" s="255"/>
      <c r="J462" s="260"/>
      <c r="K462" s="255"/>
      <c r="L462" s="258"/>
      <c r="M462" s="258"/>
      <c r="N462" s="255"/>
      <c r="O462" s="255"/>
      <c r="P462" s="254"/>
      <c r="Q462" s="260"/>
    </row>
    <row r="463">
      <c r="A463" s="254"/>
      <c r="B463" s="255"/>
      <c r="C463" s="256"/>
      <c r="D463" s="257"/>
      <c r="E463" s="258"/>
      <c r="F463" s="259"/>
      <c r="G463" s="258"/>
      <c r="H463" s="255"/>
      <c r="I463" s="255"/>
      <c r="J463" s="260"/>
      <c r="K463" s="255"/>
      <c r="L463" s="258"/>
      <c r="M463" s="258"/>
      <c r="N463" s="255"/>
      <c r="O463" s="255"/>
      <c r="P463" s="254"/>
      <c r="Q463" s="260"/>
    </row>
    <row r="464">
      <c r="A464" s="254"/>
      <c r="B464" s="255"/>
      <c r="C464" s="256"/>
      <c r="D464" s="257"/>
      <c r="E464" s="258"/>
      <c r="F464" s="259"/>
      <c r="G464" s="258"/>
      <c r="H464" s="255"/>
      <c r="I464" s="255"/>
      <c r="J464" s="260"/>
      <c r="K464" s="255"/>
      <c r="L464" s="258"/>
      <c r="M464" s="258"/>
      <c r="N464" s="255"/>
      <c r="O464" s="255"/>
      <c r="P464" s="254"/>
      <c r="Q464" s="260"/>
    </row>
    <row r="465">
      <c r="A465" s="254"/>
      <c r="B465" s="255"/>
      <c r="C465" s="256"/>
      <c r="D465" s="257"/>
      <c r="E465" s="258"/>
      <c r="F465" s="259"/>
      <c r="G465" s="258"/>
      <c r="H465" s="255"/>
      <c r="I465" s="255"/>
      <c r="J465" s="260"/>
      <c r="K465" s="255"/>
      <c r="L465" s="258"/>
      <c r="M465" s="258"/>
      <c r="N465" s="255"/>
      <c r="O465" s="255"/>
      <c r="P465" s="254"/>
      <c r="Q465" s="260"/>
    </row>
    <row r="466">
      <c r="A466" s="254"/>
      <c r="B466" s="255"/>
      <c r="C466" s="256"/>
      <c r="D466" s="257"/>
      <c r="E466" s="258"/>
      <c r="F466" s="259"/>
      <c r="G466" s="258"/>
      <c r="H466" s="255"/>
      <c r="I466" s="255"/>
      <c r="J466" s="260"/>
      <c r="K466" s="255"/>
      <c r="L466" s="258"/>
      <c r="M466" s="258"/>
      <c r="N466" s="255"/>
      <c r="O466" s="255"/>
      <c r="P466" s="254"/>
      <c r="Q466" s="260"/>
    </row>
    <row r="467">
      <c r="A467" s="254"/>
      <c r="B467" s="255"/>
      <c r="C467" s="256"/>
      <c r="D467" s="257"/>
      <c r="E467" s="258"/>
      <c r="F467" s="259"/>
      <c r="G467" s="258"/>
      <c r="H467" s="255"/>
      <c r="I467" s="255"/>
      <c r="J467" s="260"/>
      <c r="K467" s="255"/>
      <c r="L467" s="258"/>
      <c r="M467" s="258"/>
      <c r="N467" s="255"/>
      <c r="O467" s="255"/>
      <c r="P467" s="254"/>
      <c r="Q467" s="260"/>
    </row>
    <row r="468">
      <c r="A468" s="254"/>
      <c r="B468" s="255"/>
      <c r="C468" s="256"/>
      <c r="D468" s="257"/>
      <c r="E468" s="258"/>
      <c r="F468" s="259"/>
      <c r="G468" s="258"/>
      <c r="H468" s="255"/>
      <c r="I468" s="255"/>
      <c r="J468" s="260"/>
      <c r="K468" s="255"/>
      <c r="L468" s="258"/>
      <c r="M468" s="258"/>
      <c r="N468" s="255"/>
      <c r="O468" s="255"/>
      <c r="P468" s="254"/>
      <c r="Q468" s="260"/>
    </row>
    <row r="469">
      <c r="A469" s="254"/>
      <c r="B469" s="255"/>
      <c r="C469" s="256"/>
      <c r="D469" s="257"/>
      <c r="E469" s="258"/>
      <c r="F469" s="259"/>
      <c r="G469" s="258"/>
      <c r="H469" s="255"/>
      <c r="I469" s="255"/>
      <c r="J469" s="260"/>
      <c r="K469" s="255"/>
      <c r="L469" s="258"/>
      <c r="M469" s="258"/>
      <c r="N469" s="255"/>
      <c r="O469" s="255"/>
      <c r="P469" s="254"/>
      <c r="Q469" s="260"/>
    </row>
    <row r="470">
      <c r="A470" s="254"/>
      <c r="B470" s="255"/>
      <c r="C470" s="256"/>
      <c r="D470" s="257"/>
      <c r="E470" s="258"/>
      <c r="F470" s="259"/>
      <c r="G470" s="258"/>
      <c r="H470" s="255"/>
      <c r="I470" s="255"/>
      <c r="J470" s="260"/>
      <c r="K470" s="255"/>
      <c r="L470" s="258"/>
      <c r="M470" s="258"/>
      <c r="N470" s="255"/>
      <c r="O470" s="255"/>
      <c r="P470" s="254"/>
      <c r="Q470" s="260"/>
    </row>
    <row r="471">
      <c r="A471" s="254"/>
      <c r="B471" s="255"/>
      <c r="C471" s="256"/>
      <c r="D471" s="257"/>
      <c r="E471" s="258"/>
      <c r="F471" s="259"/>
      <c r="G471" s="258"/>
      <c r="H471" s="255"/>
      <c r="I471" s="255"/>
      <c r="J471" s="260"/>
      <c r="K471" s="255"/>
      <c r="L471" s="258"/>
      <c r="M471" s="258"/>
      <c r="N471" s="255"/>
      <c r="O471" s="255"/>
      <c r="P471" s="254"/>
      <c r="Q471" s="260"/>
    </row>
    <row r="472">
      <c r="A472" s="254"/>
      <c r="B472" s="255"/>
      <c r="C472" s="256"/>
      <c r="D472" s="257"/>
      <c r="E472" s="258"/>
      <c r="F472" s="259"/>
      <c r="G472" s="258"/>
      <c r="H472" s="255"/>
      <c r="I472" s="255"/>
      <c r="J472" s="260"/>
      <c r="K472" s="255"/>
      <c r="L472" s="258"/>
      <c r="M472" s="258"/>
      <c r="N472" s="255"/>
      <c r="O472" s="255"/>
      <c r="P472" s="254"/>
      <c r="Q472" s="260"/>
    </row>
    <row r="473">
      <c r="A473" s="254"/>
      <c r="B473" s="255"/>
      <c r="C473" s="256"/>
      <c r="D473" s="257"/>
      <c r="E473" s="258"/>
      <c r="F473" s="259"/>
      <c r="G473" s="258"/>
      <c r="H473" s="255"/>
      <c r="I473" s="255"/>
      <c r="J473" s="260"/>
      <c r="K473" s="255"/>
      <c r="L473" s="258"/>
      <c r="M473" s="258"/>
      <c r="N473" s="255"/>
      <c r="O473" s="255"/>
      <c r="P473" s="254"/>
      <c r="Q473" s="260"/>
    </row>
    <row r="474">
      <c r="A474" s="254"/>
      <c r="B474" s="255"/>
      <c r="C474" s="256"/>
      <c r="D474" s="257"/>
      <c r="E474" s="258"/>
      <c r="F474" s="259"/>
      <c r="G474" s="258"/>
      <c r="H474" s="255"/>
      <c r="I474" s="255"/>
      <c r="J474" s="260"/>
      <c r="K474" s="255"/>
      <c r="L474" s="258"/>
      <c r="M474" s="258"/>
      <c r="N474" s="255"/>
      <c r="O474" s="255"/>
      <c r="P474" s="254"/>
      <c r="Q474" s="260"/>
    </row>
    <row r="475">
      <c r="A475" s="254"/>
      <c r="B475" s="255"/>
      <c r="C475" s="256"/>
      <c r="D475" s="257"/>
      <c r="E475" s="258"/>
      <c r="F475" s="259"/>
      <c r="G475" s="258"/>
      <c r="H475" s="255"/>
      <c r="I475" s="255"/>
      <c r="J475" s="260"/>
      <c r="K475" s="255"/>
      <c r="L475" s="258"/>
      <c r="M475" s="258"/>
      <c r="N475" s="255"/>
      <c r="O475" s="255"/>
      <c r="P475" s="254"/>
      <c r="Q475" s="260"/>
    </row>
    <row r="476">
      <c r="A476" s="254"/>
      <c r="B476" s="255"/>
      <c r="C476" s="256"/>
      <c r="D476" s="257"/>
      <c r="E476" s="258"/>
      <c r="F476" s="259"/>
      <c r="G476" s="258"/>
      <c r="H476" s="255"/>
      <c r="I476" s="255"/>
      <c r="J476" s="260"/>
      <c r="K476" s="255"/>
      <c r="L476" s="258"/>
      <c r="M476" s="258"/>
      <c r="N476" s="255"/>
      <c r="O476" s="255"/>
      <c r="P476" s="254"/>
      <c r="Q476" s="260"/>
    </row>
    <row r="477">
      <c r="A477" s="254"/>
      <c r="B477" s="255"/>
      <c r="C477" s="256"/>
      <c r="D477" s="257"/>
      <c r="E477" s="258"/>
      <c r="F477" s="259"/>
      <c r="G477" s="258"/>
      <c r="H477" s="255"/>
      <c r="I477" s="255"/>
      <c r="J477" s="260"/>
      <c r="K477" s="255"/>
      <c r="L477" s="258"/>
      <c r="M477" s="258"/>
      <c r="N477" s="255"/>
      <c r="O477" s="255"/>
      <c r="P477" s="254"/>
      <c r="Q477" s="260"/>
    </row>
    <row r="478">
      <c r="A478" s="254"/>
      <c r="B478" s="255"/>
      <c r="C478" s="256"/>
      <c r="D478" s="257"/>
      <c r="E478" s="258"/>
      <c r="F478" s="259"/>
      <c r="G478" s="258"/>
      <c r="H478" s="255"/>
      <c r="I478" s="255"/>
      <c r="J478" s="260"/>
      <c r="K478" s="255"/>
      <c r="L478" s="258"/>
      <c r="M478" s="258"/>
      <c r="N478" s="255"/>
      <c r="O478" s="255"/>
      <c r="P478" s="254"/>
      <c r="Q478" s="260"/>
    </row>
    <row r="479">
      <c r="A479" s="254"/>
      <c r="B479" s="255"/>
      <c r="C479" s="256"/>
      <c r="D479" s="257"/>
      <c r="E479" s="258"/>
      <c r="F479" s="259"/>
      <c r="G479" s="258"/>
      <c r="H479" s="255"/>
      <c r="I479" s="255"/>
      <c r="J479" s="260"/>
      <c r="K479" s="255"/>
      <c r="L479" s="258"/>
      <c r="M479" s="258"/>
      <c r="N479" s="255"/>
      <c r="O479" s="255"/>
      <c r="P479" s="254"/>
      <c r="Q479" s="260"/>
    </row>
    <row r="480">
      <c r="A480" s="254"/>
      <c r="B480" s="255"/>
      <c r="C480" s="256"/>
      <c r="D480" s="257"/>
      <c r="E480" s="258"/>
      <c r="F480" s="259"/>
      <c r="G480" s="258"/>
      <c r="H480" s="255"/>
      <c r="I480" s="255"/>
      <c r="J480" s="260"/>
      <c r="K480" s="255"/>
      <c r="L480" s="258"/>
      <c r="M480" s="258"/>
      <c r="N480" s="255"/>
      <c r="O480" s="255"/>
      <c r="P480" s="254"/>
      <c r="Q480" s="260"/>
    </row>
    <row r="481">
      <c r="A481" s="254"/>
      <c r="B481" s="255"/>
      <c r="C481" s="256"/>
      <c r="D481" s="257"/>
      <c r="E481" s="258"/>
      <c r="F481" s="259"/>
      <c r="G481" s="258"/>
      <c r="H481" s="255"/>
      <c r="I481" s="255"/>
      <c r="J481" s="260"/>
      <c r="K481" s="255"/>
      <c r="L481" s="258"/>
      <c r="M481" s="258"/>
      <c r="N481" s="255"/>
      <c r="O481" s="255"/>
      <c r="P481" s="254"/>
      <c r="Q481" s="260"/>
    </row>
    <row r="482">
      <c r="A482" s="254"/>
      <c r="B482" s="255"/>
      <c r="C482" s="256"/>
      <c r="D482" s="257"/>
      <c r="E482" s="258"/>
      <c r="F482" s="259"/>
      <c r="G482" s="258"/>
      <c r="H482" s="255"/>
      <c r="I482" s="255"/>
      <c r="J482" s="260"/>
      <c r="K482" s="255"/>
      <c r="L482" s="258"/>
      <c r="M482" s="258"/>
      <c r="N482" s="255"/>
      <c r="O482" s="255"/>
      <c r="P482" s="254"/>
      <c r="Q482" s="260"/>
    </row>
    <row r="483">
      <c r="A483" s="254"/>
      <c r="B483" s="255"/>
      <c r="C483" s="256"/>
      <c r="D483" s="257"/>
      <c r="E483" s="258"/>
      <c r="F483" s="259"/>
      <c r="G483" s="258"/>
      <c r="H483" s="255"/>
      <c r="I483" s="255"/>
      <c r="J483" s="260"/>
      <c r="K483" s="255"/>
      <c r="L483" s="258"/>
      <c r="M483" s="258"/>
      <c r="N483" s="255"/>
      <c r="O483" s="255"/>
      <c r="P483" s="254"/>
      <c r="Q483" s="260"/>
    </row>
    <row r="484">
      <c r="A484" s="254"/>
      <c r="B484" s="255"/>
      <c r="C484" s="256"/>
      <c r="D484" s="257"/>
      <c r="E484" s="258"/>
      <c r="F484" s="259"/>
      <c r="G484" s="258"/>
      <c r="H484" s="255"/>
      <c r="I484" s="255"/>
      <c r="J484" s="260"/>
      <c r="K484" s="255"/>
      <c r="L484" s="258"/>
      <c r="M484" s="258"/>
      <c r="N484" s="255"/>
      <c r="O484" s="255"/>
      <c r="P484" s="254"/>
      <c r="Q484" s="260"/>
    </row>
    <row r="485">
      <c r="A485" s="254"/>
      <c r="B485" s="255"/>
      <c r="C485" s="256"/>
      <c r="D485" s="257"/>
      <c r="E485" s="258"/>
      <c r="F485" s="259"/>
      <c r="G485" s="258"/>
      <c r="H485" s="255"/>
      <c r="I485" s="255"/>
      <c r="J485" s="260"/>
      <c r="K485" s="255"/>
      <c r="L485" s="258"/>
      <c r="M485" s="258"/>
      <c r="N485" s="255"/>
      <c r="O485" s="255"/>
      <c r="P485" s="254"/>
      <c r="Q485" s="260"/>
    </row>
    <row r="486">
      <c r="A486" s="254"/>
      <c r="B486" s="255"/>
      <c r="C486" s="256"/>
      <c r="D486" s="257"/>
      <c r="E486" s="258"/>
      <c r="F486" s="259"/>
      <c r="G486" s="258"/>
      <c r="H486" s="255"/>
      <c r="I486" s="255"/>
      <c r="J486" s="260"/>
      <c r="K486" s="255"/>
      <c r="L486" s="258"/>
      <c r="M486" s="258"/>
      <c r="N486" s="255"/>
      <c r="O486" s="255"/>
      <c r="P486" s="254"/>
      <c r="Q486" s="260"/>
    </row>
    <row r="487">
      <c r="A487" s="254"/>
      <c r="B487" s="255"/>
      <c r="C487" s="256"/>
      <c r="D487" s="257"/>
      <c r="E487" s="258"/>
      <c r="F487" s="259"/>
      <c r="G487" s="258"/>
      <c r="H487" s="255"/>
      <c r="I487" s="255"/>
      <c r="J487" s="260"/>
      <c r="K487" s="255"/>
      <c r="L487" s="258"/>
      <c r="M487" s="258"/>
      <c r="N487" s="255"/>
      <c r="O487" s="255"/>
      <c r="P487" s="254"/>
      <c r="Q487" s="260"/>
    </row>
    <row r="488">
      <c r="A488" s="254"/>
      <c r="B488" s="255"/>
      <c r="C488" s="256"/>
      <c r="D488" s="257"/>
      <c r="E488" s="258"/>
      <c r="F488" s="259"/>
      <c r="G488" s="258"/>
      <c r="H488" s="255"/>
      <c r="I488" s="255"/>
      <c r="J488" s="260"/>
      <c r="K488" s="255"/>
      <c r="L488" s="258"/>
      <c r="M488" s="258"/>
      <c r="N488" s="255"/>
      <c r="O488" s="255"/>
      <c r="P488" s="254"/>
      <c r="Q488" s="260"/>
    </row>
    <row r="489">
      <c r="A489" s="254"/>
      <c r="B489" s="255"/>
      <c r="C489" s="256"/>
      <c r="D489" s="257"/>
      <c r="E489" s="258"/>
      <c r="F489" s="259"/>
      <c r="G489" s="258"/>
      <c r="H489" s="255"/>
      <c r="I489" s="255"/>
      <c r="J489" s="260"/>
      <c r="K489" s="255"/>
      <c r="L489" s="258"/>
      <c r="M489" s="258"/>
      <c r="N489" s="255"/>
      <c r="O489" s="255"/>
      <c r="P489" s="254"/>
      <c r="Q489" s="260"/>
    </row>
    <row r="490">
      <c r="A490" s="254"/>
      <c r="B490" s="255"/>
      <c r="C490" s="256"/>
      <c r="D490" s="257"/>
      <c r="E490" s="258"/>
      <c r="F490" s="259"/>
      <c r="G490" s="258"/>
      <c r="H490" s="255"/>
      <c r="I490" s="255"/>
      <c r="J490" s="260"/>
      <c r="K490" s="255"/>
      <c r="L490" s="258"/>
      <c r="M490" s="258"/>
      <c r="N490" s="255"/>
      <c r="O490" s="255"/>
      <c r="P490" s="254"/>
      <c r="Q490" s="260"/>
    </row>
    <row r="491">
      <c r="A491" s="254"/>
      <c r="B491" s="255"/>
      <c r="C491" s="256"/>
      <c r="D491" s="257"/>
      <c r="E491" s="258"/>
      <c r="F491" s="259"/>
      <c r="G491" s="258"/>
      <c r="H491" s="255"/>
      <c r="I491" s="255"/>
      <c r="J491" s="260"/>
      <c r="K491" s="255"/>
      <c r="L491" s="258"/>
      <c r="M491" s="258"/>
      <c r="N491" s="255"/>
      <c r="O491" s="255"/>
      <c r="P491" s="254"/>
      <c r="Q491" s="260"/>
    </row>
    <row r="492">
      <c r="A492" s="254"/>
      <c r="B492" s="255"/>
      <c r="C492" s="256"/>
      <c r="D492" s="257"/>
      <c r="E492" s="258"/>
      <c r="F492" s="259"/>
      <c r="G492" s="258"/>
      <c r="H492" s="255"/>
      <c r="I492" s="255"/>
      <c r="J492" s="260"/>
      <c r="K492" s="255"/>
      <c r="L492" s="258"/>
      <c r="M492" s="258"/>
      <c r="N492" s="255"/>
      <c r="O492" s="255"/>
      <c r="P492" s="254"/>
      <c r="Q492" s="260"/>
    </row>
    <row r="493">
      <c r="A493" s="254"/>
      <c r="B493" s="255"/>
      <c r="C493" s="256"/>
      <c r="D493" s="257"/>
      <c r="E493" s="258"/>
      <c r="F493" s="259"/>
      <c r="G493" s="258"/>
      <c r="H493" s="255"/>
      <c r="I493" s="255"/>
      <c r="J493" s="260"/>
      <c r="K493" s="255"/>
      <c r="L493" s="258"/>
      <c r="M493" s="258"/>
      <c r="N493" s="255"/>
      <c r="O493" s="255"/>
      <c r="P493" s="254"/>
      <c r="Q493" s="260"/>
    </row>
    <row r="494">
      <c r="A494" s="254"/>
      <c r="B494" s="255"/>
      <c r="C494" s="256"/>
      <c r="D494" s="257"/>
      <c r="E494" s="258"/>
      <c r="F494" s="259"/>
      <c r="G494" s="258"/>
      <c r="H494" s="255"/>
      <c r="I494" s="255"/>
      <c r="J494" s="260"/>
      <c r="K494" s="255"/>
      <c r="L494" s="258"/>
      <c r="M494" s="258"/>
      <c r="N494" s="255"/>
      <c r="O494" s="255"/>
      <c r="P494" s="254"/>
      <c r="Q494" s="260"/>
    </row>
    <row r="495">
      <c r="A495" s="254"/>
      <c r="B495" s="255"/>
      <c r="C495" s="256"/>
      <c r="D495" s="257"/>
      <c r="E495" s="258"/>
      <c r="F495" s="259"/>
      <c r="G495" s="258"/>
      <c r="H495" s="255"/>
      <c r="I495" s="255"/>
      <c r="J495" s="260"/>
      <c r="K495" s="255"/>
      <c r="L495" s="258"/>
      <c r="M495" s="258"/>
      <c r="N495" s="255"/>
      <c r="O495" s="255"/>
      <c r="P495" s="254"/>
      <c r="Q495" s="260"/>
    </row>
    <row r="496">
      <c r="A496" s="254"/>
      <c r="B496" s="255"/>
      <c r="C496" s="256"/>
      <c r="D496" s="257"/>
      <c r="E496" s="258"/>
      <c r="F496" s="259"/>
      <c r="G496" s="258"/>
      <c r="H496" s="255"/>
      <c r="I496" s="255"/>
      <c r="J496" s="260"/>
      <c r="K496" s="255"/>
      <c r="L496" s="258"/>
      <c r="M496" s="258"/>
      <c r="N496" s="255"/>
      <c r="O496" s="255"/>
      <c r="P496" s="254"/>
      <c r="Q496" s="260"/>
    </row>
    <row r="497">
      <c r="A497" s="254"/>
      <c r="B497" s="255"/>
      <c r="C497" s="256"/>
      <c r="D497" s="257"/>
      <c r="E497" s="258"/>
      <c r="F497" s="259"/>
      <c r="G497" s="258"/>
      <c r="H497" s="255"/>
      <c r="I497" s="255"/>
      <c r="J497" s="260"/>
      <c r="K497" s="255"/>
      <c r="L497" s="258"/>
      <c r="M497" s="258"/>
      <c r="N497" s="255"/>
      <c r="O497" s="255"/>
      <c r="P497" s="254"/>
      <c r="Q497" s="260"/>
    </row>
    <row r="498">
      <c r="A498" s="254"/>
      <c r="B498" s="255"/>
      <c r="C498" s="256"/>
      <c r="D498" s="257"/>
      <c r="E498" s="258"/>
      <c r="F498" s="259"/>
      <c r="G498" s="258"/>
      <c r="H498" s="255"/>
      <c r="I498" s="255"/>
      <c r="J498" s="260"/>
      <c r="K498" s="255"/>
      <c r="L498" s="258"/>
      <c r="M498" s="258"/>
      <c r="N498" s="255"/>
      <c r="O498" s="255"/>
      <c r="P498" s="254"/>
      <c r="Q498" s="260"/>
    </row>
    <row r="499">
      <c r="A499" s="254"/>
      <c r="B499" s="255"/>
      <c r="C499" s="256"/>
      <c r="D499" s="257"/>
      <c r="E499" s="258"/>
      <c r="F499" s="259"/>
      <c r="G499" s="258"/>
      <c r="H499" s="255"/>
      <c r="I499" s="255"/>
      <c r="J499" s="260"/>
      <c r="K499" s="255"/>
      <c r="L499" s="258"/>
      <c r="M499" s="258"/>
      <c r="N499" s="255"/>
      <c r="O499" s="255"/>
      <c r="P499" s="254"/>
      <c r="Q499" s="260"/>
    </row>
    <row r="500">
      <c r="A500" s="254"/>
      <c r="B500" s="255"/>
      <c r="C500" s="256"/>
      <c r="D500" s="257"/>
      <c r="E500" s="258"/>
      <c r="F500" s="259"/>
      <c r="G500" s="258"/>
      <c r="H500" s="255"/>
      <c r="I500" s="255"/>
      <c r="J500" s="260"/>
      <c r="K500" s="255"/>
      <c r="L500" s="258"/>
      <c r="M500" s="258"/>
      <c r="N500" s="255"/>
      <c r="O500" s="255"/>
      <c r="P500" s="254"/>
      <c r="Q500" s="260"/>
    </row>
    <row r="501">
      <c r="A501" s="254"/>
      <c r="B501" s="255"/>
      <c r="C501" s="256"/>
      <c r="D501" s="257"/>
      <c r="E501" s="258"/>
      <c r="F501" s="259"/>
      <c r="G501" s="258"/>
      <c r="H501" s="255"/>
      <c r="I501" s="255"/>
      <c r="J501" s="260"/>
      <c r="K501" s="255"/>
      <c r="L501" s="258"/>
      <c r="M501" s="258"/>
      <c r="N501" s="255"/>
      <c r="O501" s="255"/>
      <c r="P501" s="254"/>
      <c r="Q501" s="260"/>
    </row>
    <row r="502">
      <c r="A502" s="254"/>
      <c r="B502" s="255"/>
      <c r="C502" s="256"/>
      <c r="D502" s="257"/>
      <c r="E502" s="258"/>
      <c r="F502" s="259"/>
      <c r="G502" s="258"/>
      <c r="H502" s="255"/>
      <c r="I502" s="255"/>
      <c r="J502" s="260"/>
      <c r="K502" s="255"/>
      <c r="L502" s="258"/>
      <c r="M502" s="258"/>
      <c r="N502" s="255"/>
      <c r="O502" s="255"/>
      <c r="P502" s="254"/>
      <c r="Q502" s="260"/>
    </row>
    <row r="503">
      <c r="A503" s="254"/>
      <c r="B503" s="255"/>
      <c r="C503" s="256"/>
      <c r="D503" s="257"/>
      <c r="E503" s="258"/>
      <c r="F503" s="259"/>
      <c r="G503" s="258"/>
      <c r="H503" s="255"/>
      <c r="I503" s="255"/>
      <c r="J503" s="260"/>
      <c r="K503" s="255"/>
      <c r="L503" s="258"/>
      <c r="M503" s="258"/>
      <c r="N503" s="255"/>
      <c r="O503" s="255"/>
      <c r="P503" s="254"/>
      <c r="Q503" s="260"/>
    </row>
    <row r="504">
      <c r="A504" s="254"/>
      <c r="B504" s="255"/>
      <c r="C504" s="256"/>
      <c r="D504" s="257"/>
      <c r="E504" s="258"/>
      <c r="F504" s="259"/>
      <c r="G504" s="258"/>
      <c r="H504" s="255"/>
      <c r="I504" s="255"/>
      <c r="J504" s="260"/>
      <c r="K504" s="255"/>
      <c r="L504" s="258"/>
      <c r="M504" s="258"/>
      <c r="N504" s="255"/>
      <c r="O504" s="255"/>
      <c r="P504" s="254"/>
      <c r="Q504" s="260"/>
    </row>
    <row r="505">
      <c r="A505" s="254"/>
      <c r="B505" s="255"/>
      <c r="C505" s="256"/>
      <c r="D505" s="257"/>
      <c r="E505" s="258"/>
      <c r="F505" s="259"/>
      <c r="G505" s="258"/>
      <c r="H505" s="255"/>
      <c r="I505" s="255"/>
      <c r="J505" s="260"/>
      <c r="K505" s="255"/>
      <c r="L505" s="258"/>
      <c r="M505" s="258"/>
      <c r="N505" s="255"/>
      <c r="O505" s="255"/>
      <c r="P505" s="254"/>
      <c r="Q505" s="260"/>
    </row>
    <row r="506">
      <c r="A506" s="254"/>
      <c r="B506" s="255"/>
      <c r="C506" s="256"/>
      <c r="D506" s="257"/>
      <c r="E506" s="258"/>
      <c r="F506" s="259"/>
      <c r="G506" s="258"/>
      <c r="H506" s="255"/>
      <c r="I506" s="255"/>
      <c r="J506" s="260"/>
      <c r="K506" s="255"/>
      <c r="L506" s="258"/>
      <c r="M506" s="258"/>
      <c r="N506" s="255"/>
      <c r="O506" s="255"/>
      <c r="P506" s="254"/>
      <c r="Q506" s="260"/>
    </row>
    <row r="507">
      <c r="A507" s="254"/>
      <c r="B507" s="255"/>
      <c r="C507" s="256"/>
      <c r="D507" s="257"/>
      <c r="E507" s="258"/>
      <c r="F507" s="259"/>
      <c r="G507" s="258"/>
      <c r="H507" s="255"/>
      <c r="I507" s="255"/>
      <c r="J507" s="260"/>
      <c r="K507" s="255"/>
      <c r="L507" s="258"/>
      <c r="M507" s="258"/>
      <c r="N507" s="255"/>
      <c r="O507" s="255"/>
      <c r="P507" s="254"/>
      <c r="Q507" s="260"/>
    </row>
    <row r="508">
      <c r="A508" s="254"/>
      <c r="B508" s="255"/>
      <c r="C508" s="256"/>
      <c r="D508" s="257"/>
      <c r="E508" s="258"/>
      <c r="F508" s="259"/>
      <c r="G508" s="258"/>
      <c r="H508" s="255"/>
      <c r="I508" s="255"/>
      <c r="J508" s="260"/>
      <c r="K508" s="255"/>
      <c r="L508" s="258"/>
      <c r="M508" s="258"/>
      <c r="N508" s="255"/>
      <c r="O508" s="255"/>
      <c r="P508" s="254"/>
      <c r="Q508" s="260"/>
    </row>
    <row r="509">
      <c r="A509" s="254"/>
      <c r="B509" s="255"/>
      <c r="C509" s="256"/>
      <c r="D509" s="257"/>
      <c r="E509" s="258"/>
      <c r="F509" s="259"/>
      <c r="G509" s="258"/>
      <c r="H509" s="255"/>
      <c r="I509" s="255"/>
      <c r="J509" s="260"/>
      <c r="K509" s="255"/>
      <c r="L509" s="258"/>
      <c r="M509" s="258"/>
      <c r="N509" s="255"/>
      <c r="O509" s="255"/>
      <c r="P509" s="254"/>
      <c r="Q509" s="260"/>
    </row>
    <row r="510">
      <c r="A510" s="254"/>
      <c r="B510" s="255"/>
      <c r="C510" s="256"/>
      <c r="D510" s="257"/>
      <c r="E510" s="258"/>
      <c r="F510" s="259"/>
      <c r="G510" s="258"/>
      <c r="H510" s="255"/>
      <c r="I510" s="255"/>
      <c r="J510" s="260"/>
      <c r="K510" s="255"/>
      <c r="L510" s="258"/>
      <c r="M510" s="258"/>
      <c r="N510" s="255"/>
      <c r="O510" s="255"/>
      <c r="P510" s="254"/>
      <c r="Q510" s="260"/>
    </row>
    <row r="511">
      <c r="A511" s="254"/>
      <c r="B511" s="255"/>
      <c r="C511" s="256"/>
      <c r="D511" s="257"/>
      <c r="E511" s="258"/>
      <c r="F511" s="259"/>
      <c r="G511" s="258"/>
      <c r="H511" s="255"/>
      <c r="I511" s="255"/>
      <c r="J511" s="260"/>
      <c r="K511" s="255"/>
      <c r="L511" s="258"/>
      <c r="M511" s="258"/>
      <c r="N511" s="255"/>
      <c r="O511" s="255"/>
      <c r="P511" s="254"/>
      <c r="Q511" s="260"/>
    </row>
    <row r="512">
      <c r="A512" s="254"/>
      <c r="B512" s="255"/>
      <c r="C512" s="256"/>
      <c r="D512" s="257"/>
      <c r="E512" s="258"/>
      <c r="F512" s="259"/>
      <c r="G512" s="258"/>
      <c r="H512" s="255"/>
      <c r="I512" s="255"/>
      <c r="J512" s="260"/>
      <c r="K512" s="255"/>
      <c r="L512" s="258"/>
      <c r="M512" s="258"/>
      <c r="N512" s="255"/>
      <c r="O512" s="255"/>
      <c r="P512" s="254"/>
      <c r="Q512" s="260"/>
    </row>
    <row r="513">
      <c r="A513" s="254"/>
      <c r="B513" s="255"/>
      <c r="C513" s="256"/>
      <c r="D513" s="257"/>
      <c r="E513" s="258"/>
      <c r="F513" s="259"/>
      <c r="G513" s="258"/>
      <c r="H513" s="255"/>
      <c r="I513" s="255"/>
      <c r="J513" s="260"/>
      <c r="K513" s="255"/>
      <c r="L513" s="258"/>
      <c r="M513" s="258"/>
      <c r="N513" s="255"/>
      <c r="O513" s="255"/>
      <c r="P513" s="254"/>
      <c r="Q513" s="260"/>
    </row>
    <row r="514">
      <c r="A514" s="254"/>
      <c r="B514" s="255"/>
      <c r="C514" s="256"/>
      <c r="D514" s="257"/>
      <c r="E514" s="258"/>
      <c r="F514" s="259"/>
      <c r="G514" s="258"/>
      <c r="H514" s="255"/>
      <c r="I514" s="255"/>
      <c r="J514" s="260"/>
      <c r="K514" s="255"/>
      <c r="L514" s="258"/>
      <c r="M514" s="258"/>
      <c r="N514" s="255"/>
      <c r="O514" s="255"/>
      <c r="P514" s="254"/>
      <c r="Q514" s="260"/>
    </row>
    <row r="515">
      <c r="A515" s="254"/>
      <c r="B515" s="255"/>
      <c r="C515" s="256"/>
      <c r="D515" s="257"/>
      <c r="E515" s="258"/>
      <c r="F515" s="259"/>
      <c r="G515" s="258"/>
      <c r="H515" s="255"/>
      <c r="I515" s="255"/>
      <c r="J515" s="260"/>
      <c r="K515" s="255"/>
      <c r="L515" s="258"/>
      <c r="M515" s="258"/>
      <c r="N515" s="255"/>
      <c r="O515" s="255"/>
      <c r="P515" s="254"/>
      <c r="Q515" s="260"/>
    </row>
    <row r="516">
      <c r="A516" s="254"/>
      <c r="B516" s="255"/>
      <c r="C516" s="256"/>
      <c r="D516" s="257"/>
      <c r="E516" s="258"/>
      <c r="F516" s="259"/>
      <c r="G516" s="258"/>
      <c r="H516" s="255"/>
      <c r="I516" s="255"/>
      <c r="J516" s="260"/>
      <c r="K516" s="255"/>
      <c r="L516" s="258"/>
      <c r="M516" s="258"/>
      <c r="N516" s="255"/>
      <c r="O516" s="255"/>
      <c r="P516" s="254"/>
      <c r="Q516" s="260"/>
    </row>
    <row r="517">
      <c r="A517" s="254"/>
      <c r="B517" s="255"/>
      <c r="C517" s="256"/>
      <c r="D517" s="257"/>
      <c r="E517" s="258"/>
      <c r="F517" s="259"/>
      <c r="G517" s="258"/>
      <c r="H517" s="255"/>
      <c r="I517" s="255"/>
      <c r="J517" s="260"/>
      <c r="K517" s="255"/>
      <c r="L517" s="258"/>
      <c r="M517" s="258"/>
      <c r="N517" s="255"/>
      <c r="O517" s="255"/>
      <c r="P517" s="254"/>
      <c r="Q517" s="260"/>
    </row>
    <row r="518">
      <c r="A518" s="254"/>
      <c r="B518" s="255"/>
      <c r="C518" s="256"/>
      <c r="D518" s="257"/>
      <c r="E518" s="258"/>
      <c r="F518" s="259"/>
      <c r="G518" s="258"/>
      <c r="H518" s="255"/>
      <c r="I518" s="255"/>
      <c r="J518" s="260"/>
      <c r="K518" s="255"/>
      <c r="L518" s="258"/>
      <c r="M518" s="258"/>
      <c r="N518" s="255"/>
      <c r="O518" s="255"/>
      <c r="P518" s="254"/>
      <c r="Q518" s="260"/>
    </row>
    <row r="519">
      <c r="A519" s="254"/>
      <c r="B519" s="255"/>
      <c r="C519" s="256"/>
      <c r="D519" s="257"/>
      <c r="E519" s="258"/>
      <c r="F519" s="259"/>
      <c r="G519" s="258"/>
      <c r="H519" s="255"/>
      <c r="I519" s="255"/>
      <c r="J519" s="260"/>
      <c r="K519" s="255"/>
      <c r="L519" s="258"/>
      <c r="M519" s="258"/>
      <c r="N519" s="255"/>
      <c r="O519" s="255"/>
      <c r="P519" s="254"/>
      <c r="Q519" s="260"/>
    </row>
    <row r="520">
      <c r="A520" s="254"/>
      <c r="B520" s="255"/>
      <c r="C520" s="256"/>
      <c r="D520" s="257"/>
      <c r="E520" s="258"/>
      <c r="F520" s="259"/>
      <c r="G520" s="258"/>
      <c r="H520" s="255"/>
      <c r="I520" s="255"/>
      <c r="J520" s="260"/>
      <c r="K520" s="255"/>
      <c r="L520" s="258"/>
      <c r="M520" s="258"/>
      <c r="N520" s="255"/>
      <c r="O520" s="255"/>
      <c r="P520" s="254"/>
      <c r="Q520" s="260"/>
    </row>
    <row r="521">
      <c r="A521" s="254"/>
      <c r="B521" s="255"/>
      <c r="C521" s="256"/>
      <c r="D521" s="257"/>
      <c r="E521" s="258"/>
      <c r="F521" s="259"/>
      <c r="G521" s="258"/>
      <c r="H521" s="255"/>
      <c r="I521" s="255"/>
      <c r="J521" s="260"/>
      <c r="K521" s="255"/>
      <c r="L521" s="258"/>
      <c r="M521" s="258"/>
      <c r="N521" s="255"/>
      <c r="O521" s="255"/>
      <c r="P521" s="254"/>
      <c r="Q521" s="260"/>
    </row>
    <row r="522">
      <c r="A522" s="254"/>
      <c r="B522" s="255"/>
      <c r="C522" s="256"/>
      <c r="D522" s="257"/>
      <c r="E522" s="258"/>
      <c r="F522" s="259"/>
      <c r="G522" s="258"/>
      <c r="H522" s="255"/>
      <c r="I522" s="255"/>
      <c r="J522" s="260"/>
      <c r="K522" s="255"/>
      <c r="L522" s="258"/>
      <c r="M522" s="258"/>
      <c r="N522" s="255"/>
      <c r="O522" s="255"/>
      <c r="P522" s="254"/>
      <c r="Q522" s="260"/>
    </row>
    <row r="523">
      <c r="A523" s="254"/>
      <c r="B523" s="255"/>
      <c r="C523" s="256"/>
      <c r="D523" s="257"/>
      <c r="E523" s="258"/>
      <c r="F523" s="259"/>
      <c r="G523" s="258"/>
      <c r="H523" s="255"/>
      <c r="I523" s="255"/>
      <c r="J523" s="260"/>
      <c r="K523" s="255"/>
      <c r="L523" s="258"/>
      <c r="M523" s="258"/>
      <c r="N523" s="255"/>
      <c r="O523" s="255"/>
      <c r="P523" s="254"/>
      <c r="Q523" s="260"/>
    </row>
    <row r="524">
      <c r="A524" s="254"/>
      <c r="B524" s="255"/>
      <c r="C524" s="256"/>
      <c r="D524" s="257"/>
      <c r="E524" s="258"/>
      <c r="F524" s="259"/>
      <c r="G524" s="258"/>
      <c r="H524" s="255"/>
      <c r="I524" s="255"/>
      <c r="J524" s="260"/>
      <c r="K524" s="255"/>
      <c r="L524" s="258"/>
      <c r="M524" s="258"/>
      <c r="N524" s="255"/>
      <c r="O524" s="255"/>
      <c r="P524" s="254"/>
      <c r="Q524" s="260"/>
    </row>
    <row r="525">
      <c r="A525" s="254"/>
      <c r="B525" s="255"/>
      <c r="C525" s="256"/>
      <c r="D525" s="257"/>
      <c r="E525" s="258"/>
      <c r="F525" s="259"/>
      <c r="G525" s="258"/>
      <c r="H525" s="255"/>
      <c r="I525" s="255"/>
      <c r="J525" s="260"/>
      <c r="K525" s="255"/>
      <c r="L525" s="258"/>
      <c r="M525" s="258"/>
      <c r="N525" s="255"/>
      <c r="O525" s="255"/>
      <c r="P525" s="254"/>
      <c r="Q525" s="260"/>
    </row>
    <row r="526">
      <c r="A526" s="254"/>
      <c r="B526" s="255"/>
      <c r="C526" s="256"/>
      <c r="D526" s="257"/>
      <c r="E526" s="258"/>
      <c r="F526" s="259"/>
      <c r="G526" s="258"/>
      <c r="H526" s="255"/>
      <c r="I526" s="255"/>
      <c r="J526" s="260"/>
      <c r="K526" s="255"/>
      <c r="L526" s="258"/>
      <c r="M526" s="258"/>
      <c r="N526" s="255"/>
      <c r="O526" s="255"/>
      <c r="P526" s="254"/>
      <c r="Q526" s="260"/>
    </row>
    <row r="527">
      <c r="A527" s="254"/>
      <c r="B527" s="255"/>
      <c r="C527" s="256"/>
      <c r="D527" s="257"/>
      <c r="E527" s="258"/>
      <c r="F527" s="259"/>
      <c r="G527" s="258"/>
      <c r="H527" s="255"/>
      <c r="I527" s="255"/>
      <c r="J527" s="260"/>
      <c r="K527" s="255"/>
      <c r="L527" s="258"/>
      <c r="M527" s="258"/>
      <c r="N527" s="255"/>
      <c r="O527" s="255"/>
      <c r="P527" s="254"/>
      <c r="Q527" s="260"/>
    </row>
    <row r="528">
      <c r="A528" s="254"/>
      <c r="B528" s="255"/>
      <c r="C528" s="256"/>
      <c r="D528" s="257"/>
      <c r="E528" s="258"/>
      <c r="F528" s="259"/>
      <c r="G528" s="258"/>
      <c r="H528" s="255"/>
      <c r="I528" s="255"/>
      <c r="J528" s="260"/>
      <c r="K528" s="255"/>
      <c r="L528" s="258"/>
      <c r="M528" s="258"/>
      <c r="N528" s="255"/>
      <c r="O528" s="255"/>
      <c r="P528" s="254"/>
      <c r="Q528" s="260"/>
    </row>
    <row r="529">
      <c r="A529" s="254"/>
      <c r="B529" s="255"/>
      <c r="C529" s="256"/>
      <c r="D529" s="257"/>
      <c r="E529" s="258"/>
      <c r="F529" s="259"/>
      <c r="G529" s="258"/>
      <c r="H529" s="255"/>
      <c r="I529" s="255"/>
      <c r="J529" s="260"/>
      <c r="K529" s="255"/>
      <c r="L529" s="258"/>
      <c r="M529" s="258"/>
      <c r="N529" s="255"/>
      <c r="O529" s="255"/>
      <c r="P529" s="254"/>
      <c r="Q529" s="260"/>
    </row>
    <row r="530">
      <c r="A530" s="254"/>
      <c r="B530" s="255"/>
      <c r="C530" s="256"/>
      <c r="D530" s="257"/>
      <c r="E530" s="258"/>
      <c r="F530" s="259"/>
      <c r="G530" s="258"/>
      <c r="H530" s="255"/>
      <c r="I530" s="255"/>
      <c r="J530" s="260"/>
      <c r="K530" s="255"/>
      <c r="L530" s="258"/>
      <c r="M530" s="258"/>
      <c r="N530" s="255"/>
      <c r="O530" s="255"/>
      <c r="P530" s="254"/>
      <c r="Q530" s="260"/>
    </row>
    <row r="531">
      <c r="A531" s="254"/>
      <c r="B531" s="255"/>
      <c r="C531" s="256"/>
      <c r="D531" s="257"/>
      <c r="E531" s="258"/>
      <c r="F531" s="259"/>
      <c r="G531" s="258"/>
      <c r="H531" s="255"/>
      <c r="I531" s="255"/>
      <c r="J531" s="260"/>
      <c r="K531" s="255"/>
      <c r="L531" s="258"/>
      <c r="M531" s="258"/>
      <c r="N531" s="255"/>
      <c r="O531" s="255"/>
      <c r="P531" s="254"/>
      <c r="Q531" s="260"/>
    </row>
    <row r="532">
      <c r="A532" s="254"/>
      <c r="B532" s="255"/>
      <c r="C532" s="256"/>
      <c r="D532" s="257"/>
      <c r="E532" s="258"/>
      <c r="F532" s="259"/>
      <c r="G532" s="258"/>
      <c r="H532" s="255"/>
      <c r="I532" s="255"/>
      <c r="J532" s="260"/>
      <c r="K532" s="255"/>
      <c r="L532" s="258"/>
      <c r="M532" s="258"/>
      <c r="N532" s="255"/>
      <c r="O532" s="255"/>
      <c r="P532" s="254"/>
      <c r="Q532" s="260"/>
    </row>
    <row r="533">
      <c r="A533" s="254"/>
      <c r="B533" s="255"/>
      <c r="C533" s="256"/>
      <c r="D533" s="257"/>
      <c r="E533" s="258"/>
      <c r="F533" s="259"/>
      <c r="G533" s="258"/>
      <c r="H533" s="255"/>
      <c r="I533" s="255"/>
      <c r="J533" s="260"/>
      <c r="K533" s="255"/>
      <c r="L533" s="258"/>
      <c r="M533" s="258"/>
      <c r="N533" s="255"/>
      <c r="O533" s="255"/>
      <c r="P533" s="254"/>
      <c r="Q533" s="260"/>
    </row>
    <row r="534">
      <c r="A534" s="254"/>
      <c r="B534" s="255"/>
      <c r="C534" s="256"/>
      <c r="D534" s="257"/>
      <c r="E534" s="258"/>
      <c r="F534" s="259"/>
      <c r="G534" s="258"/>
      <c r="H534" s="255"/>
      <c r="I534" s="255"/>
      <c r="J534" s="260"/>
      <c r="K534" s="255"/>
      <c r="L534" s="258"/>
      <c r="M534" s="258"/>
      <c r="N534" s="255"/>
      <c r="O534" s="255"/>
      <c r="P534" s="254"/>
      <c r="Q534" s="260"/>
    </row>
    <row r="535">
      <c r="A535" s="254"/>
      <c r="B535" s="255"/>
      <c r="C535" s="256"/>
      <c r="D535" s="257"/>
      <c r="E535" s="258"/>
      <c r="F535" s="259"/>
      <c r="G535" s="258"/>
      <c r="H535" s="255"/>
      <c r="I535" s="255"/>
      <c r="J535" s="260"/>
      <c r="K535" s="255"/>
      <c r="L535" s="258"/>
      <c r="M535" s="258"/>
      <c r="N535" s="255"/>
      <c r="O535" s="255"/>
      <c r="P535" s="254"/>
      <c r="Q535" s="260"/>
    </row>
    <row r="536">
      <c r="A536" s="254"/>
      <c r="B536" s="255"/>
      <c r="C536" s="256"/>
      <c r="D536" s="257"/>
      <c r="E536" s="258"/>
      <c r="F536" s="259"/>
      <c r="G536" s="258"/>
      <c r="H536" s="255"/>
      <c r="I536" s="255"/>
      <c r="J536" s="260"/>
      <c r="K536" s="255"/>
      <c r="L536" s="258"/>
      <c r="M536" s="258"/>
      <c r="N536" s="255"/>
      <c r="O536" s="255"/>
      <c r="P536" s="254"/>
      <c r="Q536" s="260"/>
    </row>
    <row r="537">
      <c r="A537" s="254"/>
      <c r="B537" s="255"/>
      <c r="C537" s="256"/>
      <c r="D537" s="257"/>
      <c r="E537" s="258"/>
      <c r="F537" s="259"/>
      <c r="G537" s="258"/>
      <c r="H537" s="255"/>
      <c r="I537" s="255"/>
      <c r="J537" s="260"/>
      <c r="K537" s="255"/>
      <c r="L537" s="258"/>
      <c r="M537" s="258"/>
      <c r="N537" s="255"/>
      <c r="O537" s="255"/>
      <c r="P537" s="254"/>
      <c r="Q537" s="260"/>
    </row>
    <row r="538">
      <c r="A538" s="254"/>
      <c r="B538" s="255"/>
      <c r="C538" s="256"/>
      <c r="D538" s="257"/>
      <c r="E538" s="258"/>
      <c r="F538" s="259"/>
      <c r="G538" s="258"/>
      <c r="H538" s="255"/>
      <c r="I538" s="255"/>
      <c r="J538" s="260"/>
      <c r="K538" s="255"/>
      <c r="L538" s="258"/>
      <c r="M538" s="258"/>
      <c r="N538" s="255"/>
      <c r="O538" s="255"/>
      <c r="P538" s="254"/>
      <c r="Q538" s="260"/>
    </row>
    <row r="539">
      <c r="A539" s="254"/>
      <c r="B539" s="255"/>
      <c r="C539" s="256"/>
      <c r="D539" s="257"/>
      <c r="E539" s="258"/>
      <c r="F539" s="259"/>
      <c r="G539" s="258"/>
      <c r="H539" s="255"/>
      <c r="I539" s="255"/>
      <c r="J539" s="260"/>
      <c r="K539" s="255"/>
      <c r="L539" s="258"/>
      <c r="M539" s="258"/>
      <c r="N539" s="255"/>
      <c r="O539" s="255"/>
      <c r="P539" s="254"/>
      <c r="Q539" s="260"/>
    </row>
    <row r="540">
      <c r="A540" s="254"/>
      <c r="B540" s="255"/>
      <c r="C540" s="256"/>
      <c r="D540" s="257"/>
      <c r="E540" s="258"/>
      <c r="F540" s="259"/>
      <c r="G540" s="258"/>
      <c r="H540" s="255"/>
      <c r="I540" s="255"/>
      <c r="J540" s="260"/>
      <c r="K540" s="255"/>
      <c r="L540" s="258"/>
      <c r="M540" s="258"/>
      <c r="N540" s="255"/>
      <c r="O540" s="255"/>
      <c r="P540" s="254"/>
      <c r="Q540" s="260"/>
    </row>
    <row r="541">
      <c r="A541" s="254"/>
      <c r="B541" s="255"/>
      <c r="C541" s="256"/>
      <c r="D541" s="257"/>
      <c r="E541" s="258"/>
      <c r="F541" s="259"/>
      <c r="G541" s="258"/>
      <c r="H541" s="255"/>
      <c r="I541" s="255"/>
      <c r="J541" s="260"/>
      <c r="K541" s="255"/>
      <c r="L541" s="258"/>
      <c r="M541" s="258"/>
      <c r="N541" s="255"/>
      <c r="O541" s="255"/>
      <c r="P541" s="254"/>
      <c r="Q541" s="260"/>
    </row>
    <row r="542">
      <c r="A542" s="254"/>
      <c r="B542" s="255"/>
      <c r="C542" s="256"/>
      <c r="D542" s="257"/>
      <c r="E542" s="258"/>
      <c r="F542" s="259"/>
      <c r="G542" s="258"/>
      <c r="H542" s="255"/>
      <c r="I542" s="255"/>
      <c r="J542" s="260"/>
      <c r="K542" s="255"/>
      <c r="L542" s="258"/>
      <c r="M542" s="258"/>
      <c r="N542" s="255"/>
      <c r="O542" s="255"/>
      <c r="P542" s="254"/>
      <c r="Q542" s="260"/>
    </row>
    <row r="543">
      <c r="A543" s="254"/>
      <c r="B543" s="255"/>
      <c r="C543" s="256"/>
      <c r="D543" s="257"/>
      <c r="E543" s="258"/>
      <c r="F543" s="259"/>
      <c r="G543" s="258"/>
      <c r="H543" s="255"/>
      <c r="I543" s="255"/>
      <c r="J543" s="260"/>
      <c r="K543" s="255"/>
      <c r="L543" s="258"/>
      <c r="M543" s="258"/>
      <c r="N543" s="255"/>
      <c r="O543" s="255"/>
      <c r="P543" s="254"/>
      <c r="Q543" s="260"/>
    </row>
    <row r="544">
      <c r="A544" s="254"/>
      <c r="B544" s="255"/>
      <c r="C544" s="256"/>
      <c r="D544" s="257"/>
      <c r="E544" s="258"/>
      <c r="F544" s="259"/>
      <c r="G544" s="258"/>
      <c r="H544" s="255"/>
      <c r="I544" s="255"/>
      <c r="J544" s="260"/>
      <c r="K544" s="255"/>
      <c r="L544" s="258"/>
      <c r="M544" s="258"/>
      <c r="N544" s="255"/>
      <c r="O544" s="255"/>
      <c r="P544" s="254"/>
      <c r="Q544" s="260"/>
    </row>
    <row r="545">
      <c r="A545" s="254"/>
      <c r="B545" s="255"/>
      <c r="C545" s="256"/>
      <c r="D545" s="257"/>
      <c r="E545" s="258"/>
      <c r="F545" s="259"/>
      <c r="G545" s="258"/>
      <c r="H545" s="255"/>
      <c r="I545" s="255"/>
      <c r="J545" s="260"/>
      <c r="K545" s="255"/>
      <c r="L545" s="258"/>
      <c r="M545" s="258"/>
      <c r="N545" s="255"/>
      <c r="O545" s="255"/>
      <c r="P545" s="254"/>
      <c r="Q545" s="260"/>
    </row>
    <row r="546">
      <c r="A546" s="254"/>
      <c r="B546" s="255"/>
      <c r="C546" s="256"/>
      <c r="D546" s="257"/>
      <c r="E546" s="258"/>
      <c r="F546" s="259"/>
      <c r="G546" s="258"/>
      <c r="H546" s="255"/>
      <c r="I546" s="255"/>
      <c r="J546" s="260"/>
      <c r="K546" s="255"/>
      <c r="L546" s="258"/>
      <c r="M546" s="258"/>
      <c r="N546" s="255"/>
      <c r="O546" s="255"/>
      <c r="P546" s="254"/>
      <c r="Q546" s="260"/>
    </row>
    <row r="547">
      <c r="A547" s="254"/>
      <c r="B547" s="255"/>
      <c r="C547" s="256"/>
      <c r="D547" s="257"/>
      <c r="E547" s="258"/>
      <c r="F547" s="259"/>
      <c r="G547" s="258"/>
      <c r="H547" s="255"/>
      <c r="I547" s="255"/>
      <c r="J547" s="260"/>
      <c r="K547" s="255"/>
      <c r="L547" s="258"/>
      <c r="M547" s="258"/>
      <c r="N547" s="255"/>
      <c r="O547" s="255"/>
      <c r="P547" s="254"/>
      <c r="Q547" s="260"/>
    </row>
    <row r="548">
      <c r="A548" s="254"/>
      <c r="B548" s="255"/>
      <c r="C548" s="256"/>
      <c r="D548" s="257"/>
      <c r="E548" s="258"/>
      <c r="F548" s="259"/>
      <c r="G548" s="258"/>
      <c r="H548" s="255"/>
      <c r="I548" s="255"/>
      <c r="J548" s="260"/>
      <c r="K548" s="255"/>
      <c r="L548" s="258"/>
      <c r="M548" s="258"/>
      <c r="N548" s="255"/>
      <c r="O548" s="255"/>
      <c r="P548" s="254"/>
      <c r="Q548" s="260"/>
    </row>
    <row r="549">
      <c r="A549" s="254"/>
      <c r="B549" s="255"/>
      <c r="C549" s="256"/>
      <c r="D549" s="257"/>
      <c r="E549" s="258"/>
      <c r="F549" s="259"/>
      <c r="G549" s="258"/>
      <c r="H549" s="255"/>
      <c r="I549" s="255"/>
      <c r="J549" s="260"/>
      <c r="K549" s="255"/>
      <c r="L549" s="258"/>
      <c r="M549" s="258"/>
      <c r="N549" s="255"/>
      <c r="O549" s="255"/>
      <c r="P549" s="254"/>
      <c r="Q549" s="260"/>
    </row>
    <row r="550">
      <c r="A550" s="254"/>
      <c r="B550" s="255"/>
      <c r="C550" s="256"/>
      <c r="D550" s="257"/>
      <c r="E550" s="258"/>
      <c r="F550" s="259"/>
      <c r="G550" s="258"/>
      <c r="H550" s="255"/>
      <c r="I550" s="255"/>
      <c r="J550" s="260"/>
      <c r="K550" s="255"/>
      <c r="L550" s="258"/>
      <c r="M550" s="258"/>
      <c r="N550" s="255"/>
      <c r="O550" s="255"/>
      <c r="P550" s="254"/>
      <c r="Q550" s="260"/>
    </row>
    <row r="551">
      <c r="A551" s="254"/>
      <c r="B551" s="255"/>
      <c r="C551" s="256"/>
      <c r="D551" s="257"/>
      <c r="E551" s="258"/>
      <c r="F551" s="259"/>
      <c r="G551" s="258"/>
      <c r="H551" s="255"/>
      <c r="I551" s="255"/>
      <c r="J551" s="260"/>
      <c r="K551" s="255"/>
      <c r="L551" s="258"/>
      <c r="M551" s="258"/>
      <c r="N551" s="255"/>
      <c r="O551" s="255"/>
      <c r="P551" s="254"/>
      <c r="Q551" s="260"/>
    </row>
    <row r="552">
      <c r="A552" s="254"/>
      <c r="B552" s="255"/>
      <c r="C552" s="256"/>
      <c r="D552" s="257"/>
      <c r="E552" s="258"/>
      <c r="F552" s="259"/>
      <c r="G552" s="258"/>
      <c r="H552" s="255"/>
      <c r="I552" s="255"/>
      <c r="J552" s="260"/>
      <c r="K552" s="255"/>
      <c r="L552" s="258"/>
      <c r="M552" s="258"/>
      <c r="N552" s="255"/>
      <c r="O552" s="255"/>
      <c r="P552" s="254"/>
      <c r="Q552" s="260"/>
    </row>
    <row r="553">
      <c r="A553" s="254"/>
      <c r="B553" s="255"/>
      <c r="C553" s="256"/>
      <c r="D553" s="257"/>
      <c r="E553" s="258"/>
      <c r="F553" s="259"/>
      <c r="G553" s="258"/>
      <c r="H553" s="255"/>
      <c r="I553" s="255"/>
      <c r="J553" s="260"/>
      <c r="K553" s="255"/>
      <c r="L553" s="258"/>
      <c r="M553" s="258"/>
      <c r="N553" s="255"/>
      <c r="O553" s="255"/>
      <c r="P553" s="254"/>
      <c r="Q553" s="260"/>
    </row>
    <row r="554">
      <c r="A554" s="254"/>
      <c r="B554" s="255"/>
      <c r="C554" s="256"/>
      <c r="D554" s="257"/>
      <c r="E554" s="258"/>
      <c r="F554" s="259"/>
      <c r="G554" s="258"/>
      <c r="H554" s="255"/>
      <c r="I554" s="255"/>
      <c r="J554" s="260"/>
      <c r="K554" s="255"/>
      <c r="L554" s="258"/>
      <c r="M554" s="258"/>
      <c r="N554" s="255"/>
      <c r="O554" s="255"/>
      <c r="P554" s="254"/>
      <c r="Q554" s="260"/>
    </row>
    <row r="555">
      <c r="A555" s="254"/>
      <c r="B555" s="255"/>
      <c r="C555" s="256"/>
      <c r="D555" s="257"/>
      <c r="E555" s="258"/>
      <c r="F555" s="259"/>
      <c r="G555" s="258"/>
      <c r="H555" s="255"/>
      <c r="I555" s="255"/>
      <c r="J555" s="260"/>
      <c r="K555" s="255"/>
      <c r="L555" s="258"/>
      <c r="M555" s="258"/>
      <c r="N555" s="255"/>
      <c r="O555" s="255"/>
      <c r="P555" s="254"/>
      <c r="Q555" s="260"/>
    </row>
    <row r="556">
      <c r="A556" s="254"/>
      <c r="B556" s="255"/>
      <c r="C556" s="256"/>
      <c r="D556" s="257"/>
      <c r="E556" s="258"/>
      <c r="F556" s="259"/>
      <c r="G556" s="258"/>
      <c r="H556" s="255"/>
      <c r="I556" s="255"/>
      <c r="J556" s="260"/>
      <c r="K556" s="255"/>
      <c r="L556" s="258"/>
      <c r="M556" s="258"/>
      <c r="N556" s="255"/>
      <c r="O556" s="255"/>
      <c r="P556" s="254"/>
      <c r="Q556" s="260"/>
    </row>
    <row r="557">
      <c r="A557" s="254"/>
      <c r="B557" s="255"/>
      <c r="C557" s="256"/>
      <c r="D557" s="257"/>
      <c r="E557" s="258"/>
      <c r="F557" s="259"/>
      <c r="G557" s="258"/>
      <c r="H557" s="255"/>
      <c r="I557" s="255"/>
      <c r="J557" s="260"/>
      <c r="K557" s="255"/>
      <c r="L557" s="258"/>
      <c r="M557" s="258"/>
      <c r="N557" s="255"/>
      <c r="O557" s="255"/>
      <c r="P557" s="254"/>
      <c r="Q557" s="260"/>
    </row>
    <row r="558">
      <c r="A558" s="254"/>
      <c r="B558" s="255"/>
      <c r="C558" s="256"/>
      <c r="D558" s="257"/>
      <c r="E558" s="258"/>
      <c r="F558" s="259"/>
      <c r="G558" s="258"/>
      <c r="H558" s="255"/>
      <c r="I558" s="255"/>
      <c r="J558" s="260"/>
      <c r="K558" s="255"/>
      <c r="L558" s="258"/>
      <c r="M558" s="258"/>
      <c r="N558" s="255"/>
      <c r="O558" s="255"/>
      <c r="P558" s="254"/>
      <c r="Q558" s="260"/>
    </row>
    <row r="559">
      <c r="A559" s="254"/>
      <c r="B559" s="255"/>
      <c r="C559" s="256"/>
      <c r="D559" s="257"/>
      <c r="E559" s="258"/>
      <c r="F559" s="259"/>
      <c r="G559" s="258"/>
      <c r="H559" s="255"/>
      <c r="I559" s="255"/>
      <c r="J559" s="260"/>
      <c r="K559" s="255"/>
      <c r="L559" s="258"/>
      <c r="M559" s="258"/>
      <c r="N559" s="255"/>
      <c r="O559" s="255"/>
      <c r="P559" s="254"/>
      <c r="Q559" s="260"/>
    </row>
    <row r="560">
      <c r="A560" s="254"/>
      <c r="B560" s="255"/>
      <c r="C560" s="256"/>
      <c r="D560" s="257"/>
      <c r="E560" s="258"/>
      <c r="F560" s="259"/>
      <c r="G560" s="258"/>
      <c r="H560" s="255"/>
      <c r="I560" s="255"/>
      <c r="J560" s="260"/>
      <c r="K560" s="255"/>
      <c r="L560" s="258"/>
      <c r="M560" s="258"/>
      <c r="N560" s="255"/>
      <c r="O560" s="255"/>
      <c r="P560" s="254"/>
      <c r="Q560" s="260"/>
    </row>
    <row r="561">
      <c r="A561" s="254"/>
      <c r="B561" s="255"/>
      <c r="C561" s="256"/>
      <c r="D561" s="257"/>
      <c r="E561" s="258"/>
      <c r="F561" s="259"/>
      <c r="G561" s="258"/>
      <c r="H561" s="255"/>
      <c r="I561" s="255"/>
      <c r="J561" s="260"/>
      <c r="K561" s="255"/>
      <c r="L561" s="258"/>
      <c r="M561" s="258"/>
      <c r="N561" s="255"/>
      <c r="O561" s="255"/>
      <c r="P561" s="254"/>
      <c r="Q561" s="260"/>
    </row>
    <row r="562">
      <c r="A562" s="254"/>
      <c r="B562" s="255"/>
      <c r="C562" s="256"/>
      <c r="D562" s="257"/>
      <c r="E562" s="258"/>
      <c r="F562" s="259"/>
      <c r="G562" s="258"/>
      <c r="H562" s="255"/>
      <c r="I562" s="255"/>
      <c r="J562" s="260"/>
      <c r="K562" s="255"/>
      <c r="L562" s="258"/>
      <c r="M562" s="258"/>
      <c r="N562" s="255"/>
      <c r="O562" s="255"/>
      <c r="P562" s="254"/>
      <c r="Q562" s="260"/>
    </row>
    <row r="563">
      <c r="A563" s="254"/>
      <c r="B563" s="255"/>
      <c r="C563" s="256"/>
      <c r="D563" s="257"/>
      <c r="E563" s="258"/>
      <c r="F563" s="259"/>
      <c r="G563" s="258"/>
      <c r="H563" s="255"/>
      <c r="I563" s="255"/>
      <c r="J563" s="260"/>
      <c r="K563" s="255"/>
      <c r="L563" s="258"/>
      <c r="M563" s="258"/>
      <c r="N563" s="255"/>
      <c r="O563" s="255"/>
      <c r="P563" s="254"/>
      <c r="Q563" s="260"/>
    </row>
    <row r="564">
      <c r="A564" s="254"/>
      <c r="B564" s="255"/>
      <c r="C564" s="256"/>
      <c r="D564" s="257"/>
      <c r="E564" s="258"/>
      <c r="F564" s="259"/>
      <c r="G564" s="258"/>
      <c r="H564" s="255"/>
      <c r="I564" s="255"/>
      <c r="J564" s="260"/>
      <c r="K564" s="255"/>
      <c r="L564" s="258"/>
      <c r="M564" s="258"/>
      <c r="N564" s="255"/>
      <c r="O564" s="255"/>
      <c r="P564" s="254"/>
      <c r="Q564" s="260"/>
    </row>
    <row r="565">
      <c r="A565" s="254"/>
      <c r="B565" s="255"/>
      <c r="C565" s="256"/>
      <c r="D565" s="257"/>
      <c r="E565" s="258"/>
      <c r="F565" s="259"/>
      <c r="G565" s="258"/>
      <c r="H565" s="255"/>
      <c r="I565" s="255"/>
      <c r="J565" s="260"/>
      <c r="K565" s="255"/>
      <c r="L565" s="258"/>
      <c r="M565" s="258"/>
      <c r="N565" s="255"/>
      <c r="O565" s="255"/>
      <c r="P565" s="254"/>
      <c r="Q565" s="260"/>
    </row>
    <row r="566">
      <c r="A566" s="254"/>
      <c r="B566" s="255"/>
      <c r="C566" s="256"/>
      <c r="D566" s="257"/>
      <c r="E566" s="258"/>
      <c r="F566" s="259"/>
      <c r="G566" s="258"/>
      <c r="H566" s="255"/>
      <c r="I566" s="255"/>
      <c r="J566" s="260"/>
      <c r="K566" s="255"/>
      <c r="L566" s="258"/>
      <c r="M566" s="258"/>
      <c r="N566" s="255"/>
      <c r="O566" s="255"/>
      <c r="P566" s="254"/>
      <c r="Q566" s="260"/>
    </row>
    <row r="567">
      <c r="A567" s="254"/>
      <c r="B567" s="255"/>
      <c r="C567" s="256"/>
      <c r="D567" s="257"/>
      <c r="E567" s="258"/>
      <c r="F567" s="259"/>
      <c r="G567" s="258"/>
      <c r="H567" s="255"/>
      <c r="I567" s="255"/>
      <c r="J567" s="260"/>
      <c r="K567" s="255"/>
      <c r="L567" s="258"/>
      <c r="M567" s="258"/>
      <c r="N567" s="255"/>
      <c r="O567" s="255"/>
      <c r="P567" s="254"/>
      <c r="Q567" s="260"/>
    </row>
    <row r="568">
      <c r="A568" s="254"/>
      <c r="B568" s="255"/>
      <c r="C568" s="256"/>
      <c r="D568" s="257"/>
      <c r="E568" s="258"/>
      <c r="F568" s="259"/>
      <c r="G568" s="258"/>
      <c r="H568" s="255"/>
      <c r="I568" s="255"/>
      <c r="J568" s="260"/>
      <c r="K568" s="255"/>
      <c r="L568" s="258"/>
      <c r="M568" s="258"/>
      <c r="N568" s="255"/>
      <c r="O568" s="255"/>
      <c r="P568" s="254"/>
      <c r="Q568" s="260"/>
    </row>
    <row r="569">
      <c r="A569" s="254"/>
      <c r="B569" s="255"/>
      <c r="C569" s="256"/>
      <c r="D569" s="257"/>
      <c r="E569" s="258"/>
      <c r="F569" s="259"/>
      <c r="G569" s="258"/>
      <c r="H569" s="255"/>
      <c r="I569" s="255"/>
      <c r="J569" s="260"/>
      <c r="K569" s="255"/>
      <c r="L569" s="258"/>
      <c r="M569" s="258"/>
      <c r="N569" s="255"/>
      <c r="O569" s="255"/>
      <c r="P569" s="254"/>
      <c r="Q569" s="260"/>
    </row>
    <row r="570">
      <c r="A570" s="254"/>
      <c r="B570" s="255"/>
      <c r="C570" s="256"/>
      <c r="D570" s="257"/>
      <c r="E570" s="258"/>
      <c r="F570" s="259"/>
      <c r="G570" s="258"/>
      <c r="H570" s="255"/>
      <c r="I570" s="255"/>
      <c r="J570" s="260"/>
      <c r="K570" s="255"/>
      <c r="L570" s="258"/>
      <c r="M570" s="258"/>
      <c r="N570" s="255"/>
      <c r="O570" s="255"/>
      <c r="P570" s="254"/>
      <c r="Q570" s="260"/>
    </row>
    <row r="571">
      <c r="A571" s="254"/>
      <c r="B571" s="255"/>
      <c r="C571" s="256"/>
      <c r="D571" s="257"/>
      <c r="E571" s="258"/>
      <c r="F571" s="259"/>
      <c r="G571" s="258"/>
      <c r="H571" s="255"/>
      <c r="I571" s="255"/>
      <c r="J571" s="260"/>
      <c r="K571" s="255"/>
      <c r="L571" s="258"/>
      <c r="M571" s="258"/>
      <c r="N571" s="255"/>
      <c r="O571" s="255"/>
      <c r="P571" s="254"/>
      <c r="Q571" s="260"/>
    </row>
    <row r="572">
      <c r="A572" s="254"/>
      <c r="B572" s="255"/>
      <c r="C572" s="256"/>
      <c r="D572" s="257"/>
      <c r="E572" s="258"/>
      <c r="F572" s="259"/>
      <c r="G572" s="258"/>
      <c r="H572" s="255"/>
      <c r="I572" s="255"/>
      <c r="J572" s="260"/>
      <c r="K572" s="255"/>
      <c r="L572" s="258"/>
      <c r="M572" s="258"/>
      <c r="N572" s="255"/>
      <c r="O572" s="255"/>
      <c r="P572" s="254"/>
      <c r="Q572" s="260"/>
    </row>
    <row r="573">
      <c r="A573" s="254"/>
      <c r="B573" s="255"/>
      <c r="C573" s="256"/>
      <c r="D573" s="257"/>
      <c r="E573" s="258"/>
      <c r="F573" s="259"/>
      <c r="G573" s="258"/>
      <c r="H573" s="255"/>
      <c r="I573" s="255"/>
      <c r="J573" s="260"/>
      <c r="K573" s="255"/>
      <c r="L573" s="258"/>
      <c r="M573" s="258"/>
      <c r="N573" s="255"/>
      <c r="O573" s="255"/>
      <c r="P573" s="254"/>
      <c r="Q573" s="260"/>
    </row>
    <row r="574">
      <c r="A574" s="254"/>
      <c r="B574" s="255"/>
      <c r="C574" s="256"/>
      <c r="D574" s="257"/>
      <c r="E574" s="258"/>
      <c r="F574" s="259"/>
      <c r="G574" s="258"/>
      <c r="H574" s="255"/>
      <c r="I574" s="255"/>
      <c r="J574" s="260"/>
      <c r="K574" s="255"/>
      <c r="L574" s="258"/>
      <c r="M574" s="258"/>
      <c r="N574" s="255"/>
      <c r="O574" s="255"/>
      <c r="P574" s="254"/>
      <c r="Q574" s="260"/>
    </row>
    <row r="575">
      <c r="A575" s="254"/>
      <c r="B575" s="255"/>
      <c r="C575" s="256"/>
      <c r="D575" s="257"/>
      <c r="E575" s="258"/>
      <c r="F575" s="259"/>
      <c r="G575" s="258"/>
      <c r="H575" s="255"/>
      <c r="I575" s="255"/>
      <c r="J575" s="260"/>
      <c r="K575" s="255"/>
      <c r="L575" s="258"/>
      <c r="M575" s="258"/>
      <c r="N575" s="255"/>
      <c r="O575" s="255"/>
      <c r="P575" s="254"/>
      <c r="Q575" s="260"/>
    </row>
    <row r="576">
      <c r="A576" s="254"/>
      <c r="B576" s="255"/>
      <c r="C576" s="256"/>
      <c r="D576" s="257"/>
      <c r="E576" s="258"/>
      <c r="F576" s="259"/>
      <c r="G576" s="258"/>
      <c r="H576" s="255"/>
      <c r="I576" s="255"/>
      <c r="J576" s="260"/>
      <c r="K576" s="255"/>
      <c r="L576" s="258"/>
      <c r="M576" s="258"/>
      <c r="N576" s="255"/>
      <c r="O576" s="255"/>
      <c r="P576" s="254"/>
      <c r="Q576" s="260"/>
    </row>
    <row r="577">
      <c r="A577" s="254"/>
      <c r="B577" s="255"/>
      <c r="C577" s="256"/>
      <c r="D577" s="257"/>
      <c r="E577" s="258"/>
      <c r="F577" s="259"/>
      <c r="G577" s="258"/>
      <c r="H577" s="255"/>
      <c r="I577" s="255"/>
      <c r="J577" s="260"/>
      <c r="K577" s="255"/>
      <c r="L577" s="258"/>
      <c r="M577" s="258"/>
      <c r="N577" s="255"/>
      <c r="O577" s="255"/>
      <c r="P577" s="254"/>
      <c r="Q577" s="260"/>
    </row>
    <row r="578">
      <c r="A578" s="254"/>
      <c r="B578" s="255"/>
      <c r="C578" s="256"/>
      <c r="D578" s="257"/>
      <c r="E578" s="258"/>
      <c r="F578" s="259"/>
      <c r="G578" s="258"/>
      <c r="H578" s="255"/>
      <c r="I578" s="255"/>
      <c r="J578" s="260"/>
      <c r="K578" s="255"/>
      <c r="L578" s="258"/>
      <c r="M578" s="258"/>
      <c r="N578" s="255"/>
      <c r="O578" s="255"/>
      <c r="P578" s="254"/>
      <c r="Q578" s="260"/>
    </row>
    <row r="579">
      <c r="A579" s="254"/>
      <c r="B579" s="255"/>
      <c r="C579" s="256"/>
      <c r="D579" s="257"/>
      <c r="E579" s="258"/>
      <c r="F579" s="259"/>
      <c r="G579" s="258"/>
      <c r="H579" s="255"/>
      <c r="I579" s="255"/>
      <c r="J579" s="260"/>
      <c r="K579" s="255"/>
      <c r="L579" s="258"/>
      <c r="M579" s="258"/>
      <c r="N579" s="255"/>
      <c r="O579" s="255"/>
      <c r="P579" s="254"/>
      <c r="Q579" s="260"/>
    </row>
    <row r="580">
      <c r="A580" s="254"/>
      <c r="B580" s="255"/>
      <c r="C580" s="256"/>
      <c r="D580" s="257"/>
      <c r="E580" s="258"/>
      <c r="F580" s="259"/>
      <c r="G580" s="258"/>
      <c r="H580" s="255"/>
      <c r="I580" s="255"/>
      <c r="J580" s="260"/>
      <c r="K580" s="255"/>
      <c r="L580" s="258"/>
      <c r="M580" s="258"/>
      <c r="N580" s="255"/>
      <c r="O580" s="255"/>
      <c r="P580" s="254"/>
      <c r="Q580" s="260"/>
    </row>
    <row r="581">
      <c r="A581" s="254"/>
      <c r="B581" s="255"/>
      <c r="C581" s="256"/>
      <c r="D581" s="257"/>
      <c r="E581" s="258"/>
      <c r="F581" s="259"/>
      <c r="G581" s="258"/>
      <c r="H581" s="255"/>
      <c r="I581" s="255"/>
      <c r="J581" s="260"/>
      <c r="K581" s="255"/>
      <c r="L581" s="258"/>
      <c r="M581" s="258"/>
      <c r="N581" s="255"/>
      <c r="O581" s="255"/>
      <c r="P581" s="254"/>
      <c r="Q581" s="260"/>
    </row>
    <row r="582">
      <c r="A582" s="254"/>
      <c r="B582" s="255"/>
      <c r="C582" s="256"/>
      <c r="D582" s="257"/>
      <c r="E582" s="258"/>
      <c r="F582" s="259"/>
      <c r="G582" s="258"/>
      <c r="H582" s="255"/>
      <c r="I582" s="255"/>
      <c r="J582" s="260"/>
      <c r="K582" s="255"/>
      <c r="L582" s="258"/>
      <c r="M582" s="258"/>
      <c r="N582" s="255"/>
      <c r="O582" s="255"/>
      <c r="P582" s="254"/>
      <c r="Q582" s="260"/>
    </row>
    <row r="583">
      <c r="A583" s="254"/>
      <c r="B583" s="255"/>
      <c r="C583" s="256"/>
      <c r="D583" s="257"/>
      <c r="E583" s="258"/>
      <c r="F583" s="259"/>
      <c r="G583" s="258"/>
      <c r="H583" s="255"/>
      <c r="I583" s="255"/>
      <c r="J583" s="260"/>
      <c r="K583" s="255"/>
      <c r="L583" s="258"/>
      <c r="M583" s="258"/>
      <c r="N583" s="255"/>
      <c r="O583" s="255"/>
      <c r="P583" s="254"/>
      <c r="Q583" s="260"/>
    </row>
    <row r="584">
      <c r="A584" s="254"/>
      <c r="B584" s="255"/>
      <c r="C584" s="256"/>
      <c r="D584" s="257"/>
      <c r="E584" s="258"/>
      <c r="F584" s="259"/>
      <c r="G584" s="258"/>
      <c r="H584" s="255"/>
      <c r="I584" s="255"/>
      <c r="J584" s="260"/>
      <c r="K584" s="255"/>
      <c r="L584" s="258"/>
      <c r="M584" s="258"/>
      <c r="N584" s="255"/>
      <c r="O584" s="255"/>
      <c r="P584" s="254"/>
      <c r="Q584" s="260"/>
    </row>
    <row r="585">
      <c r="A585" s="254"/>
      <c r="B585" s="255"/>
      <c r="C585" s="256"/>
      <c r="D585" s="257"/>
      <c r="E585" s="258"/>
      <c r="F585" s="259"/>
      <c r="G585" s="258"/>
      <c r="H585" s="255"/>
      <c r="I585" s="255"/>
      <c r="J585" s="260"/>
      <c r="K585" s="255"/>
      <c r="L585" s="258"/>
      <c r="M585" s="258"/>
      <c r="N585" s="255"/>
      <c r="O585" s="255"/>
      <c r="P585" s="254"/>
      <c r="Q585" s="260"/>
    </row>
    <row r="586">
      <c r="A586" s="254"/>
      <c r="B586" s="255"/>
      <c r="C586" s="256"/>
      <c r="D586" s="257"/>
      <c r="E586" s="258"/>
      <c r="F586" s="259"/>
      <c r="G586" s="258"/>
      <c r="H586" s="255"/>
      <c r="I586" s="255"/>
      <c r="J586" s="260"/>
      <c r="K586" s="255"/>
      <c r="L586" s="258"/>
      <c r="M586" s="258"/>
      <c r="N586" s="255"/>
      <c r="O586" s="255"/>
      <c r="P586" s="254"/>
      <c r="Q586" s="260"/>
    </row>
    <row r="587">
      <c r="A587" s="254"/>
      <c r="B587" s="255"/>
      <c r="C587" s="256"/>
      <c r="D587" s="257"/>
      <c r="E587" s="258"/>
      <c r="F587" s="259"/>
      <c r="G587" s="258"/>
      <c r="H587" s="255"/>
      <c r="I587" s="255"/>
      <c r="J587" s="260"/>
      <c r="K587" s="255"/>
      <c r="L587" s="258"/>
      <c r="M587" s="258"/>
      <c r="N587" s="255"/>
      <c r="O587" s="255"/>
      <c r="P587" s="254"/>
      <c r="Q587" s="260"/>
    </row>
    <row r="588">
      <c r="A588" s="254"/>
      <c r="B588" s="255"/>
      <c r="C588" s="256"/>
      <c r="D588" s="257"/>
      <c r="E588" s="258"/>
      <c r="F588" s="259"/>
      <c r="G588" s="258"/>
      <c r="H588" s="255"/>
      <c r="I588" s="255"/>
      <c r="J588" s="260"/>
      <c r="K588" s="255"/>
      <c r="L588" s="258"/>
      <c r="M588" s="258"/>
      <c r="N588" s="255"/>
      <c r="O588" s="255"/>
      <c r="P588" s="254"/>
      <c r="Q588" s="260"/>
    </row>
    <row r="589">
      <c r="A589" s="254"/>
      <c r="B589" s="255"/>
      <c r="C589" s="256"/>
      <c r="D589" s="257"/>
      <c r="E589" s="258"/>
      <c r="F589" s="259"/>
      <c r="G589" s="258"/>
      <c r="H589" s="255"/>
      <c r="I589" s="255"/>
      <c r="J589" s="260"/>
      <c r="K589" s="255"/>
      <c r="L589" s="258"/>
      <c r="M589" s="258"/>
      <c r="N589" s="255"/>
      <c r="O589" s="255"/>
      <c r="P589" s="254"/>
      <c r="Q589" s="260"/>
    </row>
    <row r="590">
      <c r="A590" s="254"/>
      <c r="B590" s="255"/>
      <c r="C590" s="256"/>
      <c r="D590" s="257"/>
      <c r="E590" s="258"/>
      <c r="F590" s="259"/>
      <c r="G590" s="258"/>
      <c r="H590" s="255"/>
      <c r="I590" s="255"/>
      <c r="J590" s="260"/>
      <c r="K590" s="255"/>
      <c r="L590" s="258"/>
      <c r="M590" s="258"/>
      <c r="N590" s="255"/>
      <c r="O590" s="255"/>
      <c r="P590" s="254"/>
      <c r="Q590" s="260"/>
    </row>
    <row r="591">
      <c r="A591" s="254"/>
      <c r="B591" s="255"/>
      <c r="C591" s="256"/>
      <c r="D591" s="257"/>
      <c r="E591" s="258"/>
      <c r="F591" s="259"/>
      <c r="G591" s="258"/>
      <c r="H591" s="255"/>
      <c r="I591" s="255"/>
      <c r="J591" s="260"/>
      <c r="K591" s="255"/>
      <c r="L591" s="258"/>
      <c r="M591" s="258"/>
      <c r="N591" s="255"/>
      <c r="O591" s="255"/>
      <c r="P591" s="254"/>
      <c r="Q591" s="260"/>
    </row>
    <row r="592">
      <c r="A592" s="254"/>
      <c r="B592" s="255"/>
      <c r="C592" s="256"/>
      <c r="D592" s="257"/>
      <c r="E592" s="258"/>
      <c r="F592" s="259"/>
      <c r="G592" s="258"/>
      <c r="H592" s="255"/>
      <c r="I592" s="255"/>
      <c r="J592" s="260"/>
      <c r="K592" s="255"/>
      <c r="L592" s="258"/>
      <c r="M592" s="258"/>
      <c r="N592" s="255"/>
      <c r="O592" s="255"/>
      <c r="P592" s="254"/>
      <c r="Q592" s="260"/>
    </row>
    <row r="593">
      <c r="A593" s="254"/>
      <c r="B593" s="255"/>
      <c r="C593" s="256"/>
      <c r="D593" s="257"/>
      <c r="E593" s="258"/>
      <c r="F593" s="259"/>
      <c r="G593" s="258"/>
      <c r="H593" s="255"/>
      <c r="I593" s="255"/>
      <c r="J593" s="260"/>
      <c r="K593" s="255"/>
      <c r="L593" s="258"/>
      <c r="M593" s="258"/>
      <c r="N593" s="255"/>
      <c r="O593" s="255"/>
      <c r="P593" s="254"/>
      <c r="Q593" s="260"/>
    </row>
    <row r="594">
      <c r="A594" s="254"/>
      <c r="B594" s="255"/>
      <c r="C594" s="256"/>
      <c r="D594" s="257"/>
      <c r="E594" s="258"/>
      <c r="F594" s="259"/>
      <c r="G594" s="258"/>
      <c r="H594" s="255"/>
      <c r="I594" s="255"/>
      <c r="J594" s="260"/>
      <c r="K594" s="255"/>
      <c r="L594" s="258"/>
      <c r="M594" s="258"/>
      <c r="N594" s="255"/>
      <c r="O594" s="255"/>
      <c r="P594" s="254"/>
      <c r="Q594" s="260"/>
    </row>
    <row r="595">
      <c r="A595" s="254"/>
      <c r="B595" s="255"/>
      <c r="C595" s="256"/>
      <c r="D595" s="257"/>
      <c r="E595" s="258"/>
      <c r="F595" s="259"/>
      <c r="G595" s="258"/>
      <c r="H595" s="255"/>
      <c r="I595" s="255"/>
      <c r="J595" s="260"/>
      <c r="K595" s="255"/>
      <c r="L595" s="258"/>
      <c r="M595" s="258"/>
      <c r="N595" s="255"/>
      <c r="O595" s="255"/>
      <c r="P595" s="254"/>
      <c r="Q595" s="260"/>
    </row>
    <row r="596">
      <c r="A596" s="254"/>
      <c r="B596" s="255"/>
      <c r="C596" s="256"/>
      <c r="D596" s="257"/>
      <c r="E596" s="258"/>
      <c r="F596" s="259"/>
      <c r="G596" s="258"/>
      <c r="H596" s="255"/>
      <c r="I596" s="255"/>
      <c r="J596" s="260"/>
      <c r="K596" s="255"/>
      <c r="L596" s="258"/>
      <c r="M596" s="258"/>
      <c r="N596" s="255"/>
      <c r="O596" s="255"/>
      <c r="P596" s="254"/>
      <c r="Q596" s="260"/>
    </row>
    <row r="597">
      <c r="A597" s="254"/>
      <c r="B597" s="255"/>
      <c r="C597" s="256"/>
      <c r="D597" s="257"/>
      <c r="E597" s="258"/>
      <c r="F597" s="259"/>
      <c r="G597" s="258"/>
      <c r="H597" s="255"/>
      <c r="I597" s="255"/>
      <c r="J597" s="260"/>
      <c r="K597" s="255"/>
      <c r="L597" s="258"/>
      <c r="M597" s="258"/>
      <c r="N597" s="255"/>
      <c r="O597" s="255"/>
      <c r="P597" s="254"/>
      <c r="Q597" s="260"/>
    </row>
    <row r="598">
      <c r="A598" s="254"/>
      <c r="B598" s="255"/>
      <c r="C598" s="256"/>
      <c r="D598" s="257"/>
      <c r="E598" s="258"/>
      <c r="F598" s="259"/>
      <c r="G598" s="258"/>
      <c r="H598" s="255"/>
      <c r="I598" s="255"/>
      <c r="J598" s="260"/>
      <c r="K598" s="255"/>
      <c r="L598" s="258"/>
      <c r="M598" s="258"/>
      <c r="N598" s="255"/>
      <c r="O598" s="255"/>
      <c r="P598" s="254"/>
      <c r="Q598" s="260"/>
    </row>
    <row r="599">
      <c r="A599" s="254"/>
      <c r="B599" s="255"/>
      <c r="C599" s="256"/>
      <c r="D599" s="257"/>
      <c r="E599" s="258"/>
      <c r="F599" s="259"/>
      <c r="G599" s="258"/>
      <c r="H599" s="255"/>
      <c r="I599" s="255"/>
      <c r="J599" s="260"/>
      <c r="K599" s="255"/>
      <c r="L599" s="258"/>
      <c r="M599" s="258"/>
      <c r="N599" s="255"/>
      <c r="O599" s="255"/>
      <c r="P599" s="254"/>
      <c r="Q599" s="260"/>
    </row>
    <row r="600">
      <c r="A600" s="254"/>
      <c r="B600" s="255"/>
      <c r="C600" s="256"/>
      <c r="D600" s="257"/>
      <c r="E600" s="258"/>
      <c r="F600" s="259"/>
      <c r="G600" s="258"/>
      <c r="H600" s="255"/>
      <c r="I600" s="255"/>
      <c r="J600" s="260"/>
      <c r="K600" s="255"/>
      <c r="L600" s="258"/>
      <c r="M600" s="258"/>
      <c r="N600" s="255"/>
      <c r="O600" s="255"/>
      <c r="P600" s="254"/>
      <c r="Q600" s="260"/>
    </row>
    <row r="601">
      <c r="A601" s="254"/>
      <c r="B601" s="255"/>
      <c r="C601" s="256"/>
      <c r="D601" s="257"/>
      <c r="E601" s="258"/>
      <c r="F601" s="259"/>
      <c r="G601" s="258"/>
      <c r="H601" s="255"/>
      <c r="I601" s="255"/>
      <c r="J601" s="260"/>
      <c r="K601" s="255"/>
      <c r="L601" s="258"/>
      <c r="M601" s="258"/>
      <c r="N601" s="255"/>
      <c r="O601" s="255"/>
      <c r="P601" s="254"/>
      <c r="Q601" s="260"/>
    </row>
    <row r="602">
      <c r="A602" s="254"/>
      <c r="B602" s="255"/>
      <c r="C602" s="256"/>
      <c r="D602" s="257"/>
      <c r="E602" s="258"/>
      <c r="F602" s="259"/>
      <c r="G602" s="258"/>
      <c r="H602" s="255"/>
      <c r="I602" s="255"/>
      <c r="J602" s="260"/>
      <c r="K602" s="255"/>
      <c r="L602" s="258"/>
      <c r="M602" s="258"/>
      <c r="N602" s="255"/>
      <c r="O602" s="255"/>
      <c r="P602" s="254"/>
      <c r="Q602" s="260"/>
    </row>
    <row r="603">
      <c r="A603" s="254"/>
      <c r="B603" s="255"/>
      <c r="C603" s="256"/>
      <c r="D603" s="257"/>
      <c r="E603" s="258"/>
      <c r="F603" s="259"/>
      <c r="G603" s="258"/>
      <c r="H603" s="255"/>
      <c r="I603" s="255"/>
      <c r="J603" s="260"/>
      <c r="K603" s="255"/>
      <c r="L603" s="258"/>
      <c r="M603" s="258"/>
      <c r="N603" s="255"/>
      <c r="O603" s="255"/>
      <c r="P603" s="254"/>
      <c r="Q603" s="260"/>
    </row>
    <row r="604">
      <c r="A604" s="254"/>
      <c r="B604" s="255"/>
      <c r="C604" s="256"/>
      <c r="D604" s="257"/>
      <c r="E604" s="258"/>
      <c r="F604" s="259"/>
      <c r="G604" s="258"/>
      <c r="H604" s="255"/>
      <c r="I604" s="255"/>
      <c r="J604" s="260"/>
      <c r="K604" s="255"/>
      <c r="L604" s="258"/>
      <c r="M604" s="258"/>
      <c r="N604" s="255"/>
      <c r="O604" s="255"/>
      <c r="P604" s="254"/>
      <c r="Q604" s="260"/>
    </row>
    <row r="605">
      <c r="A605" s="254"/>
      <c r="B605" s="255"/>
      <c r="C605" s="256"/>
      <c r="D605" s="257"/>
      <c r="E605" s="258"/>
      <c r="F605" s="259"/>
      <c r="G605" s="258"/>
      <c r="H605" s="255"/>
      <c r="I605" s="255"/>
      <c r="J605" s="260"/>
      <c r="K605" s="255"/>
      <c r="L605" s="258"/>
      <c r="M605" s="258"/>
      <c r="N605" s="255"/>
      <c r="O605" s="255"/>
      <c r="P605" s="254"/>
      <c r="Q605" s="260"/>
    </row>
    <row r="606">
      <c r="A606" s="254"/>
      <c r="B606" s="255"/>
      <c r="C606" s="256"/>
      <c r="D606" s="257"/>
      <c r="E606" s="258"/>
      <c r="F606" s="259"/>
      <c r="G606" s="258"/>
      <c r="H606" s="255"/>
      <c r="I606" s="255"/>
      <c r="J606" s="260"/>
      <c r="K606" s="255"/>
      <c r="L606" s="258"/>
      <c r="M606" s="258"/>
      <c r="N606" s="255"/>
      <c r="O606" s="255"/>
      <c r="P606" s="254"/>
      <c r="Q606" s="260"/>
    </row>
    <row r="607">
      <c r="A607" s="254"/>
      <c r="B607" s="255"/>
      <c r="C607" s="256"/>
      <c r="D607" s="257"/>
      <c r="E607" s="258"/>
      <c r="F607" s="259"/>
      <c r="G607" s="258"/>
      <c r="H607" s="255"/>
      <c r="I607" s="255"/>
      <c r="J607" s="260"/>
      <c r="K607" s="255"/>
      <c r="L607" s="258"/>
      <c r="M607" s="258"/>
      <c r="N607" s="255"/>
      <c r="O607" s="255"/>
      <c r="P607" s="254"/>
      <c r="Q607" s="260"/>
    </row>
    <row r="608">
      <c r="A608" s="254"/>
      <c r="B608" s="255"/>
      <c r="C608" s="256"/>
      <c r="D608" s="257"/>
      <c r="E608" s="258"/>
      <c r="F608" s="259"/>
      <c r="G608" s="258"/>
      <c r="H608" s="255"/>
      <c r="I608" s="255"/>
      <c r="J608" s="260"/>
      <c r="K608" s="255"/>
      <c r="L608" s="258"/>
      <c r="M608" s="258"/>
      <c r="N608" s="255"/>
      <c r="O608" s="255"/>
      <c r="P608" s="254"/>
      <c r="Q608" s="260"/>
    </row>
    <row r="609">
      <c r="A609" s="254"/>
      <c r="B609" s="255"/>
      <c r="C609" s="256"/>
      <c r="D609" s="257"/>
      <c r="E609" s="258"/>
      <c r="F609" s="259"/>
      <c r="G609" s="258"/>
      <c r="H609" s="255"/>
      <c r="I609" s="255"/>
      <c r="J609" s="260"/>
      <c r="K609" s="255"/>
      <c r="L609" s="258"/>
      <c r="M609" s="258"/>
      <c r="N609" s="255"/>
      <c r="O609" s="255"/>
      <c r="P609" s="254"/>
      <c r="Q609" s="260"/>
    </row>
    <row r="610">
      <c r="A610" s="254"/>
      <c r="B610" s="255"/>
      <c r="C610" s="256"/>
      <c r="D610" s="257"/>
      <c r="E610" s="258"/>
      <c r="F610" s="259"/>
      <c r="G610" s="258"/>
      <c r="H610" s="255"/>
      <c r="I610" s="255"/>
      <c r="J610" s="260"/>
      <c r="K610" s="255"/>
      <c r="L610" s="258"/>
      <c r="M610" s="258"/>
      <c r="N610" s="255"/>
      <c r="O610" s="255"/>
      <c r="P610" s="254"/>
      <c r="Q610" s="260"/>
    </row>
    <row r="611">
      <c r="A611" s="254"/>
      <c r="B611" s="255"/>
      <c r="C611" s="256"/>
      <c r="D611" s="257"/>
      <c r="E611" s="258"/>
      <c r="F611" s="259"/>
      <c r="G611" s="258"/>
      <c r="H611" s="255"/>
      <c r="I611" s="255"/>
      <c r="J611" s="260"/>
      <c r="K611" s="255"/>
      <c r="L611" s="258"/>
      <c r="M611" s="258"/>
      <c r="N611" s="255"/>
      <c r="O611" s="255"/>
      <c r="P611" s="254"/>
      <c r="Q611" s="260"/>
    </row>
    <row r="612">
      <c r="A612" s="254"/>
      <c r="B612" s="255"/>
      <c r="C612" s="256"/>
      <c r="D612" s="257"/>
      <c r="E612" s="258"/>
      <c r="F612" s="259"/>
      <c r="G612" s="258"/>
      <c r="H612" s="255"/>
      <c r="I612" s="255"/>
      <c r="J612" s="260"/>
      <c r="K612" s="255"/>
      <c r="L612" s="258"/>
      <c r="M612" s="258"/>
      <c r="N612" s="255"/>
      <c r="O612" s="255"/>
      <c r="P612" s="254"/>
      <c r="Q612" s="260"/>
    </row>
    <row r="613">
      <c r="A613" s="254"/>
      <c r="B613" s="255"/>
      <c r="C613" s="256"/>
      <c r="D613" s="257"/>
      <c r="E613" s="258"/>
      <c r="F613" s="259"/>
      <c r="G613" s="258"/>
      <c r="H613" s="255"/>
      <c r="I613" s="255"/>
      <c r="J613" s="260"/>
      <c r="K613" s="255"/>
      <c r="L613" s="258"/>
      <c r="M613" s="258"/>
      <c r="N613" s="255"/>
      <c r="O613" s="255"/>
      <c r="P613" s="254"/>
      <c r="Q613" s="260"/>
    </row>
    <row r="614">
      <c r="A614" s="254"/>
      <c r="B614" s="255"/>
      <c r="C614" s="256"/>
      <c r="D614" s="257"/>
      <c r="E614" s="258"/>
      <c r="F614" s="259"/>
      <c r="G614" s="258"/>
      <c r="H614" s="255"/>
      <c r="I614" s="255"/>
      <c r="J614" s="260"/>
      <c r="K614" s="255"/>
      <c r="L614" s="258"/>
      <c r="M614" s="258"/>
      <c r="N614" s="255"/>
      <c r="O614" s="255"/>
      <c r="P614" s="254"/>
      <c r="Q614" s="260"/>
    </row>
    <row r="615">
      <c r="A615" s="254"/>
      <c r="B615" s="255"/>
      <c r="C615" s="256"/>
      <c r="D615" s="257"/>
      <c r="E615" s="258"/>
      <c r="F615" s="259"/>
      <c r="G615" s="258"/>
      <c r="H615" s="255"/>
      <c r="I615" s="255"/>
      <c r="J615" s="260"/>
      <c r="K615" s="255"/>
      <c r="L615" s="258"/>
      <c r="M615" s="258"/>
      <c r="N615" s="255"/>
      <c r="O615" s="255"/>
      <c r="P615" s="254"/>
      <c r="Q615" s="260"/>
    </row>
    <row r="616">
      <c r="A616" s="254"/>
      <c r="B616" s="255"/>
      <c r="C616" s="256"/>
      <c r="D616" s="257"/>
      <c r="E616" s="258"/>
      <c r="F616" s="259"/>
      <c r="G616" s="258"/>
      <c r="H616" s="255"/>
      <c r="I616" s="255"/>
      <c r="J616" s="260"/>
      <c r="K616" s="255"/>
      <c r="L616" s="258"/>
      <c r="M616" s="258"/>
      <c r="N616" s="255"/>
      <c r="O616" s="255"/>
      <c r="P616" s="254"/>
      <c r="Q616" s="260"/>
    </row>
    <row r="617">
      <c r="A617" s="254"/>
      <c r="B617" s="255"/>
      <c r="C617" s="256"/>
      <c r="D617" s="257"/>
      <c r="E617" s="258"/>
      <c r="F617" s="259"/>
      <c r="G617" s="258"/>
      <c r="H617" s="255"/>
      <c r="I617" s="255"/>
      <c r="J617" s="260"/>
      <c r="K617" s="255"/>
      <c r="L617" s="258"/>
      <c r="M617" s="258"/>
      <c r="N617" s="255"/>
      <c r="O617" s="255"/>
      <c r="P617" s="254"/>
      <c r="Q617" s="260"/>
    </row>
    <row r="618">
      <c r="A618" s="254"/>
      <c r="B618" s="255"/>
      <c r="C618" s="256"/>
      <c r="D618" s="257"/>
      <c r="E618" s="258"/>
      <c r="F618" s="259"/>
      <c r="G618" s="258"/>
      <c r="H618" s="255"/>
      <c r="I618" s="255"/>
      <c r="J618" s="260"/>
      <c r="K618" s="255"/>
      <c r="L618" s="258"/>
      <c r="M618" s="258"/>
      <c r="N618" s="255"/>
      <c r="O618" s="255"/>
      <c r="P618" s="254"/>
      <c r="Q618" s="260"/>
    </row>
    <row r="619">
      <c r="A619" s="254"/>
      <c r="B619" s="255"/>
      <c r="C619" s="256"/>
      <c r="D619" s="257"/>
      <c r="E619" s="258"/>
      <c r="F619" s="259"/>
      <c r="G619" s="258"/>
      <c r="H619" s="255"/>
      <c r="I619" s="255"/>
      <c r="J619" s="260"/>
      <c r="K619" s="255"/>
      <c r="L619" s="258"/>
      <c r="M619" s="258"/>
      <c r="N619" s="255"/>
      <c r="O619" s="255"/>
      <c r="P619" s="254"/>
      <c r="Q619" s="260"/>
    </row>
    <row r="620">
      <c r="A620" s="254"/>
      <c r="B620" s="255"/>
      <c r="C620" s="256"/>
      <c r="D620" s="257"/>
      <c r="E620" s="258"/>
      <c r="F620" s="259"/>
      <c r="G620" s="258"/>
      <c r="H620" s="255"/>
      <c r="I620" s="255"/>
      <c r="J620" s="260"/>
      <c r="K620" s="255"/>
      <c r="L620" s="258"/>
      <c r="M620" s="258"/>
      <c r="N620" s="255"/>
      <c r="O620" s="255"/>
      <c r="P620" s="254"/>
      <c r="Q620" s="260"/>
    </row>
    <row r="621">
      <c r="A621" s="254"/>
      <c r="B621" s="255"/>
      <c r="C621" s="256"/>
      <c r="D621" s="257"/>
      <c r="E621" s="258"/>
      <c r="F621" s="259"/>
      <c r="G621" s="258"/>
      <c r="H621" s="255"/>
      <c r="I621" s="255"/>
      <c r="J621" s="260"/>
      <c r="K621" s="255"/>
      <c r="L621" s="258"/>
      <c r="M621" s="258"/>
      <c r="N621" s="255"/>
      <c r="O621" s="255"/>
      <c r="P621" s="254"/>
      <c r="Q621" s="260"/>
    </row>
    <row r="622">
      <c r="A622" s="254"/>
      <c r="B622" s="255"/>
      <c r="C622" s="256"/>
      <c r="D622" s="257"/>
      <c r="E622" s="258"/>
      <c r="F622" s="259"/>
      <c r="G622" s="258"/>
      <c r="H622" s="255"/>
      <c r="I622" s="255"/>
      <c r="J622" s="260"/>
      <c r="K622" s="255"/>
      <c r="L622" s="258"/>
      <c r="M622" s="258"/>
      <c r="N622" s="255"/>
      <c r="O622" s="255"/>
      <c r="P622" s="254"/>
      <c r="Q622" s="260"/>
    </row>
    <row r="623">
      <c r="A623" s="254"/>
      <c r="B623" s="255"/>
      <c r="C623" s="256"/>
      <c r="D623" s="257"/>
      <c r="E623" s="258"/>
      <c r="F623" s="259"/>
      <c r="G623" s="258"/>
      <c r="H623" s="255"/>
      <c r="I623" s="255"/>
      <c r="J623" s="260"/>
      <c r="K623" s="255"/>
      <c r="L623" s="258"/>
      <c r="M623" s="258"/>
      <c r="N623" s="255"/>
      <c r="O623" s="255"/>
      <c r="P623" s="254"/>
      <c r="Q623" s="260"/>
    </row>
    <row r="624">
      <c r="A624" s="254"/>
      <c r="B624" s="255"/>
      <c r="C624" s="256"/>
      <c r="D624" s="257"/>
      <c r="E624" s="258"/>
      <c r="F624" s="259"/>
      <c r="G624" s="258"/>
      <c r="H624" s="255"/>
      <c r="I624" s="255"/>
      <c r="J624" s="260"/>
      <c r="K624" s="255"/>
      <c r="L624" s="258"/>
      <c r="M624" s="258"/>
      <c r="N624" s="255"/>
      <c r="O624" s="255"/>
      <c r="P624" s="254"/>
      <c r="Q624" s="260"/>
    </row>
    <row r="625">
      <c r="A625" s="254"/>
      <c r="B625" s="255"/>
      <c r="C625" s="256"/>
      <c r="D625" s="257"/>
      <c r="E625" s="258"/>
      <c r="F625" s="259"/>
      <c r="G625" s="258"/>
      <c r="H625" s="255"/>
      <c r="I625" s="255"/>
      <c r="J625" s="260"/>
      <c r="K625" s="255"/>
      <c r="L625" s="258"/>
      <c r="M625" s="258"/>
      <c r="N625" s="255"/>
      <c r="O625" s="255"/>
      <c r="P625" s="254"/>
      <c r="Q625" s="260"/>
    </row>
    <row r="626">
      <c r="A626" s="254"/>
      <c r="B626" s="255"/>
      <c r="C626" s="256"/>
      <c r="D626" s="257"/>
      <c r="E626" s="258"/>
      <c r="F626" s="259"/>
      <c r="G626" s="258"/>
      <c r="H626" s="255"/>
      <c r="I626" s="255"/>
      <c r="J626" s="260"/>
      <c r="K626" s="255"/>
      <c r="L626" s="258"/>
      <c r="M626" s="258"/>
      <c r="N626" s="255"/>
      <c r="O626" s="255"/>
      <c r="P626" s="254"/>
      <c r="Q626" s="260"/>
    </row>
    <row r="627">
      <c r="A627" s="254"/>
      <c r="B627" s="255"/>
      <c r="C627" s="256"/>
      <c r="D627" s="257"/>
      <c r="E627" s="258"/>
      <c r="F627" s="259"/>
      <c r="G627" s="258"/>
      <c r="H627" s="255"/>
      <c r="I627" s="255"/>
      <c r="J627" s="260"/>
      <c r="K627" s="255"/>
      <c r="L627" s="258"/>
      <c r="M627" s="258"/>
      <c r="N627" s="255"/>
      <c r="O627" s="255"/>
      <c r="P627" s="254"/>
      <c r="Q627" s="260"/>
    </row>
    <row r="628">
      <c r="A628" s="254"/>
      <c r="B628" s="255"/>
      <c r="C628" s="256"/>
      <c r="D628" s="257"/>
      <c r="E628" s="258"/>
      <c r="F628" s="259"/>
      <c r="G628" s="258"/>
      <c r="H628" s="255"/>
      <c r="I628" s="255"/>
      <c r="J628" s="260"/>
      <c r="K628" s="255"/>
      <c r="L628" s="258"/>
      <c r="M628" s="258"/>
      <c r="N628" s="255"/>
      <c r="O628" s="255"/>
      <c r="P628" s="254"/>
      <c r="Q628" s="260"/>
    </row>
    <row r="629">
      <c r="A629" s="254"/>
      <c r="B629" s="255"/>
      <c r="C629" s="256"/>
      <c r="D629" s="257"/>
      <c r="E629" s="258"/>
      <c r="F629" s="259"/>
      <c r="G629" s="258"/>
      <c r="H629" s="255"/>
      <c r="I629" s="255"/>
      <c r="J629" s="260"/>
      <c r="K629" s="255"/>
      <c r="L629" s="258"/>
      <c r="M629" s="258"/>
      <c r="N629" s="255"/>
      <c r="O629" s="255"/>
      <c r="P629" s="254"/>
      <c r="Q629" s="260"/>
    </row>
    <row r="630">
      <c r="A630" s="254"/>
      <c r="B630" s="255"/>
      <c r="C630" s="256"/>
      <c r="D630" s="257"/>
      <c r="E630" s="258"/>
      <c r="F630" s="259"/>
      <c r="G630" s="258"/>
      <c r="H630" s="255"/>
      <c r="I630" s="255"/>
      <c r="J630" s="260"/>
      <c r="K630" s="255"/>
      <c r="L630" s="258"/>
      <c r="M630" s="258"/>
      <c r="N630" s="255"/>
      <c r="O630" s="255"/>
      <c r="P630" s="254"/>
      <c r="Q630" s="260"/>
    </row>
    <row r="631">
      <c r="A631" s="254"/>
      <c r="B631" s="255"/>
      <c r="C631" s="256"/>
      <c r="D631" s="257"/>
      <c r="E631" s="258"/>
      <c r="F631" s="259"/>
      <c r="G631" s="258"/>
      <c r="H631" s="255"/>
      <c r="I631" s="255"/>
      <c r="J631" s="260"/>
      <c r="K631" s="255"/>
      <c r="L631" s="258"/>
      <c r="M631" s="258"/>
      <c r="N631" s="255"/>
      <c r="O631" s="255"/>
      <c r="P631" s="254"/>
      <c r="Q631" s="260"/>
    </row>
    <row r="632">
      <c r="A632" s="254"/>
      <c r="B632" s="255"/>
      <c r="C632" s="256"/>
      <c r="D632" s="257"/>
      <c r="E632" s="258"/>
      <c r="F632" s="259"/>
      <c r="G632" s="258"/>
      <c r="H632" s="255"/>
      <c r="I632" s="255"/>
      <c r="J632" s="260"/>
      <c r="K632" s="255"/>
      <c r="L632" s="258"/>
      <c r="M632" s="258"/>
      <c r="N632" s="255"/>
      <c r="O632" s="255"/>
      <c r="P632" s="254"/>
      <c r="Q632" s="260"/>
    </row>
    <row r="633">
      <c r="A633" s="254"/>
      <c r="B633" s="255"/>
      <c r="C633" s="256"/>
      <c r="D633" s="257"/>
      <c r="E633" s="258"/>
      <c r="F633" s="259"/>
      <c r="G633" s="258"/>
      <c r="H633" s="255"/>
      <c r="I633" s="255"/>
      <c r="J633" s="260"/>
      <c r="K633" s="255"/>
      <c r="L633" s="258"/>
      <c r="M633" s="258"/>
      <c r="N633" s="255"/>
      <c r="O633" s="255"/>
      <c r="P633" s="254"/>
      <c r="Q633" s="260"/>
    </row>
    <row r="634">
      <c r="A634" s="254"/>
      <c r="B634" s="255"/>
      <c r="C634" s="256"/>
      <c r="D634" s="257"/>
      <c r="E634" s="258"/>
      <c r="F634" s="259"/>
      <c r="G634" s="258"/>
      <c r="H634" s="255"/>
      <c r="I634" s="255"/>
      <c r="J634" s="260"/>
      <c r="K634" s="255"/>
      <c r="L634" s="258"/>
      <c r="M634" s="258"/>
      <c r="N634" s="255"/>
      <c r="O634" s="255"/>
      <c r="P634" s="254"/>
      <c r="Q634" s="260"/>
    </row>
    <row r="635">
      <c r="A635" s="254"/>
      <c r="B635" s="255"/>
      <c r="C635" s="256"/>
      <c r="D635" s="257"/>
      <c r="E635" s="258"/>
      <c r="F635" s="259"/>
      <c r="G635" s="258"/>
      <c r="H635" s="255"/>
      <c r="I635" s="255"/>
      <c r="J635" s="260"/>
      <c r="K635" s="255"/>
      <c r="L635" s="258"/>
      <c r="M635" s="258"/>
      <c r="N635" s="255"/>
      <c r="O635" s="255"/>
      <c r="P635" s="254"/>
      <c r="Q635" s="260"/>
    </row>
    <row r="636">
      <c r="A636" s="254"/>
      <c r="B636" s="255"/>
      <c r="C636" s="256"/>
      <c r="D636" s="257"/>
      <c r="E636" s="258"/>
      <c r="F636" s="259"/>
      <c r="G636" s="258"/>
      <c r="H636" s="255"/>
      <c r="I636" s="255"/>
      <c r="J636" s="260"/>
      <c r="K636" s="255"/>
      <c r="L636" s="258"/>
      <c r="M636" s="258"/>
      <c r="N636" s="255"/>
      <c r="O636" s="255"/>
      <c r="P636" s="254"/>
      <c r="Q636" s="260"/>
    </row>
    <row r="637">
      <c r="A637" s="254"/>
      <c r="B637" s="255"/>
      <c r="C637" s="256"/>
      <c r="D637" s="257"/>
      <c r="E637" s="258"/>
      <c r="F637" s="259"/>
      <c r="G637" s="258"/>
      <c r="H637" s="255"/>
      <c r="I637" s="255"/>
      <c r="J637" s="260"/>
      <c r="K637" s="255"/>
      <c r="L637" s="258"/>
      <c r="M637" s="258"/>
      <c r="N637" s="255"/>
      <c r="O637" s="255"/>
      <c r="P637" s="254"/>
      <c r="Q637" s="260"/>
    </row>
    <row r="638">
      <c r="A638" s="254"/>
      <c r="B638" s="255"/>
      <c r="C638" s="256"/>
      <c r="D638" s="257"/>
      <c r="E638" s="258"/>
      <c r="F638" s="259"/>
      <c r="G638" s="258"/>
      <c r="H638" s="255"/>
      <c r="I638" s="255"/>
      <c r="J638" s="260"/>
      <c r="K638" s="255"/>
      <c r="L638" s="258"/>
      <c r="M638" s="258"/>
      <c r="N638" s="255"/>
      <c r="O638" s="255"/>
      <c r="P638" s="254"/>
      <c r="Q638" s="260"/>
    </row>
    <row r="639">
      <c r="A639" s="254"/>
      <c r="B639" s="255"/>
      <c r="C639" s="256"/>
      <c r="D639" s="257"/>
      <c r="E639" s="258"/>
      <c r="F639" s="259"/>
      <c r="G639" s="258"/>
      <c r="H639" s="255"/>
      <c r="I639" s="255"/>
      <c r="J639" s="260"/>
      <c r="K639" s="255"/>
      <c r="L639" s="258"/>
      <c r="M639" s="258"/>
      <c r="N639" s="255"/>
      <c r="O639" s="255"/>
      <c r="P639" s="254"/>
      <c r="Q639" s="260"/>
    </row>
    <row r="640">
      <c r="A640" s="254"/>
      <c r="B640" s="255"/>
      <c r="C640" s="256"/>
      <c r="D640" s="257"/>
      <c r="E640" s="258"/>
      <c r="F640" s="259"/>
      <c r="G640" s="258"/>
      <c r="H640" s="255"/>
      <c r="I640" s="255"/>
      <c r="J640" s="260"/>
      <c r="K640" s="255"/>
      <c r="L640" s="258"/>
      <c r="M640" s="258"/>
      <c r="N640" s="255"/>
      <c r="O640" s="255"/>
      <c r="P640" s="254"/>
      <c r="Q640" s="260"/>
    </row>
    <row r="641">
      <c r="A641" s="254"/>
      <c r="B641" s="255"/>
      <c r="C641" s="256"/>
      <c r="D641" s="257"/>
      <c r="E641" s="258"/>
      <c r="F641" s="259"/>
      <c r="G641" s="258"/>
      <c r="H641" s="255"/>
      <c r="I641" s="255"/>
      <c r="J641" s="260"/>
      <c r="K641" s="255"/>
      <c r="L641" s="258"/>
      <c r="M641" s="258"/>
      <c r="N641" s="255"/>
      <c r="O641" s="255"/>
      <c r="P641" s="254"/>
      <c r="Q641" s="260"/>
    </row>
    <row r="642">
      <c r="A642" s="254"/>
      <c r="B642" s="255"/>
      <c r="C642" s="256"/>
      <c r="D642" s="257"/>
      <c r="E642" s="258"/>
      <c r="F642" s="259"/>
      <c r="G642" s="258"/>
      <c r="H642" s="255"/>
      <c r="I642" s="255"/>
      <c r="J642" s="260"/>
      <c r="K642" s="255"/>
      <c r="L642" s="258"/>
      <c r="M642" s="258"/>
      <c r="N642" s="255"/>
      <c r="O642" s="255"/>
      <c r="P642" s="254"/>
      <c r="Q642" s="260"/>
    </row>
    <row r="643">
      <c r="A643" s="254"/>
      <c r="B643" s="255"/>
      <c r="C643" s="256"/>
      <c r="D643" s="257"/>
      <c r="E643" s="258"/>
      <c r="F643" s="259"/>
      <c r="G643" s="258"/>
      <c r="H643" s="255"/>
      <c r="I643" s="255"/>
      <c r="J643" s="260"/>
      <c r="K643" s="255"/>
      <c r="L643" s="258"/>
      <c r="M643" s="258"/>
      <c r="N643" s="255"/>
      <c r="O643" s="255"/>
      <c r="P643" s="254"/>
      <c r="Q643" s="260"/>
    </row>
    <row r="644">
      <c r="A644" s="254"/>
      <c r="B644" s="255"/>
      <c r="C644" s="256"/>
      <c r="D644" s="257"/>
      <c r="E644" s="258"/>
      <c r="F644" s="259"/>
      <c r="G644" s="258"/>
      <c r="H644" s="255"/>
      <c r="I644" s="255"/>
      <c r="J644" s="260"/>
      <c r="K644" s="255"/>
      <c r="L644" s="258"/>
      <c r="M644" s="258"/>
      <c r="N644" s="255"/>
      <c r="O644" s="255"/>
      <c r="P644" s="254"/>
      <c r="Q644" s="260"/>
    </row>
    <row r="645">
      <c r="A645" s="254"/>
      <c r="B645" s="255"/>
      <c r="C645" s="256"/>
      <c r="D645" s="257"/>
      <c r="E645" s="258"/>
      <c r="F645" s="259"/>
      <c r="G645" s="258"/>
      <c r="H645" s="255"/>
      <c r="I645" s="255"/>
      <c r="J645" s="260"/>
      <c r="K645" s="255"/>
      <c r="L645" s="258"/>
      <c r="M645" s="258"/>
      <c r="N645" s="255"/>
      <c r="O645" s="255"/>
      <c r="P645" s="254"/>
      <c r="Q645" s="260"/>
    </row>
    <row r="646">
      <c r="A646" s="254"/>
      <c r="B646" s="255"/>
      <c r="C646" s="256"/>
      <c r="D646" s="257"/>
      <c r="E646" s="258"/>
      <c r="F646" s="259"/>
      <c r="G646" s="258"/>
      <c r="H646" s="255"/>
      <c r="I646" s="255"/>
      <c r="J646" s="260"/>
      <c r="K646" s="255"/>
      <c r="L646" s="258"/>
      <c r="M646" s="258"/>
      <c r="N646" s="255"/>
      <c r="O646" s="255"/>
      <c r="P646" s="254"/>
      <c r="Q646" s="260"/>
    </row>
    <row r="647">
      <c r="A647" s="254"/>
      <c r="B647" s="255"/>
      <c r="C647" s="256"/>
      <c r="D647" s="257"/>
      <c r="E647" s="258"/>
      <c r="F647" s="259"/>
      <c r="G647" s="258"/>
      <c r="H647" s="255"/>
      <c r="I647" s="255"/>
      <c r="J647" s="260"/>
      <c r="K647" s="255"/>
      <c r="L647" s="258"/>
      <c r="M647" s="258"/>
      <c r="N647" s="255"/>
      <c r="O647" s="255"/>
      <c r="P647" s="254"/>
      <c r="Q647" s="260"/>
    </row>
    <row r="648">
      <c r="A648" s="254"/>
      <c r="B648" s="255"/>
      <c r="C648" s="256"/>
      <c r="D648" s="257"/>
      <c r="E648" s="258"/>
      <c r="F648" s="259"/>
      <c r="G648" s="258"/>
      <c r="H648" s="255"/>
      <c r="I648" s="255"/>
      <c r="J648" s="260"/>
      <c r="K648" s="255"/>
      <c r="L648" s="258"/>
      <c r="M648" s="258"/>
      <c r="N648" s="255"/>
      <c r="O648" s="255"/>
      <c r="P648" s="254"/>
      <c r="Q648" s="260"/>
    </row>
    <row r="649">
      <c r="A649" s="254"/>
      <c r="B649" s="255"/>
      <c r="C649" s="256"/>
      <c r="D649" s="257"/>
      <c r="E649" s="258"/>
      <c r="F649" s="259"/>
      <c r="G649" s="258"/>
      <c r="H649" s="255"/>
      <c r="I649" s="255"/>
      <c r="J649" s="260"/>
      <c r="K649" s="255"/>
      <c r="L649" s="258"/>
      <c r="M649" s="258"/>
      <c r="N649" s="255"/>
      <c r="O649" s="255"/>
      <c r="P649" s="254"/>
      <c r="Q649" s="260"/>
    </row>
    <row r="650">
      <c r="A650" s="254"/>
      <c r="B650" s="255"/>
      <c r="C650" s="256"/>
      <c r="D650" s="257"/>
      <c r="E650" s="258"/>
      <c r="F650" s="259"/>
      <c r="G650" s="258"/>
      <c r="H650" s="255"/>
      <c r="I650" s="255"/>
      <c r="J650" s="260"/>
      <c r="K650" s="255"/>
      <c r="L650" s="258"/>
      <c r="M650" s="258"/>
      <c r="N650" s="255"/>
      <c r="O650" s="255"/>
      <c r="P650" s="254"/>
      <c r="Q650" s="260"/>
    </row>
    <row r="651">
      <c r="A651" s="254"/>
      <c r="B651" s="255"/>
      <c r="C651" s="256"/>
      <c r="D651" s="257"/>
      <c r="E651" s="258"/>
      <c r="F651" s="259"/>
      <c r="G651" s="258"/>
      <c r="H651" s="255"/>
      <c r="I651" s="255"/>
      <c r="J651" s="260"/>
      <c r="K651" s="255"/>
      <c r="L651" s="258"/>
      <c r="M651" s="258"/>
      <c r="N651" s="255"/>
      <c r="O651" s="255"/>
      <c r="P651" s="254"/>
      <c r="Q651" s="260"/>
    </row>
    <row r="652">
      <c r="A652" s="254"/>
      <c r="B652" s="255"/>
      <c r="C652" s="256"/>
      <c r="D652" s="257"/>
      <c r="E652" s="258"/>
      <c r="F652" s="259"/>
      <c r="G652" s="258"/>
      <c r="H652" s="255"/>
      <c r="I652" s="255"/>
      <c r="J652" s="260"/>
      <c r="K652" s="255"/>
      <c r="L652" s="258"/>
      <c r="M652" s="258"/>
      <c r="N652" s="255"/>
      <c r="O652" s="255"/>
      <c r="P652" s="254"/>
      <c r="Q652" s="260"/>
    </row>
    <row r="653">
      <c r="A653" s="254"/>
      <c r="B653" s="255"/>
      <c r="C653" s="256"/>
      <c r="D653" s="257"/>
      <c r="E653" s="258"/>
      <c r="F653" s="259"/>
      <c r="G653" s="258"/>
      <c r="H653" s="255"/>
      <c r="I653" s="255"/>
      <c r="J653" s="260"/>
      <c r="K653" s="255"/>
      <c r="L653" s="258"/>
      <c r="M653" s="258"/>
      <c r="N653" s="255"/>
      <c r="O653" s="255"/>
      <c r="P653" s="254"/>
      <c r="Q653" s="260"/>
    </row>
    <row r="654">
      <c r="A654" s="254"/>
      <c r="B654" s="255"/>
      <c r="C654" s="256"/>
      <c r="D654" s="257"/>
      <c r="E654" s="258"/>
      <c r="F654" s="259"/>
      <c r="G654" s="258"/>
      <c r="H654" s="255"/>
      <c r="I654" s="255"/>
      <c r="J654" s="260"/>
      <c r="K654" s="255"/>
      <c r="L654" s="258"/>
      <c r="M654" s="258"/>
      <c r="N654" s="255"/>
      <c r="O654" s="255"/>
      <c r="P654" s="254"/>
      <c r="Q654" s="260"/>
    </row>
    <row r="655">
      <c r="A655" s="254"/>
      <c r="B655" s="255"/>
      <c r="C655" s="256"/>
      <c r="D655" s="257"/>
      <c r="E655" s="258"/>
      <c r="F655" s="259"/>
      <c r="G655" s="258"/>
      <c r="H655" s="255"/>
      <c r="I655" s="255"/>
      <c r="J655" s="260"/>
      <c r="K655" s="255"/>
      <c r="L655" s="258"/>
      <c r="M655" s="258"/>
      <c r="N655" s="255"/>
      <c r="O655" s="255"/>
      <c r="P655" s="254"/>
      <c r="Q655" s="260"/>
    </row>
    <row r="656">
      <c r="A656" s="254"/>
      <c r="B656" s="255"/>
      <c r="C656" s="256"/>
      <c r="D656" s="257"/>
      <c r="E656" s="258"/>
      <c r="F656" s="259"/>
      <c r="G656" s="258"/>
      <c r="H656" s="255"/>
      <c r="I656" s="255"/>
      <c r="J656" s="260"/>
      <c r="K656" s="255"/>
      <c r="L656" s="258"/>
      <c r="M656" s="258"/>
      <c r="N656" s="255"/>
      <c r="O656" s="255"/>
      <c r="P656" s="254"/>
      <c r="Q656" s="260"/>
    </row>
    <row r="657">
      <c r="A657" s="254"/>
      <c r="B657" s="255"/>
      <c r="C657" s="256"/>
      <c r="D657" s="257"/>
      <c r="E657" s="258"/>
      <c r="F657" s="259"/>
      <c r="G657" s="258"/>
      <c r="H657" s="255"/>
      <c r="I657" s="255"/>
      <c r="J657" s="260"/>
      <c r="K657" s="255"/>
      <c r="L657" s="258"/>
      <c r="M657" s="258"/>
      <c r="N657" s="255"/>
      <c r="O657" s="255"/>
      <c r="P657" s="254"/>
      <c r="Q657" s="260"/>
    </row>
    <row r="658">
      <c r="A658" s="254"/>
      <c r="B658" s="255"/>
      <c r="C658" s="256"/>
      <c r="D658" s="257"/>
      <c r="E658" s="258"/>
      <c r="F658" s="259"/>
      <c r="G658" s="258"/>
      <c r="H658" s="255"/>
      <c r="I658" s="255"/>
      <c r="J658" s="260"/>
      <c r="K658" s="255"/>
      <c r="L658" s="258"/>
      <c r="M658" s="258"/>
      <c r="N658" s="255"/>
      <c r="O658" s="255"/>
      <c r="P658" s="254"/>
      <c r="Q658" s="260"/>
    </row>
    <row r="659">
      <c r="A659" s="254"/>
      <c r="B659" s="255"/>
      <c r="C659" s="256"/>
      <c r="D659" s="257"/>
      <c r="E659" s="258"/>
      <c r="F659" s="259"/>
      <c r="G659" s="258"/>
      <c r="H659" s="255"/>
      <c r="I659" s="255"/>
      <c r="J659" s="260"/>
      <c r="K659" s="255"/>
      <c r="L659" s="258"/>
      <c r="M659" s="258"/>
      <c r="N659" s="255"/>
      <c r="O659" s="255"/>
      <c r="P659" s="254"/>
      <c r="Q659" s="260"/>
    </row>
    <row r="660">
      <c r="A660" s="254"/>
      <c r="B660" s="255"/>
      <c r="C660" s="256"/>
      <c r="D660" s="257"/>
      <c r="E660" s="258"/>
      <c r="F660" s="259"/>
      <c r="G660" s="258"/>
      <c r="H660" s="255"/>
      <c r="I660" s="255"/>
      <c r="J660" s="260"/>
      <c r="K660" s="255"/>
      <c r="L660" s="258"/>
      <c r="M660" s="258"/>
      <c r="N660" s="255"/>
      <c r="O660" s="255"/>
      <c r="P660" s="254"/>
      <c r="Q660" s="260"/>
    </row>
    <row r="661">
      <c r="A661" s="254"/>
      <c r="B661" s="255"/>
      <c r="C661" s="256"/>
      <c r="D661" s="257"/>
      <c r="E661" s="258"/>
      <c r="F661" s="259"/>
      <c r="G661" s="258"/>
      <c r="H661" s="255"/>
      <c r="I661" s="255"/>
      <c r="J661" s="260"/>
      <c r="K661" s="255"/>
      <c r="L661" s="258"/>
      <c r="M661" s="258"/>
      <c r="N661" s="255"/>
      <c r="O661" s="255"/>
      <c r="P661" s="254"/>
      <c r="Q661" s="260"/>
    </row>
    <row r="662">
      <c r="A662" s="254"/>
      <c r="B662" s="255"/>
      <c r="C662" s="256"/>
      <c r="D662" s="257"/>
      <c r="E662" s="258"/>
      <c r="F662" s="259"/>
      <c r="G662" s="258"/>
      <c r="H662" s="255"/>
      <c r="I662" s="255"/>
      <c r="J662" s="260"/>
      <c r="K662" s="255"/>
      <c r="L662" s="258"/>
      <c r="M662" s="258"/>
      <c r="N662" s="255"/>
      <c r="O662" s="255"/>
      <c r="P662" s="254"/>
      <c r="Q662" s="260"/>
    </row>
    <row r="663">
      <c r="A663" s="254"/>
      <c r="B663" s="255"/>
      <c r="C663" s="256"/>
      <c r="D663" s="257"/>
      <c r="E663" s="258"/>
      <c r="F663" s="259"/>
      <c r="G663" s="258"/>
      <c r="H663" s="255"/>
      <c r="I663" s="255"/>
      <c r="J663" s="260"/>
      <c r="K663" s="255"/>
      <c r="L663" s="258"/>
      <c r="M663" s="258"/>
      <c r="N663" s="255"/>
      <c r="O663" s="255"/>
      <c r="P663" s="254"/>
      <c r="Q663" s="260"/>
    </row>
    <row r="664">
      <c r="A664" s="254"/>
      <c r="B664" s="255"/>
      <c r="C664" s="256"/>
      <c r="D664" s="257"/>
      <c r="E664" s="258"/>
      <c r="F664" s="259"/>
      <c r="G664" s="258"/>
      <c r="H664" s="255"/>
      <c r="I664" s="255"/>
      <c r="J664" s="260"/>
      <c r="K664" s="255"/>
      <c r="L664" s="258"/>
      <c r="M664" s="258"/>
      <c r="N664" s="255"/>
      <c r="O664" s="255"/>
      <c r="P664" s="254"/>
      <c r="Q664" s="260"/>
    </row>
    <row r="665">
      <c r="A665" s="254"/>
      <c r="B665" s="255"/>
      <c r="C665" s="256"/>
      <c r="D665" s="257"/>
      <c r="E665" s="258"/>
      <c r="F665" s="259"/>
      <c r="G665" s="258"/>
      <c r="H665" s="255"/>
      <c r="I665" s="255"/>
      <c r="J665" s="260"/>
      <c r="K665" s="255"/>
      <c r="L665" s="258"/>
      <c r="M665" s="258"/>
      <c r="N665" s="255"/>
      <c r="O665" s="255"/>
      <c r="P665" s="254"/>
      <c r="Q665" s="260"/>
    </row>
    <row r="666">
      <c r="A666" s="254"/>
      <c r="B666" s="255"/>
      <c r="C666" s="256"/>
      <c r="D666" s="257"/>
      <c r="E666" s="258"/>
      <c r="F666" s="259"/>
      <c r="G666" s="258"/>
      <c r="H666" s="255"/>
      <c r="I666" s="255"/>
      <c r="J666" s="260"/>
      <c r="K666" s="255"/>
      <c r="L666" s="258"/>
      <c r="M666" s="258"/>
      <c r="N666" s="255"/>
      <c r="O666" s="255"/>
      <c r="P666" s="254"/>
      <c r="Q666" s="260"/>
    </row>
    <row r="667">
      <c r="A667" s="254"/>
      <c r="B667" s="255"/>
      <c r="C667" s="256"/>
      <c r="D667" s="257"/>
      <c r="E667" s="258"/>
      <c r="F667" s="259"/>
      <c r="G667" s="258"/>
      <c r="H667" s="255"/>
      <c r="I667" s="255"/>
      <c r="J667" s="260"/>
      <c r="K667" s="255"/>
      <c r="L667" s="258"/>
      <c r="M667" s="258"/>
      <c r="N667" s="255"/>
      <c r="O667" s="255"/>
      <c r="P667" s="254"/>
      <c r="Q667" s="260"/>
    </row>
    <row r="668">
      <c r="A668" s="254"/>
      <c r="B668" s="255"/>
      <c r="C668" s="256"/>
      <c r="D668" s="257"/>
      <c r="E668" s="258"/>
      <c r="F668" s="259"/>
      <c r="G668" s="258"/>
      <c r="H668" s="255"/>
      <c r="I668" s="255"/>
      <c r="J668" s="260"/>
      <c r="K668" s="255"/>
      <c r="L668" s="258"/>
      <c r="M668" s="258"/>
      <c r="N668" s="255"/>
      <c r="O668" s="255"/>
      <c r="P668" s="254"/>
      <c r="Q668" s="260"/>
    </row>
    <row r="669">
      <c r="A669" s="254"/>
      <c r="B669" s="255"/>
      <c r="C669" s="256"/>
      <c r="D669" s="257"/>
      <c r="E669" s="258"/>
      <c r="F669" s="259"/>
      <c r="G669" s="258"/>
      <c r="H669" s="255"/>
      <c r="I669" s="255"/>
      <c r="J669" s="260"/>
      <c r="K669" s="255"/>
      <c r="L669" s="258"/>
      <c r="M669" s="258"/>
      <c r="N669" s="255"/>
      <c r="O669" s="255"/>
      <c r="P669" s="254"/>
      <c r="Q669" s="260"/>
    </row>
    <row r="670">
      <c r="A670" s="254"/>
      <c r="B670" s="255"/>
      <c r="C670" s="256"/>
      <c r="D670" s="257"/>
      <c r="E670" s="258"/>
      <c r="F670" s="259"/>
      <c r="G670" s="258"/>
      <c r="H670" s="255"/>
      <c r="I670" s="255"/>
      <c r="J670" s="260"/>
      <c r="K670" s="255"/>
      <c r="L670" s="258"/>
      <c r="M670" s="258"/>
      <c r="N670" s="255"/>
      <c r="O670" s="255"/>
      <c r="P670" s="254"/>
      <c r="Q670" s="260"/>
    </row>
    <row r="671">
      <c r="A671" s="254"/>
      <c r="B671" s="255"/>
      <c r="C671" s="256"/>
      <c r="D671" s="257"/>
      <c r="E671" s="258"/>
      <c r="F671" s="259"/>
      <c r="G671" s="258"/>
      <c r="H671" s="255"/>
      <c r="I671" s="255"/>
      <c r="J671" s="260"/>
      <c r="K671" s="255"/>
      <c r="L671" s="258"/>
      <c r="M671" s="258"/>
      <c r="N671" s="255"/>
      <c r="O671" s="255"/>
      <c r="P671" s="254"/>
      <c r="Q671" s="260"/>
    </row>
    <row r="672">
      <c r="A672" s="254"/>
      <c r="B672" s="255"/>
      <c r="C672" s="256"/>
      <c r="D672" s="257"/>
      <c r="E672" s="258"/>
      <c r="F672" s="259"/>
      <c r="G672" s="258"/>
      <c r="H672" s="255"/>
      <c r="I672" s="255"/>
      <c r="J672" s="260"/>
      <c r="K672" s="255"/>
      <c r="L672" s="258"/>
      <c r="M672" s="258"/>
      <c r="N672" s="255"/>
      <c r="O672" s="255"/>
      <c r="P672" s="254"/>
      <c r="Q672" s="260"/>
    </row>
    <row r="673">
      <c r="A673" s="254"/>
      <c r="B673" s="255"/>
      <c r="C673" s="256"/>
      <c r="D673" s="257"/>
      <c r="E673" s="258"/>
      <c r="F673" s="259"/>
      <c r="G673" s="258"/>
      <c r="H673" s="255"/>
      <c r="I673" s="255"/>
      <c r="J673" s="260"/>
      <c r="K673" s="255"/>
      <c r="L673" s="258"/>
      <c r="M673" s="258"/>
      <c r="N673" s="255"/>
      <c r="O673" s="255"/>
      <c r="P673" s="254"/>
      <c r="Q673" s="260"/>
    </row>
    <row r="674">
      <c r="A674" s="254"/>
      <c r="B674" s="255"/>
      <c r="C674" s="256"/>
      <c r="D674" s="257"/>
      <c r="E674" s="258"/>
      <c r="F674" s="259"/>
      <c r="G674" s="258"/>
      <c r="H674" s="255"/>
      <c r="I674" s="255"/>
      <c r="J674" s="260"/>
      <c r="K674" s="255"/>
      <c r="L674" s="258"/>
      <c r="M674" s="258"/>
      <c r="N674" s="255"/>
      <c r="O674" s="255"/>
      <c r="P674" s="254"/>
      <c r="Q674" s="260"/>
    </row>
    <row r="675">
      <c r="A675" s="254"/>
      <c r="B675" s="255"/>
      <c r="C675" s="256"/>
      <c r="D675" s="257"/>
      <c r="E675" s="258"/>
      <c r="F675" s="259"/>
      <c r="G675" s="258"/>
      <c r="H675" s="255"/>
      <c r="I675" s="255"/>
      <c r="J675" s="260"/>
      <c r="K675" s="255"/>
      <c r="L675" s="258"/>
      <c r="M675" s="258"/>
      <c r="N675" s="255"/>
      <c r="O675" s="255"/>
      <c r="P675" s="254"/>
      <c r="Q675" s="260"/>
    </row>
    <row r="676">
      <c r="A676" s="254"/>
      <c r="B676" s="255"/>
      <c r="C676" s="256"/>
      <c r="D676" s="257"/>
      <c r="E676" s="258"/>
      <c r="F676" s="259"/>
      <c r="G676" s="258"/>
      <c r="H676" s="255"/>
      <c r="I676" s="255"/>
      <c r="J676" s="260"/>
      <c r="K676" s="255"/>
      <c r="L676" s="258"/>
      <c r="M676" s="258"/>
      <c r="N676" s="255"/>
      <c r="O676" s="255"/>
      <c r="P676" s="254"/>
      <c r="Q676" s="260"/>
    </row>
    <row r="677">
      <c r="A677" s="254"/>
      <c r="B677" s="255"/>
      <c r="C677" s="256"/>
      <c r="D677" s="257"/>
      <c r="E677" s="258"/>
      <c r="F677" s="259"/>
      <c r="G677" s="258"/>
      <c r="H677" s="255"/>
      <c r="I677" s="255"/>
      <c r="J677" s="260"/>
      <c r="K677" s="255"/>
      <c r="L677" s="258"/>
      <c r="M677" s="258"/>
      <c r="N677" s="255"/>
      <c r="O677" s="255"/>
      <c r="P677" s="254"/>
      <c r="Q677" s="260"/>
    </row>
    <row r="678">
      <c r="A678" s="254"/>
      <c r="B678" s="255"/>
      <c r="C678" s="256"/>
      <c r="D678" s="257"/>
      <c r="E678" s="258"/>
      <c r="F678" s="259"/>
      <c r="G678" s="258"/>
      <c r="H678" s="255"/>
      <c r="I678" s="255"/>
      <c r="J678" s="260"/>
      <c r="K678" s="255"/>
      <c r="L678" s="258"/>
      <c r="M678" s="258"/>
      <c r="N678" s="255"/>
      <c r="O678" s="255"/>
      <c r="P678" s="254"/>
      <c r="Q678" s="260"/>
    </row>
    <row r="679">
      <c r="A679" s="254"/>
      <c r="B679" s="255"/>
      <c r="C679" s="256"/>
      <c r="D679" s="257"/>
      <c r="E679" s="258"/>
      <c r="F679" s="259"/>
      <c r="G679" s="258"/>
      <c r="H679" s="255"/>
      <c r="I679" s="255"/>
      <c r="J679" s="260"/>
      <c r="K679" s="255"/>
      <c r="L679" s="258"/>
      <c r="M679" s="258"/>
      <c r="N679" s="255"/>
      <c r="O679" s="255"/>
      <c r="P679" s="254"/>
      <c r="Q679" s="260"/>
    </row>
    <row r="680">
      <c r="A680" s="254"/>
      <c r="B680" s="255"/>
      <c r="C680" s="256"/>
      <c r="D680" s="257"/>
      <c r="E680" s="258"/>
      <c r="F680" s="259"/>
      <c r="G680" s="258"/>
      <c r="H680" s="255"/>
      <c r="I680" s="255"/>
      <c r="J680" s="260"/>
      <c r="K680" s="255"/>
      <c r="L680" s="258"/>
      <c r="M680" s="258"/>
      <c r="N680" s="255"/>
      <c r="O680" s="255"/>
      <c r="P680" s="254"/>
      <c r="Q680" s="260"/>
    </row>
    <row r="681">
      <c r="A681" s="254"/>
      <c r="B681" s="255"/>
      <c r="C681" s="256"/>
      <c r="D681" s="257"/>
      <c r="E681" s="258"/>
      <c r="F681" s="259"/>
      <c r="G681" s="258"/>
      <c r="H681" s="255"/>
      <c r="I681" s="255"/>
      <c r="J681" s="260"/>
      <c r="K681" s="255"/>
      <c r="L681" s="258"/>
      <c r="M681" s="258"/>
      <c r="N681" s="255"/>
      <c r="O681" s="255"/>
      <c r="P681" s="254"/>
      <c r="Q681" s="260"/>
    </row>
    <row r="682">
      <c r="A682" s="254"/>
      <c r="B682" s="255"/>
      <c r="C682" s="256"/>
      <c r="D682" s="257"/>
      <c r="E682" s="258"/>
      <c r="F682" s="259"/>
      <c r="G682" s="258"/>
      <c r="H682" s="255"/>
      <c r="I682" s="255"/>
      <c r="J682" s="260"/>
      <c r="K682" s="255"/>
      <c r="L682" s="258"/>
      <c r="M682" s="258"/>
      <c r="N682" s="255"/>
      <c r="O682" s="255"/>
      <c r="P682" s="254"/>
      <c r="Q682" s="260"/>
    </row>
    <row r="683">
      <c r="A683" s="254"/>
      <c r="B683" s="255"/>
      <c r="C683" s="256"/>
      <c r="D683" s="257"/>
      <c r="E683" s="258"/>
      <c r="F683" s="259"/>
      <c r="G683" s="258"/>
      <c r="H683" s="255"/>
      <c r="I683" s="255"/>
      <c r="J683" s="260"/>
      <c r="K683" s="255"/>
      <c r="L683" s="258"/>
      <c r="M683" s="258"/>
      <c r="N683" s="255"/>
      <c r="O683" s="255"/>
      <c r="P683" s="254"/>
      <c r="Q683" s="260"/>
    </row>
    <row r="684">
      <c r="A684" s="254"/>
      <c r="B684" s="255"/>
      <c r="C684" s="256"/>
      <c r="D684" s="257"/>
      <c r="E684" s="258"/>
      <c r="F684" s="259"/>
      <c r="G684" s="258"/>
      <c r="H684" s="255"/>
      <c r="I684" s="255"/>
      <c r="J684" s="260"/>
      <c r="K684" s="255"/>
      <c r="L684" s="258"/>
      <c r="M684" s="258"/>
      <c r="N684" s="255"/>
      <c r="O684" s="255"/>
      <c r="P684" s="254"/>
      <c r="Q684" s="260"/>
    </row>
    <row r="685">
      <c r="A685" s="254"/>
      <c r="B685" s="255"/>
      <c r="C685" s="256"/>
      <c r="D685" s="257"/>
      <c r="E685" s="258"/>
      <c r="F685" s="259"/>
      <c r="G685" s="258"/>
      <c r="H685" s="255"/>
      <c r="I685" s="255"/>
      <c r="J685" s="260"/>
      <c r="K685" s="255"/>
      <c r="L685" s="258"/>
      <c r="M685" s="258"/>
      <c r="N685" s="255"/>
      <c r="O685" s="255"/>
      <c r="P685" s="254"/>
      <c r="Q685" s="260"/>
    </row>
    <row r="686">
      <c r="A686" s="254"/>
      <c r="B686" s="255"/>
      <c r="C686" s="256"/>
      <c r="D686" s="257"/>
      <c r="E686" s="258"/>
      <c r="F686" s="259"/>
      <c r="G686" s="258"/>
      <c r="H686" s="255"/>
      <c r="I686" s="255"/>
      <c r="J686" s="260"/>
      <c r="K686" s="255"/>
      <c r="L686" s="258"/>
      <c r="M686" s="258"/>
      <c r="N686" s="255"/>
      <c r="O686" s="255"/>
      <c r="P686" s="254"/>
      <c r="Q686" s="260"/>
    </row>
    <row r="687">
      <c r="A687" s="254"/>
      <c r="B687" s="255"/>
      <c r="C687" s="256"/>
      <c r="D687" s="257"/>
      <c r="E687" s="258"/>
      <c r="F687" s="259"/>
      <c r="G687" s="258"/>
      <c r="H687" s="255"/>
      <c r="I687" s="255"/>
      <c r="J687" s="260"/>
      <c r="K687" s="255"/>
      <c r="L687" s="258"/>
      <c r="M687" s="258"/>
      <c r="N687" s="255"/>
      <c r="O687" s="255"/>
      <c r="P687" s="254"/>
      <c r="Q687" s="260"/>
    </row>
    <row r="688">
      <c r="A688" s="254"/>
      <c r="B688" s="255"/>
      <c r="C688" s="256"/>
      <c r="D688" s="257"/>
      <c r="E688" s="258"/>
      <c r="F688" s="259"/>
      <c r="G688" s="258"/>
      <c r="H688" s="255"/>
      <c r="I688" s="255"/>
      <c r="J688" s="260"/>
      <c r="K688" s="255"/>
      <c r="L688" s="258"/>
      <c r="M688" s="258"/>
      <c r="N688" s="255"/>
      <c r="O688" s="255"/>
      <c r="P688" s="254"/>
      <c r="Q688" s="260"/>
    </row>
    <row r="689">
      <c r="A689" s="254"/>
      <c r="B689" s="255"/>
      <c r="C689" s="256"/>
      <c r="D689" s="257"/>
      <c r="E689" s="258"/>
      <c r="F689" s="259"/>
      <c r="G689" s="258"/>
      <c r="H689" s="255"/>
      <c r="I689" s="255"/>
      <c r="J689" s="260"/>
      <c r="K689" s="255"/>
      <c r="L689" s="258"/>
      <c r="M689" s="258"/>
      <c r="N689" s="255"/>
      <c r="O689" s="255"/>
      <c r="P689" s="254"/>
      <c r="Q689" s="260"/>
    </row>
    <row r="690">
      <c r="A690" s="254"/>
      <c r="B690" s="255"/>
      <c r="C690" s="256"/>
      <c r="D690" s="257"/>
      <c r="E690" s="258"/>
      <c r="F690" s="259"/>
      <c r="G690" s="258"/>
      <c r="H690" s="255"/>
      <c r="I690" s="255"/>
      <c r="J690" s="260"/>
      <c r="K690" s="255"/>
      <c r="L690" s="258"/>
      <c r="M690" s="258"/>
      <c r="N690" s="255"/>
      <c r="O690" s="255"/>
      <c r="P690" s="254"/>
      <c r="Q690" s="260"/>
    </row>
    <row r="691">
      <c r="A691" s="254"/>
      <c r="B691" s="255"/>
      <c r="C691" s="256"/>
      <c r="D691" s="257"/>
      <c r="E691" s="258"/>
      <c r="F691" s="259"/>
      <c r="G691" s="258"/>
      <c r="H691" s="255"/>
      <c r="I691" s="255"/>
      <c r="J691" s="260"/>
      <c r="K691" s="255"/>
      <c r="L691" s="258"/>
      <c r="M691" s="258"/>
      <c r="N691" s="255"/>
      <c r="O691" s="255"/>
      <c r="P691" s="254"/>
      <c r="Q691" s="260"/>
    </row>
    <row r="692">
      <c r="A692" s="254"/>
      <c r="B692" s="255"/>
      <c r="C692" s="256"/>
      <c r="D692" s="257"/>
      <c r="E692" s="258"/>
      <c r="F692" s="259"/>
      <c r="G692" s="258"/>
      <c r="H692" s="255"/>
      <c r="I692" s="255"/>
      <c r="J692" s="260"/>
      <c r="K692" s="255"/>
      <c r="L692" s="258"/>
      <c r="M692" s="258"/>
      <c r="N692" s="255"/>
      <c r="O692" s="255"/>
      <c r="P692" s="254"/>
      <c r="Q692" s="260"/>
    </row>
    <row r="693">
      <c r="A693" s="254"/>
      <c r="B693" s="255"/>
      <c r="C693" s="256"/>
      <c r="D693" s="257"/>
      <c r="E693" s="258"/>
      <c r="F693" s="259"/>
      <c r="G693" s="258"/>
      <c r="H693" s="255"/>
      <c r="I693" s="255"/>
      <c r="J693" s="260"/>
      <c r="K693" s="255"/>
      <c r="L693" s="258"/>
      <c r="M693" s="258"/>
      <c r="N693" s="255"/>
      <c r="O693" s="255"/>
      <c r="P693" s="254"/>
      <c r="Q693" s="260"/>
    </row>
    <row r="694">
      <c r="A694" s="254"/>
      <c r="B694" s="255"/>
      <c r="C694" s="256"/>
      <c r="D694" s="257"/>
      <c r="E694" s="258"/>
      <c r="F694" s="259"/>
      <c r="G694" s="258"/>
      <c r="H694" s="255"/>
      <c r="I694" s="255"/>
      <c r="J694" s="260"/>
      <c r="K694" s="255"/>
      <c r="L694" s="258"/>
      <c r="M694" s="258"/>
      <c r="N694" s="255"/>
      <c r="O694" s="255"/>
      <c r="P694" s="254"/>
      <c r="Q694" s="260"/>
    </row>
    <row r="695">
      <c r="A695" s="254"/>
      <c r="B695" s="255"/>
      <c r="C695" s="256"/>
      <c r="D695" s="257"/>
      <c r="E695" s="258"/>
      <c r="F695" s="259"/>
      <c r="G695" s="258"/>
      <c r="H695" s="255"/>
      <c r="I695" s="255"/>
      <c r="J695" s="260"/>
      <c r="K695" s="255"/>
      <c r="L695" s="258"/>
      <c r="M695" s="258"/>
      <c r="N695" s="255"/>
      <c r="O695" s="255"/>
      <c r="P695" s="254"/>
      <c r="Q695" s="260"/>
    </row>
    <row r="696">
      <c r="A696" s="254"/>
      <c r="B696" s="255"/>
      <c r="C696" s="256"/>
      <c r="D696" s="257"/>
      <c r="E696" s="258"/>
      <c r="F696" s="259"/>
      <c r="G696" s="258"/>
      <c r="H696" s="255"/>
      <c r="I696" s="255"/>
      <c r="J696" s="260"/>
      <c r="K696" s="255"/>
      <c r="L696" s="258"/>
      <c r="M696" s="258"/>
      <c r="N696" s="255"/>
      <c r="O696" s="255"/>
      <c r="P696" s="254"/>
      <c r="Q696" s="260"/>
    </row>
    <row r="697">
      <c r="A697" s="254"/>
      <c r="B697" s="255"/>
      <c r="C697" s="256"/>
      <c r="D697" s="257"/>
      <c r="E697" s="258"/>
      <c r="F697" s="259"/>
      <c r="G697" s="258"/>
      <c r="H697" s="255"/>
      <c r="I697" s="255"/>
      <c r="J697" s="260"/>
      <c r="K697" s="255"/>
      <c r="L697" s="258"/>
      <c r="M697" s="258"/>
      <c r="N697" s="255"/>
      <c r="O697" s="255"/>
      <c r="P697" s="254"/>
      <c r="Q697" s="260"/>
    </row>
    <row r="698">
      <c r="A698" s="254"/>
      <c r="B698" s="255"/>
      <c r="C698" s="256"/>
      <c r="D698" s="257"/>
      <c r="E698" s="258"/>
      <c r="F698" s="259"/>
      <c r="G698" s="258"/>
      <c r="H698" s="255"/>
      <c r="I698" s="255"/>
      <c r="J698" s="260"/>
      <c r="K698" s="255"/>
      <c r="L698" s="258"/>
      <c r="M698" s="258"/>
      <c r="N698" s="255"/>
      <c r="O698" s="255"/>
      <c r="P698" s="254"/>
      <c r="Q698" s="260"/>
    </row>
    <row r="699">
      <c r="A699" s="254"/>
      <c r="B699" s="255"/>
      <c r="C699" s="256"/>
      <c r="D699" s="257"/>
      <c r="E699" s="258"/>
      <c r="F699" s="259"/>
      <c r="G699" s="258"/>
      <c r="H699" s="255"/>
      <c r="I699" s="255"/>
      <c r="J699" s="260"/>
      <c r="K699" s="255"/>
      <c r="L699" s="258"/>
      <c r="M699" s="258"/>
      <c r="N699" s="255"/>
      <c r="O699" s="255"/>
      <c r="P699" s="254"/>
      <c r="Q699" s="260"/>
    </row>
    <row r="700">
      <c r="A700" s="254"/>
      <c r="B700" s="255"/>
      <c r="C700" s="256"/>
      <c r="D700" s="257"/>
      <c r="E700" s="258"/>
      <c r="F700" s="259"/>
      <c r="G700" s="258"/>
      <c r="H700" s="255"/>
      <c r="I700" s="255"/>
      <c r="J700" s="260"/>
      <c r="K700" s="255"/>
      <c r="L700" s="258"/>
      <c r="M700" s="258"/>
      <c r="N700" s="255"/>
      <c r="O700" s="255"/>
      <c r="P700" s="254"/>
      <c r="Q700" s="260"/>
    </row>
    <row r="701">
      <c r="A701" s="254"/>
      <c r="B701" s="255"/>
      <c r="C701" s="256"/>
      <c r="D701" s="257"/>
      <c r="E701" s="258"/>
      <c r="F701" s="259"/>
      <c r="G701" s="258"/>
      <c r="H701" s="255"/>
      <c r="I701" s="255"/>
      <c r="J701" s="260"/>
      <c r="K701" s="255"/>
      <c r="L701" s="258"/>
      <c r="M701" s="258"/>
      <c r="N701" s="255"/>
      <c r="O701" s="255"/>
      <c r="P701" s="254"/>
      <c r="Q701" s="260"/>
    </row>
    <row r="702">
      <c r="A702" s="254"/>
      <c r="B702" s="255"/>
      <c r="C702" s="256"/>
      <c r="D702" s="257"/>
      <c r="E702" s="258"/>
      <c r="F702" s="259"/>
      <c r="G702" s="258"/>
      <c r="H702" s="255"/>
      <c r="I702" s="255"/>
      <c r="J702" s="260"/>
      <c r="K702" s="255"/>
      <c r="L702" s="258"/>
      <c r="M702" s="258"/>
      <c r="N702" s="255"/>
      <c r="O702" s="255"/>
      <c r="P702" s="254"/>
      <c r="Q702" s="260"/>
    </row>
    <row r="703">
      <c r="A703" s="254"/>
      <c r="B703" s="255"/>
      <c r="C703" s="256"/>
      <c r="D703" s="257"/>
      <c r="E703" s="258"/>
      <c r="F703" s="259"/>
      <c r="G703" s="258"/>
      <c r="H703" s="255"/>
      <c r="I703" s="255"/>
      <c r="J703" s="260"/>
      <c r="K703" s="255"/>
      <c r="L703" s="258"/>
      <c r="M703" s="258"/>
      <c r="N703" s="255"/>
      <c r="O703" s="255"/>
      <c r="P703" s="254"/>
      <c r="Q703" s="260"/>
    </row>
    <row r="704">
      <c r="A704" s="254"/>
      <c r="B704" s="255"/>
      <c r="C704" s="256"/>
      <c r="D704" s="257"/>
      <c r="E704" s="258"/>
      <c r="F704" s="259"/>
      <c r="G704" s="258"/>
      <c r="H704" s="255"/>
      <c r="I704" s="255"/>
      <c r="J704" s="260"/>
      <c r="K704" s="255"/>
      <c r="L704" s="258"/>
      <c r="M704" s="258"/>
      <c r="N704" s="255"/>
      <c r="O704" s="255"/>
      <c r="P704" s="254"/>
      <c r="Q704" s="260"/>
    </row>
    <row r="705">
      <c r="A705" s="254"/>
      <c r="B705" s="255"/>
      <c r="C705" s="256"/>
      <c r="D705" s="257"/>
      <c r="E705" s="258"/>
      <c r="F705" s="259"/>
      <c r="G705" s="258"/>
      <c r="H705" s="255"/>
      <c r="I705" s="255"/>
      <c r="J705" s="260"/>
      <c r="K705" s="255"/>
      <c r="L705" s="258"/>
      <c r="M705" s="258"/>
      <c r="N705" s="255"/>
      <c r="O705" s="255"/>
      <c r="P705" s="254"/>
      <c r="Q705" s="260"/>
    </row>
    <row r="706">
      <c r="A706" s="254"/>
      <c r="B706" s="255"/>
      <c r="C706" s="256"/>
      <c r="D706" s="257"/>
      <c r="E706" s="258"/>
      <c r="F706" s="259"/>
      <c r="G706" s="258"/>
      <c r="H706" s="255"/>
      <c r="I706" s="255"/>
      <c r="J706" s="260"/>
      <c r="K706" s="255"/>
      <c r="L706" s="258"/>
      <c r="M706" s="258"/>
      <c r="N706" s="255"/>
      <c r="O706" s="255"/>
      <c r="P706" s="254"/>
      <c r="Q706" s="260"/>
    </row>
    <row r="707">
      <c r="A707" s="254"/>
      <c r="B707" s="255"/>
      <c r="C707" s="256"/>
      <c r="D707" s="257"/>
      <c r="E707" s="258"/>
      <c r="F707" s="259"/>
      <c r="G707" s="258"/>
      <c r="H707" s="255"/>
      <c r="I707" s="255"/>
      <c r="J707" s="260"/>
      <c r="K707" s="255"/>
      <c r="L707" s="258"/>
      <c r="M707" s="258"/>
      <c r="N707" s="255"/>
      <c r="O707" s="255"/>
      <c r="P707" s="254"/>
      <c r="Q707" s="260"/>
    </row>
    <row r="708">
      <c r="A708" s="254"/>
      <c r="B708" s="255"/>
      <c r="C708" s="256"/>
      <c r="D708" s="257"/>
      <c r="E708" s="258"/>
      <c r="F708" s="259"/>
      <c r="G708" s="258"/>
      <c r="H708" s="255"/>
      <c r="I708" s="255"/>
      <c r="J708" s="260"/>
      <c r="K708" s="255"/>
      <c r="L708" s="258"/>
      <c r="M708" s="258"/>
      <c r="N708" s="255"/>
      <c r="O708" s="255"/>
      <c r="P708" s="254"/>
      <c r="Q708" s="260"/>
    </row>
    <row r="709">
      <c r="A709" s="254"/>
      <c r="B709" s="255"/>
      <c r="C709" s="256"/>
      <c r="D709" s="257"/>
      <c r="E709" s="258"/>
      <c r="F709" s="259"/>
      <c r="G709" s="258"/>
      <c r="H709" s="255"/>
      <c r="I709" s="255"/>
      <c r="J709" s="260"/>
      <c r="K709" s="255"/>
      <c r="L709" s="258"/>
      <c r="M709" s="258"/>
      <c r="N709" s="255"/>
      <c r="O709" s="255"/>
      <c r="P709" s="254"/>
      <c r="Q709" s="260"/>
    </row>
    <row r="710">
      <c r="A710" s="254"/>
      <c r="B710" s="255"/>
      <c r="C710" s="256"/>
      <c r="D710" s="257"/>
      <c r="E710" s="258"/>
      <c r="F710" s="259"/>
      <c r="G710" s="258"/>
      <c r="H710" s="255"/>
      <c r="I710" s="255"/>
      <c r="J710" s="260"/>
      <c r="K710" s="255"/>
      <c r="L710" s="258"/>
      <c r="M710" s="258"/>
      <c r="N710" s="255"/>
      <c r="O710" s="255"/>
      <c r="P710" s="254"/>
      <c r="Q710" s="260"/>
    </row>
    <row r="711">
      <c r="A711" s="254"/>
      <c r="B711" s="255"/>
      <c r="C711" s="256"/>
      <c r="D711" s="257"/>
      <c r="E711" s="258"/>
      <c r="F711" s="259"/>
      <c r="G711" s="258"/>
      <c r="H711" s="255"/>
      <c r="I711" s="255"/>
      <c r="J711" s="260"/>
      <c r="K711" s="255"/>
      <c r="L711" s="258"/>
      <c r="M711" s="258"/>
      <c r="N711" s="255"/>
      <c r="O711" s="255"/>
      <c r="P711" s="254"/>
      <c r="Q711" s="260"/>
    </row>
    <row r="712">
      <c r="A712" s="254"/>
      <c r="B712" s="255"/>
      <c r="C712" s="256"/>
      <c r="D712" s="257"/>
      <c r="E712" s="258"/>
      <c r="F712" s="259"/>
      <c r="G712" s="258"/>
      <c r="H712" s="255"/>
      <c r="I712" s="255"/>
      <c r="J712" s="260"/>
      <c r="K712" s="255"/>
      <c r="L712" s="258"/>
      <c r="M712" s="258"/>
      <c r="N712" s="255"/>
      <c r="O712" s="255"/>
      <c r="P712" s="254"/>
      <c r="Q712" s="260"/>
    </row>
    <row r="713">
      <c r="A713" s="254"/>
      <c r="B713" s="255"/>
      <c r="C713" s="256"/>
      <c r="D713" s="257"/>
      <c r="E713" s="258"/>
      <c r="F713" s="259"/>
      <c r="G713" s="258"/>
      <c r="H713" s="255"/>
      <c r="I713" s="255"/>
      <c r="J713" s="260"/>
      <c r="K713" s="255"/>
      <c r="L713" s="258"/>
      <c r="M713" s="258"/>
      <c r="N713" s="255"/>
      <c r="O713" s="255"/>
      <c r="P713" s="254"/>
      <c r="Q713" s="260"/>
    </row>
    <row r="714">
      <c r="A714" s="254"/>
      <c r="B714" s="255"/>
      <c r="C714" s="256"/>
      <c r="D714" s="257"/>
      <c r="E714" s="258"/>
      <c r="F714" s="259"/>
      <c r="G714" s="258"/>
      <c r="H714" s="255"/>
      <c r="I714" s="255"/>
      <c r="J714" s="260"/>
      <c r="K714" s="255"/>
      <c r="L714" s="258"/>
      <c r="M714" s="258"/>
      <c r="N714" s="255"/>
      <c r="O714" s="255"/>
      <c r="P714" s="254"/>
      <c r="Q714" s="260"/>
    </row>
    <row r="715">
      <c r="A715" s="254"/>
      <c r="B715" s="255"/>
      <c r="C715" s="256"/>
      <c r="D715" s="257"/>
      <c r="E715" s="258"/>
      <c r="F715" s="259"/>
      <c r="G715" s="258"/>
      <c r="H715" s="255"/>
      <c r="I715" s="255"/>
      <c r="J715" s="260"/>
      <c r="K715" s="255"/>
      <c r="L715" s="258"/>
      <c r="M715" s="258"/>
      <c r="N715" s="255"/>
      <c r="O715" s="255"/>
      <c r="P715" s="254"/>
      <c r="Q715" s="260"/>
    </row>
    <row r="716">
      <c r="A716" s="254"/>
      <c r="B716" s="255"/>
      <c r="C716" s="256"/>
      <c r="D716" s="257"/>
      <c r="E716" s="258"/>
      <c r="F716" s="259"/>
      <c r="G716" s="258"/>
      <c r="H716" s="255"/>
      <c r="I716" s="255"/>
      <c r="J716" s="260"/>
      <c r="K716" s="255"/>
      <c r="L716" s="258"/>
      <c r="M716" s="258"/>
      <c r="N716" s="255"/>
      <c r="O716" s="255"/>
      <c r="P716" s="254"/>
      <c r="Q716" s="260"/>
    </row>
    <row r="717">
      <c r="A717" s="254"/>
      <c r="B717" s="255"/>
      <c r="C717" s="256"/>
      <c r="D717" s="257"/>
      <c r="E717" s="258"/>
      <c r="F717" s="259"/>
      <c r="G717" s="258"/>
      <c r="H717" s="255"/>
      <c r="I717" s="255"/>
      <c r="J717" s="260"/>
      <c r="K717" s="255"/>
      <c r="L717" s="258"/>
      <c r="M717" s="258"/>
      <c r="N717" s="255"/>
      <c r="O717" s="255"/>
      <c r="P717" s="254"/>
      <c r="Q717" s="260"/>
    </row>
    <row r="718">
      <c r="A718" s="254"/>
      <c r="B718" s="255"/>
      <c r="C718" s="256"/>
      <c r="D718" s="257"/>
      <c r="E718" s="258"/>
      <c r="F718" s="259"/>
      <c r="G718" s="258"/>
      <c r="H718" s="255"/>
      <c r="I718" s="255"/>
      <c r="J718" s="260"/>
      <c r="K718" s="255"/>
      <c r="L718" s="258"/>
      <c r="M718" s="258"/>
      <c r="N718" s="255"/>
      <c r="O718" s="255"/>
      <c r="P718" s="254"/>
      <c r="Q718" s="260"/>
    </row>
    <row r="719">
      <c r="A719" s="254"/>
      <c r="B719" s="255"/>
      <c r="C719" s="256"/>
      <c r="D719" s="257"/>
      <c r="E719" s="258"/>
      <c r="F719" s="259"/>
      <c r="G719" s="258"/>
      <c r="H719" s="255"/>
      <c r="I719" s="255"/>
      <c r="J719" s="260"/>
      <c r="K719" s="255"/>
      <c r="L719" s="258"/>
      <c r="M719" s="258"/>
      <c r="N719" s="255"/>
      <c r="O719" s="255"/>
      <c r="P719" s="254"/>
      <c r="Q719" s="260"/>
    </row>
    <row r="720">
      <c r="A720" s="254"/>
      <c r="B720" s="255"/>
      <c r="C720" s="256"/>
      <c r="D720" s="257"/>
      <c r="E720" s="258"/>
      <c r="F720" s="259"/>
      <c r="G720" s="258"/>
      <c r="H720" s="255"/>
      <c r="I720" s="255"/>
      <c r="J720" s="260"/>
      <c r="K720" s="255"/>
      <c r="L720" s="258"/>
      <c r="M720" s="258"/>
      <c r="N720" s="255"/>
      <c r="O720" s="255"/>
      <c r="P720" s="254"/>
      <c r="Q720" s="260"/>
    </row>
    <row r="721">
      <c r="A721" s="254"/>
      <c r="B721" s="255"/>
      <c r="C721" s="256"/>
      <c r="D721" s="257"/>
      <c r="E721" s="258"/>
      <c r="F721" s="259"/>
      <c r="G721" s="258"/>
      <c r="H721" s="255"/>
      <c r="I721" s="255"/>
      <c r="J721" s="260"/>
      <c r="K721" s="255"/>
      <c r="L721" s="258"/>
      <c r="M721" s="258"/>
      <c r="N721" s="255"/>
      <c r="O721" s="255"/>
      <c r="P721" s="254"/>
      <c r="Q721" s="260"/>
    </row>
    <row r="722">
      <c r="A722" s="254"/>
      <c r="B722" s="255"/>
      <c r="C722" s="256"/>
      <c r="D722" s="257"/>
      <c r="E722" s="258"/>
      <c r="F722" s="259"/>
      <c r="G722" s="258"/>
      <c r="H722" s="255"/>
      <c r="I722" s="255"/>
      <c r="J722" s="260"/>
      <c r="K722" s="255"/>
      <c r="L722" s="258"/>
      <c r="M722" s="258"/>
      <c r="N722" s="255"/>
      <c r="O722" s="255"/>
      <c r="P722" s="254"/>
      <c r="Q722" s="260"/>
    </row>
    <row r="723">
      <c r="A723" s="254"/>
      <c r="B723" s="255"/>
      <c r="C723" s="256"/>
      <c r="D723" s="257"/>
      <c r="E723" s="258"/>
      <c r="F723" s="259"/>
      <c r="G723" s="258"/>
      <c r="H723" s="255"/>
      <c r="I723" s="255"/>
      <c r="J723" s="260"/>
      <c r="K723" s="255"/>
      <c r="L723" s="258"/>
      <c r="M723" s="258"/>
      <c r="N723" s="255"/>
      <c r="O723" s="255"/>
      <c r="P723" s="254"/>
      <c r="Q723" s="260"/>
    </row>
    <row r="724">
      <c r="A724" s="254"/>
      <c r="B724" s="255"/>
      <c r="C724" s="256"/>
      <c r="D724" s="257"/>
      <c r="E724" s="258"/>
      <c r="F724" s="259"/>
      <c r="G724" s="258"/>
      <c r="H724" s="255"/>
      <c r="I724" s="255"/>
      <c r="J724" s="260"/>
      <c r="K724" s="255"/>
      <c r="L724" s="258"/>
      <c r="M724" s="258"/>
      <c r="N724" s="255"/>
      <c r="O724" s="255"/>
      <c r="P724" s="254"/>
      <c r="Q724" s="260"/>
    </row>
    <row r="725">
      <c r="A725" s="254"/>
      <c r="B725" s="255"/>
      <c r="C725" s="256"/>
      <c r="D725" s="257"/>
      <c r="E725" s="258"/>
      <c r="F725" s="259"/>
      <c r="G725" s="258"/>
      <c r="H725" s="255"/>
      <c r="I725" s="255"/>
      <c r="J725" s="260"/>
      <c r="K725" s="255"/>
      <c r="L725" s="258"/>
      <c r="M725" s="258"/>
      <c r="N725" s="255"/>
      <c r="O725" s="255"/>
      <c r="P725" s="254"/>
      <c r="Q725" s="260"/>
    </row>
    <row r="726">
      <c r="A726" s="254"/>
      <c r="B726" s="255"/>
      <c r="C726" s="256"/>
      <c r="D726" s="257"/>
      <c r="E726" s="258"/>
      <c r="F726" s="259"/>
      <c r="G726" s="258"/>
      <c r="H726" s="255"/>
      <c r="I726" s="255"/>
      <c r="J726" s="260"/>
      <c r="K726" s="255"/>
      <c r="L726" s="258"/>
      <c r="M726" s="258"/>
      <c r="N726" s="255"/>
      <c r="O726" s="255"/>
      <c r="P726" s="254"/>
      <c r="Q726" s="260"/>
    </row>
    <row r="727">
      <c r="A727" s="254"/>
      <c r="B727" s="255"/>
      <c r="C727" s="256"/>
      <c r="D727" s="257"/>
      <c r="E727" s="258"/>
      <c r="F727" s="259"/>
      <c r="G727" s="258"/>
      <c r="H727" s="255"/>
      <c r="I727" s="255"/>
      <c r="J727" s="260"/>
      <c r="K727" s="255"/>
      <c r="L727" s="258"/>
      <c r="M727" s="258"/>
      <c r="N727" s="255"/>
      <c r="O727" s="255"/>
      <c r="P727" s="254"/>
      <c r="Q727" s="260"/>
    </row>
    <row r="728">
      <c r="A728" s="254"/>
      <c r="B728" s="255"/>
      <c r="C728" s="256"/>
      <c r="D728" s="257"/>
      <c r="E728" s="258"/>
      <c r="F728" s="259"/>
      <c r="G728" s="258"/>
      <c r="H728" s="255"/>
      <c r="I728" s="255"/>
      <c r="J728" s="260"/>
      <c r="K728" s="255"/>
      <c r="L728" s="258"/>
      <c r="M728" s="258"/>
      <c r="N728" s="255"/>
      <c r="O728" s="255"/>
      <c r="P728" s="254"/>
      <c r="Q728" s="260"/>
    </row>
    <row r="729">
      <c r="A729" s="254"/>
      <c r="B729" s="255"/>
      <c r="C729" s="256"/>
      <c r="D729" s="257"/>
      <c r="E729" s="258"/>
      <c r="F729" s="259"/>
      <c r="G729" s="258"/>
      <c r="H729" s="255"/>
      <c r="I729" s="255"/>
      <c r="J729" s="260"/>
      <c r="K729" s="255"/>
      <c r="L729" s="258"/>
      <c r="M729" s="258"/>
      <c r="N729" s="255"/>
      <c r="O729" s="255"/>
      <c r="P729" s="254"/>
      <c r="Q729" s="260"/>
    </row>
    <row r="730">
      <c r="A730" s="254"/>
      <c r="B730" s="255"/>
      <c r="C730" s="256"/>
      <c r="D730" s="257"/>
      <c r="E730" s="258"/>
      <c r="F730" s="259"/>
      <c r="G730" s="258"/>
      <c r="H730" s="255"/>
      <c r="I730" s="255"/>
      <c r="J730" s="260"/>
      <c r="K730" s="255"/>
      <c r="L730" s="258"/>
      <c r="M730" s="258"/>
      <c r="N730" s="255"/>
      <c r="O730" s="255"/>
      <c r="P730" s="254"/>
      <c r="Q730" s="260"/>
    </row>
    <row r="731">
      <c r="A731" s="254"/>
      <c r="B731" s="255"/>
      <c r="C731" s="256"/>
      <c r="D731" s="257"/>
      <c r="E731" s="258"/>
      <c r="F731" s="259"/>
      <c r="G731" s="258"/>
      <c r="H731" s="255"/>
      <c r="I731" s="255"/>
      <c r="J731" s="260"/>
      <c r="K731" s="255"/>
      <c r="L731" s="258"/>
      <c r="M731" s="258"/>
      <c r="N731" s="255"/>
      <c r="O731" s="255"/>
      <c r="P731" s="254"/>
      <c r="Q731" s="260"/>
    </row>
    <row r="732">
      <c r="A732" s="254"/>
      <c r="B732" s="255"/>
      <c r="C732" s="256"/>
      <c r="D732" s="257"/>
      <c r="E732" s="258"/>
      <c r="F732" s="259"/>
      <c r="G732" s="258"/>
      <c r="H732" s="255"/>
      <c r="I732" s="255"/>
      <c r="J732" s="260"/>
      <c r="K732" s="255"/>
      <c r="L732" s="258"/>
      <c r="M732" s="258"/>
      <c r="N732" s="255"/>
      <c r="O732" s="255"/>
      <c r="P732" s="254"/>
      <c r="Q732" s="260"/>
    </row>
    <row r="733">
      <c r="A733" s="254"/>
      <c r="B733" s="255"/>
      <c r="C733" s="256"/>
      <c r="D733" s="257"/>
      <c r="E733" s="258"/>
      <c r="F733" s="259"/>
      <c r="G733" s="258"/>
      <c r="H733" s="255"/>
      <c r="I733" s="255"/>
      <c r="J733" s="260"/>
      <c r="K733" s="255"/>
      <c r="L733" s="258"/>
      <c r="M733" s="258"/>
      <c r="N733" s="255"/>
      <c r="O733" s="255"/>
      <c r="P733" s="254"/>
      <c r="Q733" s="260"/>
    </row>
    <row r="734">
      <c r="A734" s="254"/>
      <c r="B734" s="255"/>
      <c r="C734" s="256"/>
      <c r="D734" s="257"/>
      <c r="E734" s="258"/>
      <c r="F734" s="259"/>
      <c r="G734" s="258"/>
      <c r="H734" s="255"/>
      <c r="I734" s="255"/>
      <c r="J734" s="260"/>
      <c r="K734" s="255"/>
      <c r="L734" s="258"/>
      <c r="M734" s="258"/>
      <c r="N734" s="255"/>
      <c r="O734" s="255"/>
      <c r="P734" s="254"/>
      <c r="Q734" s="260"/>
    </row>
    <row r="735">
      <c r="A735" s="254"/>
      <c r="B735" s="255"/>
      <c r="C735" s="256"/>
      <c r="D735" s="257"/>
      <c r="E735" s="258"/>
      <c r="F735" s="259"/>
      <c r="G735" s="258"/>
      <c r="H735" s="255"/>
      <c r="I735" s="255"/>
      <c r="J735" s="260"/>
      <c r="K735" s="255"/>
      <c r="L735" s="258"/>
      <c r="M735" s="258"/>
      <c r="N735" s="255"/>
      <c r="O735" s="255"/>
      <c r="P735" s="254"/>
      <c r="Q735" s="260"/>
    </row>
    <row r="736">
      <c r="A736" s="254"/>
      <c r="B736" s="255"/>
      <c r="C736" s="256"/>
      <c r="D736" s="257"/>
      <c r="E736" s="258"/>
      <c r="F736" s="259"/>
      <c r="G736" s="258"/>
      <c r="H736" s="255"/>
      <c r="I736" s="255"/>
      <c r="J736" s="260"/>
      <c r="K736" s="255"/>
      <c r="L736" s="258"/>
      <c r="M736" s="258"/>
      <c r="N736" s="255"/>
      <c r="O736" s="255"/>
      <c r="P736" s="254"/>
      <c r="Q736" s="260"/>
    </row>
    <row r="737">
      <c r="A737" s="254"/>
      <c r="B737" s="255"/>
      <c r="C737" s="256"/>
      <c r="D737" s="257"/>
      <c r="E737" s="258"/>
      <c r="F737" s="259"/>
      <c r="G737" s="258"/>
      <c r="H737" s="255"/>
      <c r="I737" s="255"/>
      <c r="J737" s="260"/>
      <c r="K737" s="255"/>
      <c r="L737" s="258"/>
      <c r="M737" s="258"/>
      <c r="N737" s="255"/>
      <c r="O737" s="255"/>
      <c r="P737" s="254"/>
      <c r="Q737" s="260"/>
    </row>
    <row r="738">
      <c r="A738" s="254"/>
      <c r="B738" s="255"/>
      <c r="C738" s="256"/>
      <c r="D738" s="257"/>
      <c r="E738" s="258"/>
      <c r="F738" s="259"/>
      <c r="G738" s="258"/>
      <c r="H738" s="255"/>
      <c r="I738" s="255"/>
      <c r="J738" s="260"/>
      <c r="K738" s="255"/>
      <c r="L738" s="258"/>
      <c r="M738" s="258"/>
      <c r="N738" s="255"/>
      <c r="O738" s="255"/>
      <c r="P738" s="254"/>
      <c r="Q738" s="260"/>
    </row>
    <row r="739">
      <c r="A739" s="254"/>
      <c r="B739" s="255"/>
      <c r="C739" s="256"/>
      <c r="D739" s="257"/>
      <c r="E739" s="258"/>
      <c r="F739" s="259"/>
      <c r="G739" s="258"/>
      <c r="H739" s="255"/>
      <c r="I739" s="255"/>
      <c r="J739" s="260"/>
      <c r="K739" s="255"/>
      <c r="L739" s="258"/>
      <c r="M739" s="258"/>
      <c r="N739" s="255"/>
      <c r="O739" s="255"/>
      <c r="P739" s="254"/>
      <c r="Q739" s="260"/>
    </row>
    <row r="740">
      <c r="A740" s="254"/>
      <c r="B740" s="255"/>
      <c r="C740" s="256"/>
      <c r="D740" s="257"/>
      <c r="E740" s="258"/>
      <c r="F740" s="259"/>
      <c r="G740" s="258"/>
      <c r="H740" s="255"/>
      <c r="I740" s="255"/>
      <c r="J740" s="260"/>
      <c r="K740" s="255"/>
      <c r="L740" s="258"/>
      <c r="M740" s="258"/>
      <c r="N740" s="255"/>
      <c r="O740" s="255"/>
      <c r="P740" s="254"/>
      <c r="Q740" s="260"/>
    </row>
    <row r="741">
      <c r="A741" s="254"/>
      <c r="B741" s="255"/>
      <c r="C741" s="256"/>
      <c r="D741" s="257"/>
      <c r="E741" s="258"/>
      <c r="F741" s="259"/>
      <c r="G741" s="258"/>
      <c r="H741" s="255"/>
      <c r="I741" s="255"/>
      <c r="J741" s="260"/>
      <c r="K741" s="255"/>
      <c r="L741" s="258"/>
      <c r="M741" s="258"/>
      <c r="N741" s="255"/>
      <c r="O741" s="255"/>
      <c r="P741" s="254"/>
      <c r="Q741" s="260"/>
    </row>
    <row r="742">
      <c r="A742" s="254"/>
      <c r="B742" s="255"/>
      <c r="C742" s="256"/>
      <c r="D742" s="257"/>
      <c r="E742" s="258"/>
      <c r="F742" s="259"/>
      <c r="G742" s="258"/>
      <c r="H742" s="255"/>
      <c r="I742" s="255"/>
      <c r="J742" s="260"/>
      <c r="K742" s="255"/>
      <c r="L742" s="258"/>
      <c r="M742" s="258"/>
      <c r="N742" s="255"/>
      <c r="O742" s="255"/>
      <c r="P742" s="254"/>
      <c r="Q742" s="260"/>
    </row>
    <row r="743">
      <c r="A743" s="254"/>
      <c r="B743" s="255"/>
      <c r="C743" s="256"/>
      <c r="D743" s="257"/>
      <c r="E743" s="258"/>
      <c r="F743" s="259"/>
      <c r="G743" s="258"/>
      <c r="H743" s="255"/>
      <c r="I743" s="255"/>
      <c r="J743" s="260"/>
      <c r="K743" s="255"/>
      <c r="L743" s="258"/>
      <c r="M743" s="258"/>
      <c r="N743" s="255"/>
      <c r="O743" s="255"/>
      <c r="P743" s="254"/>
      <c r="Q743" s="260"/>
    </row>
    <row r="744">
      <c r="A744" s="254"/>
      <c r="B744" s="255"/>
      <c r="C744" s="256"/>
      <c r="D744" s="257"/>
      <c r="E744" s="258"/>
      <c r="F744" s="259"/>
      <c r="G744" s="258"/>
      <c r="H744" s="255"/>
      <c r="I744" s="255"/>
      <c r="J744" s="260"/>
      <c r="K744" s="255"/>
      <c r="L744" s="258"/>
      <c r="M744" s="258"/>
      <c r="N744" s="255"/>
      <c r="O744" s="255"/>
      <c r="P744" s="254"/>
      <c r="Q744" s="260"/>
    </row>
    <row r="745">
      <c r="A745" s="254"/>
      <c r="B745" s="255"/>
      <c r="C745" s="256"/>
      <c r="D745" s="257"/>
      <c r="E745" s="258"/>
      <c r="F745" s="259"/>
      <c r="G745" s="258"/>
      <c r="H745" s="255"/>
      <c r="I745" s="255"/>
      <c r="J745" s="260"/>
      <c r="K745" s="255"/>
      <c r="L745" s="258"/>
      <c r="M745" s="258"/>
      <c r="N745" s="255"/>
      <c r="O745" s="255"/>
      <c r="P745" s="254"/>
      <c r="Q745" s="260"/>
    </row>
    <row r="746">
      <c r="A746" s="254"/>
      <c r="B746" s="255"/>
      <c r="C746" s="256"/>
      <c r="D746" s="257"/>
      <c r="E746" s="258"/>
      <c r="F746" s="259"/>
      <c r="G746" s="258"/>
      <c r="H746" s="255"/>
      <c r="I746" s="255"/>
      <c r="J746" s="260"/>
      <c r="K746" s="255"/>
      <c r="L746" s="258"/>
      <c r="M746" s="258"/>
      <c r="N746" s="255"/>
      <c r="O746" s="255"/>
      <c r="P746" s="254"/>
      <c r="Q746" s="260"/>
    </row>
    <row r="747">
      <c r="A747" s="254"/>
      <c r="B747" s="255"/>
      <c r="C747" s="256"/>
      <c r="D747" s="257"/>
      <c r="E747" s="258"/>
      <c r="F747" s="259"/>
      <c r="G747" s="258"/>
      <c r="H747" s="255"/>
      <c r="I747" s="255"/>
      <c r="J747" s="260"/>
      <c r="K747" s="255"/>
      <c r="L747" s="258"/>
      <c r="M747" s="258"/>
      <c r="N747" s="255"/>
      <c r="O747" s="255"/>
      <c r="P747" s="254"/>
      <c r="Q747" s="260"/>
    </row>
    <row r="748">
      <c r="A748" s="254"/>
      <c r="B748" s="255"/>
      <c r="C748" s="256"/>
      <c r="D748" s="257"/>
      <c r="E748" s="258"/>
      <c r="F748" s="259"/>
      <c r="G748" s="258"/>
      <c r="H748" s="255"/>
      <c r="I748" s="255"/>
      <c r="J748" s="260"/>
      <c r="K748" s="255"/>
      <c r="L748" s="258"/>
      <c r="M748" s="258"/>
      <c r="N748" s="255"/>
      <c r="O748" s="255"/>
      <c r="P748" s="254"/>
      <c r="Q748" s="260"/>
    </row>
    <row r="749">
      <c r="A749" s="254"/>
      <c r="B749" s="255"/>
      <c r="C749" s="256"/>
      <c r="D749" s="257"/>
      <c r="E749" s="258"/>
      <c r="F749" s="259"/>
      <c r="G749" s="258"/>
      <c r="H749" s="255"/>
      <c r="I749" s="255"/>
      <c r="J749" s="260"/>
      <c r="K749" s="255"/>
      <c r="L749" s="258"/>
      <c r="M749" s="258"/>
      <c r="N749" s="255"/>
      <c r="O749" s="255"/>
      <c r="P749" s="254"/>
      <c r="Q749" s="260"/>
    </row>
    <row r="750">
      <c r="A750" s="254"/>
      <c r="B750" s="255"/>
      <c r="C750" s="256"/>
      <c r="D750" s="257"/>
      <c r="E750" s="258"/>
      <c r="F750" s="259"/>
      <c r="G750" s="258"/>
      <c r="H750" s="255"/>
      <c r="I750" s="255"/>
      <c r="J750" s="260"/>
      <c r="K750" s="255"/>
      <c r="L750" s="258"/>
      <c r="M750" s="258"/>
      <c r="N750" s="255"/>
      <c r="O750" s="255"/>
      <c r="P750" s="254"/>
      <c r="Q750" s="260"/>
    </row>
    <row r="751">
      <c r="A751" s="254"/>
      <c r="B751" s="255"/>
      <c r="C751" s="256"/>
      <c r="D751" s="257"/>
      <c r="E751" s="258"/>
      <c r="F751" s="259"/>
      <c r="G751" s="258"/>
      <c r="H751" s="255"/>
      <c r="I751" s="255"/>
      <c r="J751" s="260"/>
      <c r="K751" s="255"/>
      <c r="L751" s="258"/>
      <c r="M751" s="258"/>
      <c r="N751" s="255"/>
      <c r="O751" s="255"/>
      <c r="P751" s="254"/>
      <c r="Q751" s="260"/>
    </row>
    <row r="752">
      <c r="A752" s="254"/>
      <c r="B752" s="255"/>
      <c r="C752" s="256"/>
      <c r="D752" s="257"/>
      <c r="E752" s="258"/>
      <c r="F752" s="259"/>
      <c r="G752" s="258"/>
      <c r="H752" s="255"/>
      <c r="I752" s="255"/>
      <c r="J752" s="260"/>
      <c r="K752" s="255"/>
      <c r="L752" s="258"/>
      <c r="M752" s="258"/>
      <c r="N752" s="255"/>
      <c r="O752" s="255"/>
      <c r="P752" s="254"/>
      <c r="Q752" s="260"/>
    </row>
    <row r="753">
      <c r="A753" s="254"/>
      <c r="B753" s="255"/>
      <c r="C753" s="256"/>
      <c r="D753" s="257"/>
      <c r="E753" s="258"/>
      <c r="F753" s="259"/>
      <c r="G753" s="258"/>
      <c r="H753" s="255"/>
      <c r="I753" s="255"/>
      <c r="J753" s="260"/>
      <c r="K753" s="255"/>
      <c r="L753" s="258"/>
      <c r="M753" s="258"/>
      <c r="N753" s="255"/>
      <c r="O753" s="255"/>
      <c r="P753" s="254"/>
      <c r="Q753" s="260"/>
    </row>
    <row r="754">
      <c r="A754" s="254"/>
      <c r="B754" s="255"/>
      <c r="C754" s="256"/>
      <c r="D754" s="257"/>
      <c r="E754" s="258"/>
      <c r="F754" s="259"/>
      <c r="G754" s="258"/>
      <c r="H754" s="255"/>
      <c r="I754" s="255"/>
      <c r="J754" s="260"/>
      <c r="K754" s="255"/>
      <c r="L754" s="258"/>
      <c r="M754" s="258"/>
      <c r="N754" s="255"/>
      <c r="O754" s="255"/>
      <c r="P754" s="254"/>
      <c r="Q754" s="260"/>
    </row>
    <row r="755">
      <c r="A755" s="254"/>
      <c r="B755" s="255"/>
      <c r="C755" s="256"/>
      <c r="D755" s="257"/>
      <c r="E755" s="258"/>
      <c r="F755" s="259"/>
      <c r="G755" s="258"/>
      <c r="H755" s="255"/>
      <c r="I755" s="255"/>
      <c r="J755" s="260"/>
      <c r="K755" s="255"/>
      <c r="L755" s="258"/>
      <c r="M755" s="258"/>
      <c r="N755" s="255"/>
      <c r="O755" s="255"/>
      <c r="P755" s="254"/>
      <c r="Q755" s="260"/>
    </row>
    <row r="756">
      <c r="A756" s="254"/>
      <c r="B756" s="255"/>
      <c r="C756" s="256"/>
      <c r="D756" s="257"/>
      <c r="E756" s="258"/>
      <c r="F756" s="259"/>
      <c r="G756" s="258"/>
      <c r="H756" s="255"/>
      <c r="I756" s="255"/>
      <c r="J756" s="260"/>
      <c r="K756" s="255"/>
      <c r="L756" s="258"/>
      <c r="M756" s="258"/>
      <c r="N756" s="255"/>
      <c r="O756" s="255"/>
      <c r="P756" s="254"/>
      <c r="Q756" s="260"/>
    </row>
    <row r="757">
      <c r="A757" s="254"/>
      <c r="B757" s="255"/>
      <c r="C757" s="256"/>
      <c r="D757" s="257"/>
      <c r="E757" s="258"/>
      <c r="F757" s="259"/>
      <c r="G757" s="258"/>
      <c r="H757" s="255"/>
      <c r="I757" s="255"/>
      <c r="J757" s="260"/>
      <c r="K757" s="255"/>
      <c r="L757" s="258"/>
      <c r="M757" s="258"/>
      <c r="N757" s="255"/>
      <c r="O757" s="255"/>
      <c r="P757" s="254"/>
      <c r="Q757" s="260"/>
    </row>
    <row r="758">
      <c r="A758" s="254"/>
      <c r="B758" s="255"/>
      <c r="C758" s="256"/>
      <c r="D758" s="257"/>
      <c r="E758" s="258"/>
      <c r="F758" s="259"/>
      <c r="G758" s="258"/>
      <c r="H758" s="255"/>
      <c r="I758" s="255"/>
      <c r="J758" s="260"/>
      <c r="K758" s="255"/>
      <c r="L758" s="258"/>
      <c r="M758" s="258"/>
      <c r="N758" s="255"/>
      <c r="O758" s="255"/>
      <c r="P758" s="254"/>
      <c r="Q758" s="260"/>
    </row>
    <row r="759">
      <c r="A759" s="254"/>
      <c r="B759" s="255"/>
      <c r="C759" s="256"/>
      <c r="D759" s="257"/>
      <c r="E759" s="258"/>
      <c r="F759" s="259"/>
      <c r="G759" s="258"/>
      <c r="H759" s="255"/>
      <c r="I759" s="255"/>
      <c r="J759" s="260"/>
      <c r="K759" s="255"/>
      <c r="L759" s="258"/>
      <c r="M759" s="258"/>
      <c r="N759" s="255"/>
      <c r="O759" s="255"/>
      <c r="P759" s="254"/>
      <c r="Q759" s="260"/>
    </row>
    <row r="760">
      <c r="A760" s="254"/>
      <c r="B760" s="255"/>
      <c r="C760" s="256"/>
      <c r="D760" s="257"/>
      <c r="E760" s="258"/>
      <c r="F760" s="259"/>
      <c r="G760" s="258"/>
      <c r="H760" s="255"/>
      <c r="I760" s="255"/>
      <c r="J760" s="260"/>
      <c r="K760" s="255"/>
      <c r="L760" s="258"/>
      <c r="M760" s="258"/>
      <c r="N760" s="255"/>
      <c r="O760" s="255"/>
      <c r="P760" s="254"/>
      <c r="Q760" s="260"/>
    </row>
    <row r="761">
      <c r="A761" s="254"/>
      <c r="B761" s="255"/>
      <c r="C761" s="256"/>
      <c r="D761" s="257"/>
      <c r="E761" s="258"/>
      <c r="F761" s="259"/>
      <c r="G761" s="258"/>
      <c r="H761" s="255"/>
      <c r="I761" s="255"/>
      <c r="J761" s="260"/>
      <c r="K761" s="255"/>
      <c r="L761" s="258"/>
      <c r="M761" s="258"/>
      <c r="N761" s="255"/>
      <c r="O761" s="255"/>
      <c r="P761" s="254"/>
      <c r="Q761" s="260"/>
    </row>
    <row r="762">
      <c r="A762" s="254"/>
      <c r="B762" s="255"/>
      <c r="C762" s="256"/>
      <c r="D762" s="257"/>
      <c r="E762" s="258"/>
      <c r="F762" s="259"/>
      <c r="G762" s="258"/>
      <c r="H762" s="255"/>
      <c r="I762" s="255"/>
      <c r="J762" s="260"/>
      <c r="K762" s="255"/>
      <c r="L762" s="258"/>
      <c r="M762" s="258"/>
      <c r="N762" s="255"/>
      <c r="O762" s="255"/>
      <c r="P762" s="254"/>
      <c r="Q762" s="260"/>
    </row>
    <row r="763">
      <c r="A763" s="254"/>
      <c r="B763" s="255"/>
      <c r="C763" s="256"/>
      <c r="D763" s="257"/>
      <c r="E763" s="258"/>
      <c r="F763" s="259"/>
      <c r="G763" s="258"/>
      <c r="H763" s="255"/>
      <c r="I763" s="255"/>
      <c r="J763" s="260"/>
      <c r="K763" s="255"/>
      <c r="L763" s="258"/>
      <c r="M763" s="258"/>
      <c r="N763" s="255"/>
      <c r="O763" s="255"/>
      <c r="P763" s="254"/>
      <c r="Q763" s="260"/>
    </row>
    <row r="764">
      <c r="A764" s="254"/>
      <c r="B764" s="255"/>
      <c r="C764" s="256"/>
      <c r="D764" s="257"/>
      <c r="E764" s="258"/>
      <c r="F764" s="259"/>
      <c r="G764" s="258"/>
      <c r="H764" s="255"/>
      <c r="I764" s="255"/>
      <c r="J764" s="260"/>
      <c r="K764" s="255"/>
      <c r="L764" s="258"/>
      <c r="M764" s="258"/>
      <c r="N764" s="255"/>
      <c r="O764" s="255"/>
      <c r="P764" s="254"/>
      <c r="Q764" s="260"/>
    </row>
    <row r="765">
      <c r="A765" s="254"/>
      <c r="B765" s="255"/>
      <c r="C765" s="256"/>
      <c r="D765" s="257"/>
      <c r="E765" s="258"/>
      <c r="F765" s="259"/>
      <c r="G765" s="258"/>
      <c r="H765" s="255"/>
      <c r="I765" s="255"/>
      <c r="J765" s="260"/>
      <c r="K765" s="255"/>
      <c r="L765" s="258"/>
      <c r="M765" s="258"/>
      <c r="N765" s="255"/>
      <c r="O765" s="255"/>
      <c r="P765" s="254"/>
      <c r="Q765" s="260"/>
    </row>
    <row r="766">
      <c r="A766" s="254"/>
      <c r="B766" s="255"/>
      <c r="C766" s="256"/>
      <c r="D766" s="257"/>
      <c r="E766" s="258"/>
      <c r="F766" s="259"/>
      <c r="G766" s="258"/>
      <c r="H766" s="255"/>
      <c r="I766" s="255"/>
      <c r="J766" s="260"/>
      <c r="K766" s="255"/>
      <c r="L766" s="258"/>
      <c r="M766" s="258"/>
      <c r="N766" s="255"/>
      <c r="O766" s="255"/>
      <c r="P766" s="254"/>
      <c r="Q766" s="260"/>
    </row>
    <row r="767">
      <c r="A767" s="254"/>
      <c r="B767" s="255"/>
      <c r="C767" s="256"/>
      <c r="D767" s="257"/>
      <c r="E767" s="258"/>
      <c r="F767" s="259"/>
      <c r="G767" s="258"/>
      <c r="H767" s="255"/>
      <c r="I767" s="255"/>
      <c r="J767" s="260"/>
      <c r="K767" s="255"/>
      <c r="L767" s="258"/>
      <c r="M767" s="258"/>
      <c r="N767" s="255"/>
      <c r="O767" s="255"/>
      <c r="P767" s="254"/>
      <c r="Q767" s="260"/>
    </row>
    <row r="768">
      <c r="A768" s="254"/>
      <c r="B768" s="255"/>
      <c r="C768" s="256"/>
      <c r="D768" s="257"/>
      <c r="E768" s="258"/>
      <c r="F768" s="259"/>
      <c r="G768" s="258"/>
      <c r="H768" s="255"/>
      <c r="I768" s="255"/>
      <c r="J768" s="260"/>
      <c r="K768" s="255"/>
      <c r="L768" s="258"/>
      <c r="M768" s="258"/>
      <c r="N768" s="255"/>
      <c r="O768" s="255"/>
      <c r="P768" s="254"/>
      <c r="Q768" s="260"/>
    </row>
    <row r="769">
      <c r="A769" s="254"/>
      <c r="B769" s="255"/>
      <c r="C769" s="256"/>
      <c r="D769" s="257"/>
      <c r="E769" s="258"/>
      <c r="F769" s="259"/>
      <c r="G769" s="258"/>
      <c r="H769" s="255"/>
      <c r="I769" s="255"/>
      <c r="J769" s="260"/>
      <c r="K769" s="255"/>
      <c r="L769" s="258"/>
      <c r="M769" s="258"/>
      <c r="N769" s="255"/>
      <c r="O769" s="255"/>
      <c r="P769" s="254"/>
      <c r="Q769" s="260"/>
    </row>
    <row r="770">
      <c r="A770" s="254"/>
      <c r="B770" s="255"/>
      <c r="C770" s="256"/>
      <c r="D770" s="257"/>
      <c r="E770" s="258"/>
      <c r="F770" s="259"/>
      <c r="G770" s="258"/>
      <c r="H770" s="255"/>
      <c r="I770" s="255"/>
      <c r="J770" s="260"/>
      <c r="K770" s="255"/>
      <c r="L770" s="258"/>
      <c r="M770" s="258"/>
      <c r="N770" s="255"/>
      <c r="O770" s="255"/>
      <c r="P770" s="254"/>
      <c r="Q770" s="260"/>
    </row>
    <row r="771">
      <c r="A771" s="254"/>
      <c r="B771" s="255"/>
      <c r="C771" s="256"/>
      <c r="D771" s="257"/>
      <c r="E771" s="258"/>
      <c r="F771" s="259"/>
      <c r="G771" s="258"/>
      <c r="H771" s="255"/>
      <c r="I771" s="255"/>
      <c r="J771" s="260"/>
      <c r="K771" s="255"/>
      <c r="L771" s="258"/>
      <c r="M771" s="258"/>
      <c r="N771" s="255"/>
      <c r="O771" s="255"/>
      <c r="P771" s="254"/>
      <c r="Q771" s="260"/>
    </row>
    <row r="772">
      <c r="A772" s="254"/>
      <c r="B772" s="255"/>
      <c r="C772" s="256"/>
      <c r="D772" s="257"/>
      <c r="E772" s="258"/>
      <c r="F772" s="259"/>
      <c r="G772" s="258"/>
      <c r="H772" s="255"/>
      <c r="I772" s="255"/>
      <c r="J772" s="260"/>
      <c r="K772" s="255"/>
      <c r="L772" s="258"/>
      <c r="M772" s="258"/>
      <c r="N772" s="255"/>
      <c r="O772" s="255"/>
      <c r="P772" s="254"/>
      <c r="Q772" s="260"/>
    </row>
    <row r="773">
      <c r="A773" s="254"/>
      <c r="B773" s="255"/>
      <c r="C773" s="256"/>
      <c r="D773" s="257"/>
      <c r="E773" s="258"/>
      <c r="F773" s="259"/>
      <c r="G773" s="258"/>
      <c r="H773" s="255"/>
      <c r="I773" s="255"/>
      <c r="J773" s="260"/>
      <c r="K773" s="255"/>
      <c r="L773" s="258"/>
      <c r="M773" s="258"/>
      <c r="N773" s="255"/>
      <c r="O773" s="255"/>
      <c r="P773" s="254"/>
      <c r="Q773" s="260"/>
    </row>
    <row r="774">
      <c r="A774" s="254"/>
      <c r="B774" s="255"/>
      <c r="C774" s="256"/>
      <c r="D774" s="257"/>
      <c r="E774" s="258"/>
      <c r="F774" s="259"/>
      <c r="G774" s="258"/>
      <c r="H774" s="255"/>
      <c r="I774" s="255"/>
      <c r="J774" s="260"/>
      <c r="K774" s="255"/>
      <c r="L774" s="258"/>
      <c r="M774" s="258"/>
      <c r="N774" s="255"/>
      <c r="O774" s="255"/>
      <c r="P774" s="254"/>
      <c r="Q774" s="260"/>
    </row>
    <row r="775">
      <c r="A775" s="254"/>
      <c r="B775" s="255"/>
      <c r="C775" s="256"/>
      <c r="D775" s="257"/>
      <c r="E775" s="258"/>
      <c r="F775" s="259"/>
      <c r="G775" s="258"/>
      <c r="H775" s="255"/>
      <c r="I775" s="255"/>
      <c r="J775" s="260"/>
      <c r="K775" s="255"/>
      <c r="L775" s="258"/>
      <c r="M775" s="258"/>
      <c r="N775" s="255"/>
      <c r="O775" s="255"/>
      <c r="P775" s="254"/>
      <c r="Q775" s="260"/>
    </row>
    <row r="776">
      <c r="A776" s="254"/>
      <c r="B776" s="255"/>
      <c r="C776" s="256"/>
      <c r="D776" s="257"/>
      <c r="E776" s="258"/>
      <c r="F776" s="259"/>
      <c r="G776" s="258"/>
      <c r="H776" s="255"/>
      <c r="I776" s="255"/>
      <c r="J776" s="260"/>
      <c r="K776" s="255"/>
      <c r="L776" s="258"/>
      <c r="M776" s="258"/>
      <c r="N776" s="255"/>
      <c r="O776" s="255"/>
      <c r="P776" s="254"/>
      <c r="Q776" s="260"/>
    </row>
    <row r="777">
      <c r="A777" s="254"/>
      <c r="B777" s="255"/>
      <c r="C777" s="256"/>
      <c r="D777" s="257"/>
      <c r="E777" s="258"/>
      <c r="F777" s="259"/>
      <c r="G777" s="258"/>
      <c r="H777" s="255"/>
      <c r="I777" s="255"/>
      <c r="J777" s="260"/>
      <c r="K777" s="255"/>
      <c r="L777" s="258"/>
      <c r="M777" s="258"/>
      <c r="N777" s="255"/>
      <c r="O777" s="255"/>
      <c r="P777" s="254"/>
      <c r="Q777" s="260"/>
    </row>
    <row r="778">
      <c r="A778" s="254"/>
      <c r="B778" s="255"/>
      <c r="C778" s="256"/>
      <c r="D778" s="257"/>
      <c r="E778" s="258"/>
      <c r="F778" s="259"/>
      <c r="G778" s="258"/>
      <c r="H778" s="255"/>
      <c r="I778" s="255"/>
      <c r="J778" s="260"/>
      <c r="K778" s="255"/>
      <c r="L778" s="258"/>
      <c r="M778" s="258"/>
      <c r="N778" s="255"/>
      <c r="O778" s="255"/>
      <c r="P778" s="254"/>
      <c r="Q778" s="260"/>
    </row>
    <row r="779">
      <c r="A779" s="254"/>
      <c r="B779" s="255"/>
      <c r="C779" s="256"/>
      <c r="D779" s="257"/>
      <c r="E779" s="258"/>
      <c r="F779" s="259"/>
      <c r="G779" s="258"/>
      <c r="H779" s="255"/>
      <c r="I779" s="255"/>
      <c r="J779" s="260"/>
      <c r="K779" s="255"/>
      <c r="L779" s="258"/>
      <c r="M779" s="258"/>
      <c r="N779" s="255"/>
      <c r="O779" s="255"/>
      <c r="P779" s="254"/>
      <c r="Q779" s="260"/>
    </row>
    <row r="780">
      <c r="A780" s="254"/>
      <c r="B780" s="255"/>
      <c r="C780" s="256"/>
      <c r="D780" s="257"/>
      <c r="E780" s="258"/>
      <c r="F780" s="259"/>
      <c r="G780" s="258"/>
      <c r="H780" s="255"/>
      <c r="I780" s="255"/>
      <c r="J780" s="260"/>
      <c r="K780" s="255"/>
      <c r="L780" s="258"/>
      <c r="M780" s="258"/>
      <c r="N780" s="255"/>
      <c r="O780" s="255"/>
      <c r="P780" s="254"/>
      <c r="Q780" s="260"/>
    </row>
    <row r="781">
      <c r="A781" s="254"/>
      <c r="B781" s="255"/>
      <c r="C781" s="256"/>
      <c r="D781" s="257"/>
      <c r="E781" s="258"/>
      <c r="F781" s="259"/>
      <c r="G781" s="258"/>
      <c r="H781" s="255"/>
      <c r="I781" s="255"/>
      <c r="J781" s="260"/>
      <c r="K781" s="255"/>
      <c r="L781" s="258"/>
      <c r="M781" s="258"/>
      <c r="N781" s="255"/>
      <c r="O781" s="255"/>
      <c r="P781" s="254"/>
      <c r="Q781" s="260"/>
    </row>
    <row r="782">
      <c r="A782" s="254"/>
      <c r="B782" s="255"/>
      <c r="C782" s="256"/>
      <c r="D782" s="257"/>
      <c r="E782" s="258"/>
      <c r="F782" s="259"/>
      <c r="G782" s="258"/>
      <c r="H782" s="255"/>
      <c r="I782" s="255"/>
      <c r="J782" s="260"/>
      <c r="K782" s="255"/>
      <c r="L782" s="258"/>
      <c r="M782" s="258"/>
      <c r="N782" s="255"/>
      <c r="O782" s="255"/>
      <c r="P782" s="254"/>
      <c r="Q782" s="260"/>
    </row>
    <row r="783">
      <c r="A783" s="254"/>
      <c r="B783" s="255"/>
      <c r="C783" s="256"/>
      <c r="D783" s="257"/>
      <c r="E783" s="258"/>
      <c r="F783" s="259"/>
      <c r="G783" s="258"/>
      <c r="H783" s="255"/>
      <c r="I783" s="255"/>
      <c r="J783" s="260"/>
      <c r="K783" s="255"/>
      <c r="L783" s="258"/>
      <c r="M783" s="258"/>
      <c r="N783" s="255"/>
      <c r="O783" s="255"/>
      <c r="P783" s="254"/>
      <c r="Q783" s="260"/>
    </row>
    <row r="784">
      <c r="A784" s="254"/>
      <c r="B784" s="255"/>
      <c r="C784" s="256"/>
      <c r="D784" s="257"/>
      <c r="E784" s="258"/>
      <c r="F784" s="259"/>
      <c r="G784" s="258"/>
      <c r="H784" s="255"/>
      <c r="I784" s="255"/>
      <c r="J784" s="260"/>
      <c r="K784" s="255"/>
      <c r="L784" s="258"/>
      <c r="M784" s="258"/>
      <c r="N784" s="255"/>
      <c r="O784" s="255"/>
      <c r="P784" s="254"/>
      <c r="Q784" s="260"/>
    </row>
    <row r="785">
      <c r="A785" s="254"/>
      <c r="B785" s="255"/>
      <c r="C785" s="256"/>
      <c r="D785" s="257"/>
      <c r="E785" s="258"/>
      <c r="F785" s="259"/>
      <c r="G785" s="258"/>
      <c r="H785" s="255"/>
      <c r="I785" s="255"/>
      <c r="J785" s="260"/>
      <c r="K785" s="255"/>
      <c r="L785" s="258"/>
      <c r="M785" s="258"/>
      <c r="N785" s="255"/>
      <c r="O785" s="255"/>
      <c r="P785" s="254"/>
      <c r="Q785" s="260"/>
    </row>
    <row r="786">
      <c r="A786" s="254"/>
      <c r="B786" s="255"/>
      <c r="C786" s="256"/>
      <c r="D786" s="257"/>
      <c r="E786" s="258"/>
      <c r="F786" s="259"/>
      <c r="G786" s="258"/>
      <c r="H786" s="255"/>
      <c r="I786" s="255"/>
      <c r="J786" s="260"/>
      <c r="K786" s="255"/>
      <c r="L786" s="258"/>
      <c r="M786" s="258"/>
      <c r="N786" s="255"/>
      <c r="O786" s="255"/>
      <c r="P786" s="254"/>
      <c r="Q786" s="260"/>
    </row>
    <row r="787">
      <c r="A787" s="254"/>
      <c r="B787" s="255"/>
      <c r="C787" s="256"/>
      <c r="D787" s="257"/>
      <c r="E787" s="258"/>
      <c r="F787" s="259"/>
      <c r="G787" s="258"/>
      <c r="H787" s="255"/>
      <c r="I787" s="255"/>
      <c r="J787" s="260"/>
      <c r="K787" s="255"/>
      <c r="L787" s="258"/>
      <c r="M787" s="258"/>
      <c r="N787" s="255"/>
      <c r="O787" s="255"/>
      <c r="P787" s="254"/>
      <c r="Q787" s="260"/>
    </row>
    <row r="788">
      <c r="A788" s="254"/>
      <c r="B788" s="255"/>
      <c r="C788" s="256"/>
      <c r="D788" s="257"/>
      <c r="E788" s="258"/>
      <c r="F788" s="259"/>
      <c r="G788" s="258"/>
      <c r="H788" s="255"/>
      <c r="I788" s="255"/>
      <c r="J788" s="260"/>
      <c r="K788" s="255"/>
      <c r="L788" s="258"/>
      <c r="M788" s="258"/>
      <c r="N788" s="255"/>
      <c r="O788" s="255"/>
      <c r="P788" s="254"/>
      <c r="Q788" s="260"/>
    </row>
    <row r="789">
      <c r="A789" s="254"/>
      <c r="B789" s="255"/>
      <c r="C789" s="256"/>
      <c r="D789" s="257"/>
      <c r="E789" s="258"/>
      <c r="F789" s="259"/>
      <c r="G789" s="258"/>
      <c r="H789" s="255"/>
      <c r="I789" s="255"/>
      <c r="J789" s="260"/>
      <c r="K789" s="255"/>
      <c r="L789" s="258"/>
      <c r="M789" s="258"/>
      <c r="N789" s="255"/>
      <c r="O789" s="255"/>
      <c r="P789" s="254"/>
      <c r="Q789" s="260"/>
    </row>
    <row r="790">
      <c r="A790" s="254"/>
      <c r="B790" s="255"/>
      <c r="C790" s="256"/>
      <c r="D790" s="257"/>
      <c r="E790" s="258"/>
      <c r="F790" s="259"/>
      <c r="G790" s="258"/>
      <c r="H790" s="255"/>
      <c r="I790" s="255"/>
      <c r="J790" s="260"/>
      <c r="K790" s="255"/>
      <c r="L790" s="258"/>
      <c r="M790" s="258"/>
      <c r="N790" s="255"/>
      <c r="O790" s="255"/>
      <c r="P790" s="254"/>
      <c r="Q790" s="260"/>
    </row>
    <row r="791">
      <c r="A791" s="254"/>
      <c r="B791" s="255"/>
      <c r="C791" s="256"/>
      <c r="D791" s="257"/>
      <c r="E791" s="258"/>
      <c r="F791" s="259"/>
      <c r="G791" s="258"/>
      <c r="H791" s="255"/>
      <c r="I791" s="255"/>
      <c r="J791" s="260"/>
      <c r="K791" s="255"/>
      <c r="L791" s="258"/>
      <c r="M791" s="258"/>
      <c r="N791" s="255"/>
      <c r="O791" s="255"/>
      <c r="P791" s="254"/>
      <c r="Q791" s="260"/>
    </row>
    <row r="792">
      <c r="A792" s="254"/>
      <c r="B792" s="255"/>
      <c r="C792" s="256"/>
      <c r="D792" s="257"/>
      <c r="E792" s="258"/>
      <c r="F792" s="259"/>
      <c r="G792" s="258"/>
      <c r="H792" s="255"/>
      <c r="I792" s="255"/>
      <c r="J792" s="260"/>
      <c r="K792" s="255"/>
      <c r="L792" s="258"/>
      <c r="M792" s="258"/>
      <c r="N792" s="255"/>
      <c r="O792" s="255"/>
      <c r="P792" s="254"/>
      <c r="Q792" s="260"/>
    </row>
    <row r="793">
      <c r="A793" s="254"/>
      <c r="B793" s="255"/>
      <c r="C793" s="256"/>
      <c r="D793" s="257"/>
      <c r="E793" s="258"/>
      <c r="F793" s="259"/>
      <c r="G793" s="258"/>
      <c r="H793" s="255"/>
      <c r="I793" s="255"/>
      <c r="J793" s="260"/>
      <c r="K793" s="255"/>
      <c r="L793" s="258"/>
      <c r="M793" s="258"/>
      <c r="N793" s="255"/>
      <c r="O793" s="255"/>
      <c r="P793" s="254"/>
      <c r="Q793" s="260"/>
    </row>
    <row r="794">
      <c r="A794" s="254"/>
      <c r="B794" s="255"/>
      <c r="C794" s="256"/>
      <c r="D794" s="257"/>
      <c r="E794" s="258"/>
      <c r="F794" s="259"/>
      <c r="G794" s="258"/>
      <c r="H794" s="255"/>
      <c r="I794" s="255"/>
      <c r="J794" s="260"/>
      <c r="K794" s="255"/>
      <c r="L794" s="258"/>
      <c r="M794" s="258"/>
      <c r="N794" s="255"/>
      <c r="O794" s="255"/>
      <c r="P794" s="254"/>
      <c r="Q794" s="260"/>
    </row>
    <row r="795">
      <c r="A795" s="254"/>
      <c r="B795" s="255"/>
      <c r="C795" s="256"/>
      <c r="D795" s="257"/>
      <c r="E795" s="258"/>
      <c r="F795" s="259"/>
      <c r="G795" s="258"/>
      <c r="H795" s="255"/>
      <c r="I795" s="255"/>
      <c r="J795" s="260"/>
      <c r="K795" s="255"/>
      <c r="L795" s="258"/>
      <c r="M795" s="258"/>
      <c r="N795" s="255"/>
      <c r="O795" s="255"/>
      <c r="P795" s="254"/>
      <c r="Q795" s="260"/>
    </row>
    <row r="796">
      <c r="A796" s="254"/>
      <c r="B796" s="255"/>
      <c r="C796" s="256"/>
      <c r="D796" s="257"/>
      <c r="E796" s="258"/>
      <c r="F796" s="259"/>
      <c r="G796" s="258"/>
      <c r="H796" s="255"/>
      <c r="I796" s="255"/>
      <c r="J796" s="260"/>
      <c r="K796" s="255"/>
      <c r="L796" s="258"/>
      <c r="M796" s="258"/>
      <c r="N796" s="255"/>
      <c r="O796" s="255"/>
      <c r="P796" s="254"/>
      <c r="Q796" s="260"/>
    </row>
    <row r="797">
      <c r="A797" s="254"/>
      <c r="B797" s="255"/>
      <c r="C797" s="256"/>
      <c r="D797" s="257"/>
      <c r="E797" s="258"/>
      <c r="F797" s="259"/>
      <c r="G797" s="258"/>
      <c r="H797" s="255"/>
      <c r="I797" s="255"/>
      <c r="J797" s="260"/>
      <c r="K797" s="255"/>
      <c r="L797" s="258"/>
      <c r="M797" s="258"/>
      <c r="N797" s="255"/>
      <c r="O797" s="255"/>
      <c r="P797" s="254"/>
      <c r="Q797" s="260"/>
    </row>
    <row r="798">
      <c r="A798" s="254"/>
      <c r="B798" s="255"/>
      <c r="C798" s="256"/>
      <c r="D798" s="257"/>
      <c r="E798" s="258"/>
      <c r="F798" s="259"/>
      <c r="G798" s="258"/>
      <c r="H798" s="255"/>
      <c r="I798" s="255"/>
      <c r="J798" s="260"/>
      <c r="K798" s="255"/>
      <c r="L798" s="258"/>
      <c r="M798" s="258"/>
      <c r="N798" s="255"/>
      <c r="O798" s="255"/>
      <c r="P798" s="254"/>
      <c r="Q798" s="260"/>
    </row>
    <row r="799">
      <c r="A799" s="254"/>
      <c r="B799" s="255"/>
      <c r="C799" s="256"/>
      <c r="D799" s="257"/>
      <c r="E799" s="258"/>
      <c r="F799" s="259"/>
      <c r="G799" s="258"/>
      <c r="H799" s="255"/>
      <c r="I799" s="255"/>
      <c r="J799" s="260"/>
      <c r="K799" s="255"/>
      <c r="L799" s="258"/>
      <c r="M799" s="258"/>
      <c r="N799" s="255"/>
      <c r="O799" s="255"/>
      <c r="P799" s="254"/>
      <c r="Q799" s="260"/>
    </row>
    <row r="800">
      <c r="A800" s="254"/>
      <c r="B800" s="255"/>
      <c r="C800" s="256"/>
      <c r="D800" s="257"/>
      <c r="E800" s="258"/>
      <c r="F800" s="259"/>
      <c r="G800" s="258"/>
      <c r="H800" s="255"/>
      <c r="I800" s="255"/>
      <c r="J800" s="260"/>
      <c r="K800" s="255"/>
      <c r="L800" s="258"/>
      <c r="M800" s="258"/>
      <c r="N800" s="255"/>
      <c r="O800" s="255"/>
      <c r="P800" s="254"/>
      <c r="Q800" s="260"/>
    </row>
    <row r="801">
      <c r="A801" s="254"/>
      <c r="B801" s="255"/>
      <c r="C801" s="256"/>
      <c r="D801" s="257"/>
      <c r="E801" s="258"/>
      <c r="F801" s="259"/>
      <c r="G801" s="258"/>
      <c r="H801" s="255"/>
      <c r="I801" s="255"/>
      <c r="J801" s="260"/>
      <c r="K801" s="255"/>
      <c r="L801" s="258"/>
      <c r="M801" s="258"/>
      <c r="N801" s="255"/>
      <c r="O801" s="255"/>
      <c r="P801" s="254"/>
      <c r="Q801" s="260"/>
    </row>
    <row r="802">
      <c r="A802" s="254"/>
      <c r="B802" s="255"/>
      <c r="C802" s="256"/>
      <c r="D802" s="257"/>
      <c r="E802" s="258"/>
      <c r="F802" s="259"/>
      <c r="G802" s="258"/>
      <c r="H802" s="255"/>
      <c r="I802" s="255"/>
      <c r="J802" s="260"/>
      <c r="K802" s="255"/>
      <c r="L802" s="258"/>
      <c r="M802" s="258"/>
      <c r="N802" s="255"/>
      <c r="O802" s="255"/>
      <c r="P802" s="254"/>
      <c r="Q802" s="260"/>
    </row>
    <row r="803">
      <c r="A803" s="254"/>
      <c r="B803" s="255"/>
      <c r="C803" s="256"/>
      <c r="D803" s="257"/>
      <c r="E803" s="258"/>
      <c r="F803" s="259"/>
      <c r="G803" s="258"/>
      <c r="H803" s="255"/>
      <c r="I803" s="255"/>
      <c r="J803" s="260"/>
      <c r="K803" s="255"/>
      <c r="L803" s="258"/>
      <c r="M803" s="258"/>
      <c r="N803" s="255"/>
      <c r="O803" s="255"/>
      <c r="P803" s="254"/>
      <c r="Q803" s="260"/>
    </row>
    <row r="804">
      <c r="A804" s="254"/>
      <c r="B804" s="255"/>
      <c r="C804" s="256"/>
      <c r="D804" s="257"/>
      <c r="E804" s="258"/>
      <c r="F804" s="259"/>
      <c r="G804" s="258"/>
      <c r="H804" s="255"/>
      <c r="I804" s="255"/>
      <c r="J804" s="260"/>
      <c r="K804" s="255"/>
      <c r="L804" s="258"/>
      <c r="M804" s="258"/>
      <c r="N804" s="255"/>
      <c r="O804" s="255"/>
      <c r="P804" s="254"/>
      <c r="Q804" s="260"/>
    </row>
    <row r="805">
      <c r="A805" s="254"/>
      <c r="B805" s="255"/>
      <c r="C805" s="256"/>
      <c r="D805" s="257"/>
      <c r="E805" s="258"/>
      <c r="F805" s="259"/>
      <c r="G805" s="258"/>
      <c r="H805" s="255"/>
      <c r="I805" s="255"/>
      <c r="J805" s="260"/>
      <c r="K805" s="255"/>
      <c r="L805" s="258"/>
      <c r="M805" s="258"/>
      <c r="N805" s="255"/>
      <c r="O805" s="255"/>
      <c r="P805" s="254"/>
      <c r="Q805" s="260"/>
    </row>
    <row r="806">
      <c r="A806" s="254"/>
      <c r="B806" s="255"/>
      <c r="C806" s="256"/>
      <c r="D806" s="257"/>
      <c r="E806" s="258"/>
      <c r="F806" s="259"/>
      <c r="G806" s="258"/>
      <c r="H806" s="255"/>
      <c r="I806" s="255"/>
      <c r="J806" s="260"/>
      <c r="K806" s="255"/>
      <c r="L806" s="258"/>
      <c r="M806" s="258"/>
      <c r="N806" s="255"/>
      <c r="O806" s="255"/>
      <c r="P806" s="254"/>
      <c r="Q806" s="260"/>
    </row>
    <row r="807">
      <c r="A807" s="254"/>
      <c r="B807" s="255"/>
      <c r="C807" s="256"/>
      <c r="D807" s="257"/>
      <c r="E807" s="258"/>
      <c r="F807" s="259"/>
      <c r="G807" s="258"/>
      <c r="H807" s="255"/>
      <c r="I807" s="255"/>
      <c r="J807" s="260"/>
      <c r="K807" s="255"/>
      <c r="L807" s="258"/>
      <c r="M807" s="258"/>
      <c r="N807" s="255"/>
      <c r="O807" s="255"/>
      <c r="P807" s="254"/>
      <c r="Q807" s="260"/>
    </row>
    <row r="808">
      <c r="A808" s="254"/>
      <c r="B808" s="255"/>
      <c r="C808" s="256"/>
      <c r="D808" s="257"/>
      <c r="E808" s="258"/>
      <c r="F808" s="259"/>
      <c r="G808" s="258"/>
      <c r="H808" s="255"/>
      <c r="I808" s="255"/>
      <c r="J808" s="260"/>
      <c r="K808" s="255"/>
      <c r="L808" s="258"/>
      <c r="M808" s="258"/>
      <c r="N808" s="255"/>
      <c r="O808" s="255"/>
      <c r="P808" s="254"/>
      <c r="Q808" s="260"/>
    </row>
    <row r="809">
      <c r="A809" s="254"/>
      <c r="B809" s="255"/>
      <c r="C809" s="256"/>
      <c r="D809" s="257"/>
      <c r="E809" s="258"/>
      <c r="F809" s="259"/>
      <c r="G809" s="258"/>
      <c r="H809" s="255"/>
      <c r="I809" s="255"/>
      <c r="J809" s="260"/>
      <c r="K809" s="255"/>
      <c r="L809" s="258"/>
      <c r="M809" s="258"/>
      <c r="N809" s="255"/>
      <c r="O809" s="255"/>
      <c r="P809" s="254"/>
      <c r="Q809" s="260"/>
    </row>
    <row r="810">
      <c r="A810" s="254"/>
      <c r="B810" s="255"/>
      <c r="C810" s="256"/>
      <c r="D810" s="257"/>
      <c r="E810" s="258"/>
      <c r="F810" s="259"/>
      <c r="G810" s="258"/>
      <c r="H810" s="255"/>
      <c r="I810" s="255"/>
      <c r="J810" s="260"/>
      <c r="K810" s="255"/>
      <c r="L810" s="258"/>
      <c r="M810" s="258"/>
      <c r="N810" s="255"/>
      <c r="O810" s="255"/>
      <c r="P810" s="254"/>
      <c r="Q810" s="260"/>
    </row>
    <row r="811">
      <c r="A811" s="254"/>
      <c r="B811" s="255"/>
      <c r="C811" s="256"/>
      <c r="D811" s="257"/>
      <c r="E811" s="258"/>
      <c r="F811" s="259"/>
      <c r="G811" s="258"/>
      <c r="H811" s="255"/>
      <c r="I811" s="255"/>
      <c r="J811" s="260"/>
      <c r="K811" s="255"/>
      <c r="L811" s="258"/>
      <c r="M811" s="258"/>
      <c r="N811" s="255"/>
      <c r="O811" s="255"/>
      <c r="P811" s="254"/>
      <c r="Q811" s="260"/>
    </row>
    <row r="812">
      <c r="A812" s="254"/>
      <c r="B812" s="255"/>
      <c r="C812" s="256"/>
      <c r="D812" s="257"/>
      <c r="E812" s="258"/>
      <c r="F812" s="259"/>
      <c r="G812" s="258"/>
      <c r="H812" s="255"/>
      <c r="I812" s="255"/>
      <c r="J812" s="260"/>
      <c r="K812" s="255"/>
      <c r="L812" s="258"/>
      <c r="M812" s="258"/>
      <c r="N812" s="255"/>
      <c r="O812" s="255"/>
      <c r="P812" s="254"/>
      <c r="Q812" s="260"/>
    </row>
    <row r="813">
      <c r="A813" s="254"/>
      <c r="B813" s="255"/>
      <c r="C813" s="256"/>
      <c r="D813" s="257"/>
      <c r="E813" s="258"/>
      <c r="F813" s="259"/>
      <c r="G813" s="258"/>
      <c r="H813" s="255"/>
      <c r="I813" s="255"/>
      <c r="J813" s="260"/>
      <c r="K813" s="255"/>
      <c r="L813" s="258"/>
      <c r="M813" s="258"/>
      <c r="N813" s="255"/>
      <c r="O813" s="255"/>
      <c r="P813" s="254"/>
      <c r="Q813" s="260"/>
    </row>
    <row r="814">
      <c r="A814" s="254"/>
      <c r="B814" s="255"/>
      <c r="C814" s="256"/>
      <c r="D814" s="257"/>
      <c r="E814" s="258"/>
      <c r="F814" s="259"/>
      <c r="G814" s="258"/>
      <c r="H814" s="255"/>
      <c r="I814" s="255"/>
      <c r="J814" s="260"/>
      <c r="K814" s="255"/>
      <c r="L814" s="258"/>
      <c r="M814" s="258"/>
      <c r="N814" s="255"/>
      <c r="O814" s="255"/>
      <c r="P814" s="254"/>
      <c r="Q814" s="260"/>
    </row>
    <row r="815">
      <c r="A815" s="254"/>
      <c r="B815" s="255"/>
      <c r="C815" s="256"/>
      <c r="D815" s="257"/>
      <c r="E815" s="258"/>
      <c r="F815" s="259"/>
      <c r="G815" s="258"/>
      <c r="H815" s="255"/>
      <c r="I815" s="255"/>
      <c r="J815" s="260"/>
      <c r="K815" s="255"/>
      <c r="L815" s="258"/>
      <c r="M815" s="258"/>
      <c r="N815" s="255"/>
      <c r="O815" s="255"/>
      <c r="P815" s="254"/>
      <c r="Q815" s="260"/>
    </row>
    <row r="816">
      <c r="A816" s="254"/>
      <c r="B816" s="255"/>
      <c r="C816" s="256"/>
      <c r="D816" s="257"/>
      <c r="E816" s="258"/>
      <c r="F816" s="259"/>
      <c r="G816" s="258"/>
      <c r="H816" s="255"/>
      <c r="I816" s="255"/>
      <c r="J816" s="260"/>
      <c r="K816" s="255"/>
      <c r="L816" s="258"/>
      <c r="M816" s="258"/>
      <c r="N816" s="255"/>
      <c r="O816" s="255"/>
      <c r="P816" s="254"/>
      <c r="Q816" s="260"/>
    </row>
    <row r="817">
      <c r="A817" s="254"/>
      <c r="B817" s="255"/>
      <c r="C817" s="256"/>
      <c r="D817" s="257"/>
      <c r="E817" s="258"/>
      <c r="F817" s="259"/>
      <c r="G817" s="258"/>
      <c r="H817" s="255"/>
      <c r="I817" s="255"/>
      <c r="J817" s="260"/>
      <c r="K817" s="255"/>
      <c r="L817" s="258"/>
      <c r="M817" s="258"/>
      <c r="N817" s="255"/>
      <c r="O817" s="255"/>
      <c r="P817" s="254"/>
      <c r="Q817" s="260"/>
    </row>
    <row r="818">
      <c r="A818" s="254"/>
      <c r="B818" s="255"/>
      <c r="C818" s="256"/>
      <c r="D818" s="257"/>
      <c r="E818" s="258"/>
      <c r="F818" s="259"/>
      <c r="G818" s="258"/>
      <c r="H818" s="255"/>
      <c r="I818" s="255"/>
      <c r="J818" s="260"/>
      <c r="K818" s="255"/>
      <c r="L818" s="258"/>
      <c r="M818" s="258"/>
      <c r="N818" s="255"/>
      <c r="O818" s="255"/>
      <c r="P818" s="254"/>
      <c r="Q818" s="260"/>
    </row>
    <row r="819">
      <c r="A819" s="254"/>
      <c r="B819" s="255"/>
      <c r="C819" s="256"/>
      <c r="D819" s="257"/>
      <c r="E819" s="258"/>
      <c r="F819" s="259"/>
      <c r="G819" s="258"/>
      <c r="H819" s="255"/>
      <c r="I819" s="255"/>
      <c r="J819" s="260"/>
      <c r="K819" s="255"/>
      <c r="L819" s="258"/>
      <c r="M819" s="258"/>
      <c r="N819" s="255"/>
      <c r="O819" s="255"/>
      <c r="P819" s="254"/>
      <c r="Q819" s="260"/>
    </row>
    <row r="820">
      <c r="A820" s="254"/>
      <c r="B820" s="255"/>
      <c r="C820" s="256"/>
      <c r="D820" s="257"/>
      <c r="E820" s="258"/>
      <c r="F820" s="259"/>
      <c r="G820" s="258"/>
      <c r="H820" s="255"/>
      <c r="I820" s="255"/>
      <c r="J820" s="260"/>
      <c r="K820" s="255"/>
      <c r="L820" s="258"/>
      <c r="M820" s="258"/>
      <c r="N820" s="255"/>
      <c r="O820" s="255"/>
      <c r="P820" s="254"/>
      <c r="Q820" s="260"/>
    </row>
    <row r="821">
      <c r="A821" s="254"/>
      <c r="B821" s="255"/>
      <c r="C821" s="256"/>
      <c r="D821" s="257"/>
      <c r="E821" s="258"/>
      <c r="F821" s="259"/>
      <c r="G821" s="258"/>
      <c r="H821" s="255"/>
      <c r="I821" s="255"/>
      <c r="J821" s="260"/>
      <c r="K821" s="255"/>
      <c r="L821" s="258"/>
      <c r="M821" s="258"/>
      <c r="N821" s="255"/>
      <c r="O821" s="255"/>
      <c r="P821" s="254"/>
      <c r="Q821" s="260"/>
    </row>
    <row r="822">
      <c r="A822" s="254"/>
      <c r="B822" s="255"/>
      <c r="C822" s="256"/>
      <c r="D822" s="257"/>
      <c r="E822" s="258"/>
      <c r="F822" s="259"/>
      <c r="G822" s="258"/>
      <c r="H822" s="255"/>
      <c r="I822" s="255"/>
      <c r="J822" s="260"/>
      <c r="K822" s="255"/>
      <c r="L822" s="258"/>
      <c r="M822" s="258"/>
      <c r="N822" s="255"/>
      <c r="O822" s="255"/>
      <c r="P822" s="254"/>
      <c r="Q822" s="260"/>
    </row>
    <row r="823">
      <c r="A823" s="254"/>
      <c r="B823" s="255"/>
      <c r="C823" s="256"/>
      <c r="D823" s="257"/>
      <c r="E823" s="258"/>
      <c r="F823" s="259"/>
      <c r="G823" s="258"/>
      <c r="H823" s="255"/>
      <c r="I823" s="255"/>
      <c r="J823" s="260"/>
      <c r="K823" s="255"/>
      <c r="L823" s="258"/>
      <c r="M823" s="258"/>
      <c r="N823" s="255"/>
      <c r="O823" s="255"/>
      <c r="P823" s="254"/>
      <c r="Q823" s="260"/>
    </row>
    <row r="824">
      <c r="A824" s="254"/>
      <c r="B824" s="255"/>
      <c r="C824" s="256"/>
      <c r="D824" s="257"/>
      <c r="E824" s="258"/>
      <c r="F824" s="259"/>
      <c r="G824" s="258"/>
      <c r="H824" s="255"/>
      <c r="I824" s="255"/>
      <c r="J824" s="260"/>
      <c r="K824" s="255"/>
      <c r="L824" s="258"/>
      <c r="M824" s="258"/>
      <c r="N824" s="255"/>
      <c r="O824" s="255"/>
      <c r="P824" s="254"/>
      <c r="Q824" s="260"/>
    </row>
    <row r="825">
      <c r="A825" s="254"/>
      <c r="B825" s="255"/>
      <c r="C825" s="256"/>
      <c r="D825" s="257"/>
      <c r="E825" s="258"/>
      <c r="F825" s="259"/>
      <c r="G825" s="258"/>
      <c r="H825" s="255"/>
      <c r="I825" s="255"/>
      <c r="J825" s="260"/>
      <c r="K825" s="255"/>
      <c r="L825" s="258"/>
      <c r="M825" s="258"/>
      <c r="N825" s="255"/>
      <c r="O825" s="255"/>
      <c r="P825" s="254"/>
      <c r="Q825" s="260"/>
    </row>
    <row r="826">
      <c r="A826" s="254"/>
      <c r="B826" s="255"/>
      <c r="C826" s="256"/>
      <c r="D826" s="257"/>
      <c r="E826" s="258"/>
      <c r="F826" s="259"/>
      <c r="G826" s="258"/>
      <c r="H826" s="255"/>
      <c r="I826" s="255"/>
      <c r="J826" s="260"/>
      <c r="K826" s="255"/>
      <c r="L826" s="258"/>
      <c r="M826" s="258"/>
      <c r="N826" s="255"/>
      <c r="O826" s="255"/>
      <c r="P826" s="254"/>
      <c r="Q826" s="260"/>
    </row>
    <row r="827">
      <c r="A827" s="254"/>
      <c r="B827" s="255"/>
      <c r="C827" s="256"/>
      <c r="D827" s="257"/>
      <c r="E827" s="258"/>
      <c r="F827" s="259"/>
      <c r="G827" s="258"/>
      <c r="H827" s="255"/>
      <c r="I827" s="255"/>
      <c r="J827" s="260"/>
      <c r="K827" s="255"/>
      <c r="L827" s="258"/>
      <c r="M827" s="258"/>
      <c r="N827" s="255"/>
      <c r="O827" s="255"/>
      <c r="P827" s="254"/>
      <c r="Q827" s="260"/>
    </row>
    <row r="828">
      <c r="A828" s="254"/>
      <c r="B828" s="255"/>
      <c r="C828" s="256"/>
      <c r="D828" s="257"/>
      <c r="E828" s="258"/>
      <c r="F828" s="259"/>
      <c r="G828" s="258"/>
      <c r="H828" s="255"/>
      <c r="I828" s="255"/>
      <c r="J828" s="260"/>
      <c r="K828" s="255"/>
      <c r="L828" s="258"/>
      <c r="M828" s="258"/>
      <c r="N828" s="255"/>
      <c r="O828" s="255"/>
      <c r="P828" s="254"/>
      <c r="Q828" s="260"/>
    </row>
    <row r="829">
      <c r="A829" s="254"/>
      <c r="B829" s="255"/>
      <c r="C829" s="256"/>
      <c r="D829" s="257"/>
      <c r="E829" s="258"/>
      <c r="F829" s="259"/>
      <c r="G829" s="258"/>
      <c r="H829" s="255"/>
      <c r="I829" s="255"/>
      <c r="J829" s="260"/>
      <c r="K829" s="255"/>
      <c r="L829" s="258"/>
      <c r="M829" s="258"/>
      <c r="N829" s="255"/>
      <c r="O829" s="255"/>
      <c r="P829" s="254"/>
      <c r="Q829" s="260"/>
    </row>
    <row r="830">
      <c r="A830" s="254"/>
      <c r="B830" s="255"/>
      <c r="C830" s="256"/>
      <c r="D830" s="257"/>
      <c r="E830" s="258"/>
      <c r="F830" s="259"/>
      <c r="G830" s="258"/>
      <c r="H830" s="255"/>
      <c r="I830" s="255"/>
      <c r="J830" s="260"/>
      <c r="K830" s="255"/>
      <c r="L830" s="258"/>
      <c r="M830" s="258"/>
      <c r="N830" s="255"/>
      <c r="O830" s="255"/>
      <c r="P830" s="254"/>
      <c r="Q830" s="260"/>
    </row>
    <row r="831">
      <c r="A831" s="254"/>
      <c r="B831" s="255"/>
      <c r="C831" s="256"/>
      <c r="D831" s="257"/>
      <c r="E831" s="258"/>
      <c r="F831" s="259"/>
      <c r="G831" s="258"/>
      <c r="H831" s="255"/>
      <c r="I831" s="255"/>
      <c r="J831" s="260"/>
      <c r="K831" s="255"/>
      <c r="L831" s="258"/>
      <c r="M831" s="258"/>
      <c r="N831" s="255"/>
      <c r="O831" s="255"/>
      <c r="P831" s="254"/>
      <c r="Q831" s="260"/>
    </row>
    <row r="832">
      <c r="A832" s="254"/>
      <c r="B832" s="255"/>
      <c r="C832" s="256"/>
      <c r="D832" s="257"/>
      <c r="E832" s="258"/>
      <c r="F832" s="259"/>
      <c r="G832" s="258"/>
      <c r="H832" s="255"/>
      <c r="I832" s="255"/>
      <c r="J832" s="260"/>
      <c r="K832" s="255"/>
      <c r="L832" s="258"/>
      <c r="M832" s="258"/>
      <c r="N832" s="255"/>
      <c r="O832" s="255"/>
      <c r="P832" s="254"/>
      <c r="Q832" s="260"/>
    </row>
    <row r="833">
      <c r="A833" s="254"/>
      <c r="B833" s="255"/>
      <c r="C833" s="256"/>
      <c r="D833" s="257"/>
      <c r="E833" s="258"/>
      <c r="F833" s="259"/>
      <c r="G833" s="258"/>
      <c r="H833" s="255"/>
      <c r="I833" s="255"/>
      <c r="J833" s="260"/>
      <c r="K833" s="255"/>
      <c r="L833" s="258"/>
      <c r="M833" s="258"/>
      <c r="N833" s="255"/>
      <c r="O833" s="255"/>
      <c r="P833" s="254"/>
      <c r="Q833" s="260"/>
    </row>
    <row r="834">
      <c r="A834" s="254"/>
      <c r="B834" s="255"/>
      <c r="C834" s="256"/>
      <c r="D834" s="257"/>
      <c r="E834" s="258"/>
      <c r="F834" s="259"/>
      <c r="G834" s="258"/>
      <c r="H834" s="255"/>
      <c r="I834" s="255"/>
      <c r="J834" s="260"/>
      <c r="K834" s="255"/>
      <c r="L834" s="258"/>
      <c r="M834" s="258"/>
      <c r="N834" s="255"/>
      <c r="O834" s="255"/>
      <c r="P834" s="254"/>
      <c r="Q834" s="260"/>
    </row>
    <row r="835">
      <c r="A835" s="254"/>
      <c r="B835" s="255"/>
      <c r="C835" s="256"/>
      <c r="D835" s="257"/>
      <c r="E835" s="258"/>
      <c r="F835" s="259"/>
      <c r="G835" s="258"/>
      <c r="H835" s="255"/>
      <c r="I835" s="255"/>
      <c r="J835" s="260"/>
      <c r="K835" s="255"/>
      <c r="L835" s="258"/>
      <c r="M835" s="258"/>
      <c r="N835" s="255"/>
      <c r="O835" s="255"/>
      <c r="P835" s="254"/>
      <c r="Q835" s="260"/>
    </row>
    <row r="836">
      <c r="A836" s="254"/>
      <c r="B836" s="255"/>
      <c r="C836" s="256"/>
      <c r="D836" s="257"/>
      <c r="E836" s="258"/>
      <c r="F836" s="259"/>
      <c r="G836" s="258"/>
      <c r="H836" s="255"/>
      <c r="I836" s="255"/>
      <c r="J836" s="260"/>
      <c r="K836" s="255"/>
      <c r="L836" s="258"/>
      <c r="M836" s="258"/>
      <c r="N836" s="255"/>
      <c r="O836" s="255"/>
      <c r="P836" s="254"/>
      <c r="Q836" s="260"/>
    </row>
    <row r="837">
      <c r="A837" s="254"/>
      <c r="B837" s="255"/>
      <c r="C837" s="256"/>
      <c r="D837" s="257"/>
      <c r="E837" s="258"/>
      <c r="F837" s="259"/>
      <c r="G837" s="258"/>
      <c r="H837" s="255"/>
      <c r="I837" s="255"/>
      <c r="J837" s="260"/>
      <c r="K837" s="255"/>
      <c r="L837" s="258"/>
      <c r="M837" s="258"/>
      <c r="N837" s="255"/>
      <c r="O837" s="255"/>
      <c r="P837" s="254"/>
      <c r="Q837" s="260"/>
    </row>
    <row r="838">
      <c r="A838" s="254"/>
      <c r="B838" s="255"/>
      <c r="C838" s="256"/>
      <c r="D838" s="257"/>
      <c r="E838" s="258"/>
      <c r="F838" s="259"/>
      <c r="G838" s="258"/>
      <c r="H838" s="255"/>
      <c r="I838" s="255"/>
      <c r="J838" s="260"/>
      <c r="K838" s="255"/>
      <c r="L838" s="258"/>
      <c r="M838" s="258"/>
      <c r="N838" s="255"/>
      <c r="O838" s="255"/>
      <c r="P838" s="254"/>
      <c r="Q838" s="260"/>
    </row>
    <row r="839">
      <c r="A839" s="254"/>
      <c r="B839" s="255"/>
      <c r="C839" s="256"/>
      <c r="D839" s="257"/>
      <c r="E839" s="258"/>
      <c r="F839" s="259"/>
      <c r="G839" s="258"/>
      <c r="H839" s="255"/>
      <c r="I839" s="255"/>
      <c r="J839" s="260"/>
      <c r="K839" s="255"/>
      <c r="L839" s="258"/>
      <c r="M839" s="258"/>
      <c r="N839" s="255"/>
      <c r="O839" s="255"/>
      <c r="P839" s="254"/>
      <c r="Q839" s="260"/>
    </row>
    <row r="840">
      <c r="A840" s="254"/>
      <c r="B840" s="255"/>
      <c r="C840" s="256"/>
      <c r="D840" s="257"/>
      <c r="E840" s="258"/>
      <c r="F840" s="259"/>
      <c r="G840" s="258"/>
      <c r="H840" s="255"/>
      <c r="I840" s="255"/>
      <c r="J840" s="260"/>
      <c r="K840" s="255"/>
      <c r="L840" s="258"/>
      <c r="M840" s="258"/>
      <c r="N840" s="255"/>
      <c r="O840" s="255"/>
      <c r="P840" s="254"/>
      <c r="Q840" s="260"/>
    </row>
    <row r="841">
      <c r="A841" s="254"/>
      <c r="B841" s="255"/>
      <c r="C841" s="256"/>
      <c r="D841" s="257"/>
      <c r="E841" s="258"/>
      <c r="F841" s="259"/>
      <c r="G841" s="258"/>
      <c r="H841" s="255"/>
      <c r="I841" s="255"/>
      <c r="J841" s="260"/>
      <c r="K841" s="255"/>
      <c r="L841" s="258"/>
      <c r="M841" s="258"/>
      <c r="N841" s="255"/>
      <c r="O841" s="255"/>
      <c r="P841" s="254"/>
      <c r="Q841" s="260"/>
    </row>
    <row r="842">
      <c r="A842" s="254"/>
      <c r="B842" s="255"/>
      <c r="C842" s="256"/>
      <c r="D842" s="257"/>
      <c r="E842" s="258"/>
      <c r="F842" s="259"/>
      <c r="G842" s="258"/>
      <c r="H842" s="255"/>
      <c r="I842" s="255"/>
      <c r="J842" s="260"/>
      <c r="K842" s="255"/>
      <c r="L842" s="258"/>
      <c r="M842" s="258"/>
      <c r="N842" s="255"/>
      <c r="O842" s="255"/>
      <c r="P842" s="254"/>
      <c r="Q842" s="260"/>
    </row>
    <row r="843">
      <c r="A843" s="254"/>
      <c r="B843" s="255"/>
      <c r="C843" s="256"/>
      <c r="D843" s="257"/>
      <c r="E843" s="258"/>
      <c r="F843" s="259"/>
      <c r="G843" s="258"/>
      <c r="H843" s="255"/>
      <c r="I843" s="255"/>
      <c r="J843" s="260"/>
      <c r="K843" s="255"/>
      <c r="L843" s="258"/>
      <c r="M843" s="258"/>
      <c r="N843" s="255"/>
      <c r="O843" s="255"/>
      <c r="P843" s="254"/>
      <c r="Q843" s="260"/>
    </row>
    <row r="844">
      <c r="A844" s="254"/>
      <c r="B844" s="255"/>
      <c r="C844" s="256"/>
      <c r="D844" s="257"/>
      <c r="E844" s="258"/>
      <c r="F844" s="259"/>
      <c r="G844" s="258"/>
      <c r="H844" s="255"/>
      <c r="I844" s="255"/>
      <c r="J844" s="260"/>
      <c r="K844" s="255"/>
      <c r="L844" s="258"/>
      <c r="M844" s="258"/>
      <c r="N844" s="255"/>
      <c r="O844" s="255"/>
      <c r="P844" s="254"/>
      <c r="Q844" s="260"/>
    </row>
    <row r="845">
      <c r="A845" s="254"/>
      <c r="B845" s="255"/>
      <c r="C845" s="256"/>
      <c r="D845" s="257"/>
      <c r="E845" s="258"/>
      <c r="F845" s="259"/>
      <c r="G845" s="258"/>
      <c r="H845" s="255"/>
      <c r="I845" s="255"/>
      <c r="J845" s="260"/>
      <c r="K845" s="255"/>
      <c r="L845" s="258"/>
      <c r="M845" s="258"/>
      <c r="N845" s="255"/>
      <c r="O845" s="255"/>
      <c r="P845" s="254"/>
      <c r="Q845" s="260"/>
    </row>
    <row r="846">
      <c r="A846" s="254"/>
      <c r="B846" s="255"/>
      <c r="C846" s="256"/>
      <c r="D846" s="257"/>
      <c r="E846" s="258"/>
      <c r="F846" s="259"/>
      <c r="G846" s="258"/>
      <c r="H846" s="255"/>
      <c r="I846" s="255"/>
      <c r="J846" s="260"/>
      <c r="K846" s="255"/>
      <c r="L846" s="258"/>
      <c r="M846" s="258"/>
      <c r="N846" s="255"/>
      <c r="O846" s="255"/>
      <c r="P846" s="254"/>
      <c r="Q846" s="260"/>
    </row>
    <row r="847">
      <c r="A847" s="254"/>
      <c r="B847" s="255"/>
      <c r="C847" s="256"/>
      <c r="D847" s="257"/>
      <c r="E847" s="258"/>
      <c r="F847" s="259"/>
      <c r="G847" s="258"/>
      <c r="H847" s="255"/>
      <c r="I847" s="255"/>
      <c r="J847" s="260"/>
      <c r="K847" s="255"/>
      <c r="L847" s="258"/>
      <c r="M847" s="258"/>
      <c r="N847" s="255"/>
      <c r="O847" s="255"/>
      <c r="P847" s="254"/>
      <c r="Q847" s="260"/>
    </row>
    <row r="848">
      <c r="A848" s="254"/>
      <c r="B848" s="255"/>
      <c r="C848" s="256"/>
      <c r="D848" s="257"/>
      <c r="E848" s="258"/>
      <c r="F848" s="259"/>
      <c r="G848" s="258"/>
      <c r="H848" s="255"/>
      <c r="I848" s="255"/>
      <c r="J848" s="260"/>
      <c r="K848" s="255"/>
      <c r="L848" s="258"/>
      <c r="M848" s="258"/>
      <c r="N848" s="255"/>
      <c r="O848" s="255"/>
      <c r="P848" s="254"/>
      <c r="Q848" s="260"/>
    </row>
    <row r="849">
      <c r="A849" s="254"/>
      <c r="B849" s="255"/>
      <c r="C849" s="256"/>
      <c r="D849" s="257"/>
      <c r="E849" s="258"/>
      <c r="F849" s="259"/>
      <c r="G849" s="258"/>
      <c r="H849" s="255"/>
      <c r="I849" s="255"/>
      <c r="J849" s="260"/>
      <c r="K849" s="255"/>
      <c r="L849" s="258"/>
      <c r="M849" s="258"/>
      <c r="N849" s="255"/>
      <c r="O849" s="255"/>
      <c r="P849" s="254"/>
      <c r="Q849" s="260"/>
    </row>
    <row r="850">
      <c r="A850" s="254"/>
      <c r="B850" s="255"/>
      <c r="C850" s="256"/>
      <c r="D850" s="257"/>
      <c r="E850" s="258"/>
      <c r="F850" s="259"/>
      <c r="G850" s="258"/>
      <c r="H850" s="255"/>
      <c r="I850" s="255"/>
      <c r="J850" s="260"/>
      <c r="K850" s="255"/>
      <c r="L850" s="258"/>
      <c r="M850" s="258"/>
      <c r="N850" s="255"/>
      <c r="O850" s="255"/>
      <c r="P850" s="254"/>
      <c r="Q850" s="260"/>
    </row>
    <row r="851">
      <c r="A851" s="254"/>
      <c r="B851" s="255"/>
      <c r="C851" s="256"/>
      <c r="D851" s="257"/>
      <c r="E851" s="258"/>
      <c r="F851" s="259"/>
      <c r="G851" s="258"/>
      <c r="H851" s="255"/>
      <c r="I851" s="255"/>
      <c r="J851" s="260"/>
      <c r="K851" s="255"/>
      <c r="L851" s="258"/>
      <c r="M851" s="258"/>
      <c r="N851" s="255"/>
      <c r="O851" s="255"/>
      <c r="P851" s="254"/>
      <c r="Q851" s="260"/>
    </row>
    <row r="852">
      <c r="A852" s="254"/>
      <c r="B852" s="255"/>
      <c r="C852" s="256"/>
      <c r="D852" s="257"/>
      <c r="E852" s="258"/>
      <c r="F852" s="259"/>
      <c r="G852" s="258"/>
      <c r="H852" s="255"/>
      <c r="I852" s="255"/>
      <c r="J852" s="260"/>
      <c r="K852" s="255"/>
      <c r="L852" s="258"/>
      <c r="M852" s="258"/>
      <c r="N852" s="255"/>
      <c r="O852" s="255"/>
      <c r="P852" s="254"/>
      <c r="Q852" s="260"/>
    </row>
    <row r="853">
      <c r="A853" s="254"/>
      <c r="B853" s="255"/>
      <c r="C853" s="256"/>
      <c r="D853" s="257"/>
      <c r="E853" s="258"/>
      <c r="F853" s="259"/>
      <c r="G853" s="258"/>
      <c r="H853" s="255"/>
      <c r="I853" s="255"/>
      <c r="J853" s="260"/>
      <c r="K853" s="255"/>
      <c r="L853" s="258"/>
      <c r="M853" s="258"/>
      <c r="N853" s="255"/>
      <c r="O853" s="255"/>
      <c r="P853" s="254"/>
      <c r="Q853" s="260"/>
    </row>
    <row r="854">
      <c r="A854" s="254"/>
      <c r="B854" s="255"/>
      <c r="C854" s="256"/>
      <c r="D854" s="257"/>
      <c r="E854" s="258"/>
      <c r="F854" s="259"/>
      <c r="G854" s="258"/>
      <c r="H854" s="255"/>
      <c r="I854" s="255"/>
      <c r="J854" s="260"/>
      <c r="K854" s="255"/>
      <c r="L854" s="258"/>
      <c r="M854" s="258"/>
      <c r="N854" s="255"/>
      <c r="O854" s="255"/>
      <c r="P854" s="254"/>
      <c r="Q854" s="260"/>
    </row>
    <row r="855">
      <c r="A855" s="254"/>
      <c r="B855" s="255"/>
      <c r="C855" s="256"/>
      <c r="D855" s="257"/>
      <c r="E855" s="258"/>
      <c r="F855" s="259"/>
      <c r="G855" s="258"/>
      <c r="H855" s="255"/>
      <c r="I855" s="255"/>
      <c r="J855" s="260"/>
      <c r="K855" s="255"/>
      <c r="L855" s="258"/>
      <c r="M855" s="258"/>
      <c r="N855" s="255"/>
      <c r="O855" s="255"/>
      <c r="P855" s="254"/>
      <c r="Q855" s="260"/>
    </row>
    <row r="856">
      <c r="A856" s="254"/>
      <c r="B856" s="255"/>
      <c r="C856" s="256"/>
      <c r="D856" s="257"/>
      <c r="E856" s="258"/>
      <c r="F856" s="259"/>
      <c r="G856" s="258"/>
      <c r="H856" s="255"/>
      <c r="I856" s="255"/>
      <c r="J856" s="260"/>
      <c r="K856" s="255"/>
      <c r="L856" s="258"/>
      <c r="M856" s="258"/>
      <c r="N856" s="255"/>
      <c r="O856" s="255"/>
      <c r="P856" s="254"/>
      <c r="Q856" s="260"/>
    </row>
    <row r="857">
      <c r="A857" s="254"/>
      <c r="B857" s="255"/>
      <c r="C857" s="256"/>
      <c r="D857" s="257"/>
      <c r="E857" s="258"/>
      <c r="F857" s="259"/>
      <c r="G857" s="258"/>
      <c r="H857" s="255"/>
      <c r="I857" s="255"/>
      <c r="J857" s="260"/>
      <c r="K857" s="255"/>
      <c r="L857" s="258"/>
      <c r="M857" s="258"/>
      <c r="N857" s="255"/>
      <c r="O857" s="255"/>
      <c r="P857" s="254"/>
      <c r="Q857" s="260"/>
    </row>
    <row r="858">
      <c r="A858" s="254"/>
      <c r="B858" s="255"/>
      <c r="C858" s="256"/>
      <c r="D858" s="257"/>
      <c r="E858" s="258"/>
      <c r="F858" s="259"/>
      <c r="G858" s="258"/>
      <c r="H858" s="255"/>
      <c r="I858" s="255"/>
      <c r="J858" s="260"/>
      <c r="K858" s="255"/>
      <c r="L858" s="258"/>
      <c r="M858" s="258"/>
      <c r="N858" s="255"/>
      <c r="O858" s="255"/>
      <c r="P858" s="254"/>
      <c r="Q858" s="260"/>
    </row>
    <row r="859">
      <c r="A859" s="254"/>
      <c r="B859" s="255"/>
      <c r="C859" s="256"/>
      <c r="D859" s="257"/>
      <c r="E859" s="258"/>
      <c r="F859" s="259"/>
      <c r="G859" s="258"/>
      <c r="H859" s="255"/>
      <c r="I859" s="255"/>
      <c r="J859" s="260"/>
      <c r="K859" s="255"/>
      <c r="L859" s="258"/>
      <c r="M859" s="258"/>
      <c r="N859" s="255"/>
      <c r="O859" s="255"/>
      <c r="P859" s="254"/>
      <c r="Q859" s="260"/>
    </row>
    <row r="860">
      <c r="A860" s="254"/>
      <c r="B860" s="255"/>
      <c r="C860" s="256"/>
      <c r="D860" s="257"/>
      <c r="E860" s="258"/>
      <c r="F860" s="259"/>
      <c r="G860" s="258"/>
      <c r="H860" s="255"/>
      <c r="I860" s="255"/>
      <c r="J860" s="260"/>
      <c r="K860" s="255"/>
      <c r="L860" s="258"/>
      <c r="M860" s="258"/>
      <c r="N860" s="255"/>
      <c r="O860" s="255"/>
      <c r="P860" s="254"/>
      <c r="Q860" s="260"/>
    </row>
    <row r="861">
      <c r="A861" s="254"/>
      <c r="B861" s="255"/>
      <c r="C861" s="256"/>
      <c r="D861" s="257"/>
      <c r="E861" s="258"/>
      <c r="F861" s="259"/>
      <c r="G861" s="258"/>
      <c r="H861" s="255"/>
      <c r="I861" s="255"/>
      <c r="J861" s="260"/>
      <c r="K861" s="255"/>
      <c r="L861" s="258"/>
      <c r="M861" s="258"/>
      <c r="N861" s="255"/>
      <c r="O861" s="255"/>
      <c r="P861" s="254"/>
      <c r="Q861" s="260"/>
    </row>
    <row r="862">
      <c r="A862" s="254"/>
      <c r="B862" s="255"/>
      <c r="C862" s="256"/>
      <c r="D862" s="257"/>
      <c r="E862" s="258"/>
      <c r="F862" s="259"/>
      <c r="G862" s="258"/>
      <c r="H862" s="255"/>
      <c r="I862" s="255"/>
      <c r="J862" s="260"/>
      <c r="K862" s="255"/>
      <c r="L862" s="258"/>
      <c r="M862" s="258"/>
      <c r="N862" s="255"/>
      <c r="O862" s="255"/>
      <c r="P862" s="254"/>
      <c r="Q862" s="260"/>
    </row>
    <row r="863">
      <c r="A863" s="254"/>
      <c r="B863" s="255"/>
      <c r="C863" s="256"/>
      <c r="D863" s="257"/>
      <c r="E863" s="258"/>
      <c r="F863" s="259"/>
      <c r="G863" s="258"/>
      <c r="H863" s="255"/>
      <c r="I863" s="255"/>
      <c r="J863" s="260"/>
      <c r="K863" s="255"/>
      <c r="L863" s="258"/>
      <c r="M863" s="258"/>
      <c r="N863" s="255"/>
      <c r="O863" s="255"/>
      <c r="P863" s="254"/>
      <c r="Q863" s="260"/>
    </row>
    <row r="864">
      <c r="A864" s="254"/>
      <c r="B864" s="255"/>
      <c r="C864" s="256"/>
      <c r="D864" s="257"/>
      <c r="E864" s="258"/>
      <c r="F864" s="259"/>
      <c r="G864" s="258"/>
      <c r="H864" s="255"/>
      <c r="I864" s="255"/>
      <c r="J864" s="260"/>
      <c r="K864" s="255"/>
      <c r="L864" s="258"/>
      <c r="M864" s="258"/>
      <c r="N864" s="255"/>
      <c r="O864" s="255"/>
      <c r="P864" s="254"/>
      <c r="Q864" s="260"/>
    </row>
    <row r="865">
      <c r="A865" s="254"/>
      <c r="B865" s="255"/>
      <c r="C865" s="256"/>
      <c r="D865" s="257"/>
      <c r="E865" s="258"/>
      <c r="F865" s="259"/>
      <c r="G865" s="258"/>
      <c r="H865" s="255"/>
      <c r="I865" s="255"/>
      <c r="J865" s="260"/>
      <c r="K865" s="255"/>
      <c r="L865" s="258"/>
      <c r="M865" s="258"/>
      <c r="N865" s="255"/>
      <c r="O865" s="255"/>
      <c r="P865" s="254"/>
      <c r="Q865" s="260"/>
    </row>
    <row r="866">
      <c r="A866" s="254"/>
      <c r="B866" s="255"/>
      <c r="C866" s="256"/>
      <c r="D866" s="257"/>
      <c r="E866" s="258"/>
      <c r="F866" s="259"/>
      <c r="G866" s="258"/>
      <c r="H866" s="255"/>
      <c r="I866" s="255"/>
      <c r="J866" s="260"/>
      <c r="K866" s="255"/>
      <c r="L866" s="258"/>
      <c r="M866" s="258"/>
      <c r="N866" s="255"/>
      <c r="O866" s="255"/>
      <c r="P866" s="254"/>
      <c r="Q866" s="260"/>
    </row>
    <row r="867">
      <c r="A867" s="254"/>
      <c r="B867" s="255"/>
      <c r="C867" s="256"/>
      <c r="D867" s="257"/>
      <c r="E867" s="258"/>
      <c r="F867" s="259"/>
      <c r="G867" s="258"/>
      <c r="H867" s="255"/>
      <c r="I867" s="255"/>
      <c r="J867" s="260"/>
      <c r="K867" s="255"/>
      <c r="L867" s="258"/>
      <c r="M867" s="258"/>
      <c r="N867" s="255"/>
      <c r="O867" s="255"/>
      <c r="P867" s="254"/>
      <c r="Q867" s="260"/>
    </row>
    <row r="868">
      <c r="A868" s="254"/>
      <c r="B868" s="255"/>
      <c r="C868" s="256"/>
      <c r="D868" s="257"/>
      <c r="E868" s="258"/>
      <c r="F868" s="259"/>
      <c r="G868" s="258"/>
      <c r="H868" s="255"/>
      <c r="I868" s="255"/>
      <c r="J868" s="260"/>
      <c r="K868" s="255"/>
      <c r="L868" s="258"/>
      <c r="M868" s="258"/>
      <c r="N868" s="255"/>
      <c r="O868" s="255"/>
      <c r="P868" s="254"/>
      <c r="Q868" s="260"/>
    </row>
    <row r="869">
      <c r="A869" s="254"/>
      <c r="B869" s="255"/>
      <c r="C869" s="256"/>
      <c r="D869" s="257"/>
      <c r="E869" s="258"/>
      <c r="F869" s="259"/>
      <c r="G869" s="258"/>
      <c r="H869" s="255"/>
      <c r="I869" s="255"/>
      <c r="J869" s="260"/>
      <c r="K869" s="255"/>
      <c r="L869" s="258"/>
      <c r="M869" s="258"/>
      <c r="N869" s="255"/>
      <c r="O869" s="255"/>
      <c r="P869" s="254"/>
      <c r="Q869" s="260"/>
    </row>
    <row r="870">
      <c r="A870" s="254"/>
      <c r="B870" s="255"/>
      <c r="C870" s="256"/>
      <c r="D870" s="257"/>
      <c r="E870" s="258"/>
      <c r="F870" s="259"/>
      <c r="G870" s="258"/>
      <c r="H870" s="255"/>
      <c r="I870" s="255"/>
      <c r="J870" s="260"/>
      <c r="K870" s="255"/>
      <c r="L870" s="258"/>
      <c r="M870" s="258"/>
      <c r="N870" s="255"/>
      <c r="O870" s="255"/>
      <c r="P870" s="254"/>
      <c r="Q870" s="260"/>
    </row>
    <row r="871">
      <c r="A871" s="254"/>
      <c r="B871" s="255"/>
      <c r="C871" s="256"/>
      <c r="D871" s="257"/>
      <c r="E871" s="258"/>
      <c r="F871" s="259"/>
      <c r="G871" s="258"/>
      <c r="H871" s="255"/>
      <c r="I871" s="255"/>
      <c r="J871" s="260"/>
      <c r="K871" s="255"/>
      <c r="L871" s="258"/>
      <c r="M871" s="258"/>
      <c r="N871" s="255"/>
      <c r="O871" s="255"/>
      <c r="P871" s="254"/>
      <c r="Q871" s="260"/>
    </row>
    <row r="872">
      <c r="A872" s="254"/>
      <c r="B872" s="255"/>
      <c r="C872" s="256"/>
      <c r="D872" s="257"/>
      <c r="E872" s="258"/>
      <c r="F872" s="259"/>
      <c r="G872" s="258"/>
      <c r="H872" s="255"/>
      <c r="I872" s="255"/>
      <c r="J872" s="260"/>
      <c r="K872" s="255"/>
      <c r="L872" s="258"/>
      <c r="M872" s="258"/>
      <c r="N872" s="255"/>
      <c r="O872" s="255"/>
      <c r="P872" s="254"/>
      <c r="Q872" s="260"/>
    </row>
    <row r="873">
      <c r="A873" s="254"/>
      <c r="B873" s="255"/>
      <c r="C873" s="256"/>
      <c r="D873" s="257"/>
      <c r="E873" s="258"/>
      <c r="F873" s="259"/>
      <c r="G873" s="258"/>
      <c r="H873" s="255"/>
      <c r="I873" s="255"/>
      <c r="J873" s="260"/>
      <c r="K873" s="255"/>
      <c r="L873" s="258"/>
      <c r="M873" s="258"/>
      <c r="N873" s="255"/>
      <c r="O873" s="255"/>
      <c r="P873" s="254"/>
      <c r="Q873" s="260"/>
    </row>
    <row r="874">
      <c r="A874" s="254"/>
      <c r="B874" s="255"/>
      <c r="C874" s="256"/>
      <c r="D874" s="257"/>
      <c r="E874" s="258"/>
      <c r="F874" s="259"/>
      <c r="G874" s="258"/>
      <c r="H874" s="255"/>
      <c r="I874" s="255"/>
      <c r="J874" s="260"/>
      <c r="K874" s="255"/>
      <c r="L874" s="258"/>
      <c r="M874" s="258"/>
      <c r="N874" s="255"/>
      <c r="O874" s="255"/>
      <c r="P874" s="254"/>
      <c r="Q874" s="260"/>
    </row>
    <row r="875">
      <c r="A875" s="254"/>
      <c r="B875" s="255"/>
      <c r="C875" s="256"/>
      <c r="D875" s="257"/>
      <c r="E875" s="258"/>
      <c r="F875" s="259"/>
      <c r="G875" s="258"/>
      <c r="H875" s="255"/>
      <c r="I875" s="255"/>
      <c r="J875" s="260"/>
      <c r="K875" s="255"/>
      <c r="L875" s="258"/>
      <c r="M875" s="258"/>
      <c r="N875" s="255"/>
      <c r="O875" s="255"/>
      <c r="P875" s="254"/>
      <c r="Q875" s="260"/>
    </row>
    <row r="876">
      <c r="A876" s="254"/>
      <c r="B876" s="255"/>
      <c r="C876" s="256"/>
      <c r="D876" s="257"/>
      <c r="E876" s="258"/>
      <c r="F876" s="259"/>
      <c r="G876" s="258"/>
      <c r="H876" s="255"/>
      <c r="I876" s="255"/>
      <c r="J876" s="260"/>
      <c r="K876" s="255"/>
      <c r="L876" s="258"/>
      <c r="M876" s="258"/>
      <c r="N876" s="255"/>
      <c r="O876" s="255"/>
      <c r="P876" s="254"/>
      <c r="Q876" s="260"/>
    </row>
    <row r="877">
      <c r="A877" s="254"/>
      <c r="B877" s="255"/>
      <c r="C877" s="256"/>
      <c r="D877" s="257"/>
      <c r="E877" s="258"/>
      <c r="F877" s="259"/>
      <c r="G877" s="258"/>
      <c r="H877" s="255"/>
      <c r="I877" s="255"/>
      <c r="J877" s="260"/>
      <c r="K877" s="255"/>
      <c r="L877" s="258"/>
      <c r="M877" s="258"/>
      <c r="N877" s="255"/>
      <c r="O877" s="255"/>
      <c r="P877" s="254"/>
      <c r="Q877" s="260"/>
    </row>
    <row r="878">
      <c r="A878" s="254"/>
      <c r="B878" s="255"/>
      <c r="C878" s="256"/>
      <c r="D878" s="257"/>
      <c r="E878" s="258"/>
      <c r="F878" s="259"/>
      <c r="G878" s="258"/>
      <c r="H878" s="255"/>
      <c r="I878" s="255"/>
      <c r="J878" s="260"/>
      <c r="K878" s="255"/>
      <c r="L878" s="258"/>
      <c r="M878" s="258"/>
      <c r="N878" s="255"/>
      <c r="O878" s="255"/>
      <c r="P878" s="254"/>
      <c r="Q878" s="260"/>
    </row>
    <row r="879">
      <c r="A879" s="254"/>
      <c r="B879" s="255"/>
      <c r="C879" s="256"/>
      <c r="D879" s="257"/>
      <c r="E879" s="258"/>
      <c r="F879" s="259"/>
      <c r="G879" s="258"/>
      <c r="H879" s="255"/>
      <c r="I879" s="255"/>
      <c r="J879" s="260"/>
      <c r="K879" s="255"/>
      <c r="L879" s="258"/>
      <c r="M879" s="258"/>
      <c r="N879" s="255"/>
      <c r="O879" s="255"/>
      <c r="P879" s="254"/>
      <c r="Q879" s="260"/>
    </row>
    <row r="880">
      <c r="A880" s="254"/>
      <c r="B880" s="255"/>
      <c r="C880" s="256"/>
      <c r="D880" s="257"/>
      <c r="E880" s="258"/>
      <c r="F880" s="259"/>
      <c r="G880" s="258"/>
      <c r="H880" s="255"/>
      <c r="I880" s="255"/>
      <c r="J880" s="260"/>
      <c r="K880" s="255"/>
      <c r="L880" s="258"/>
      <c r="M880" s="258"/>
      <c r="N880" s="255"/>
      <c r="O880" s="255"/>
      <c r="P880" s="254"/>
      <c r="Q880" s="260"/>
    </row>
    <row r="881">
      <c r="A881" s="254"/>
      <c r="B881" s="255"/>
      <c r="C881" s="256"/>
      <c r="D881" s="257"/>
      <c r="E881" s="258"/>
      <c r="F881" s="259"/>
      <c r="G881" s="258"/>
      <c r="H881" s="255"/>
      <c r="I881" s="255"/>
      <c r="J881" s="260"/>
      <c r="K881" s="255"/>
      <c r="L881" s="258"/>
      <c r="M881" s="258"/>
      <c r="N881" s="255"/>
      <c r="O881" s="255"/>
      <c r="P881" s="254"/>
      <c r="Q881" s="260"/>
    </row>
    <row r="882">
      <c r="A882" s="254"/>
      <c r="B882" s="255"/>
      <c r="C882" s="256"/>
      <c r="D882" s="257"/>
      <c r="E882" s="258"/>
      <c r="F882" s="259"/>
      <c r="G882" s="258"/>
      <c r="H882" s="255"/>
      <c r="I882" s="255"/>
      <c r="J882" s="260"/>
      <c r="K882" s="255"/>
      <c r="L882" s="258"/>
      <c r="M882" s="258"/>
      <c r="N882" s="255"/>
      <c r="O882" s="255"/>
      <c r="P882" s="254"/>
      <c r="Q882" s="260"/>
    </row>
    <row r="883">
      <c r="A883" s="254"/>
      <c r="B883" s="255"/>
      <c r="C883" s="256"/>
      <c r="D883" s="257"/>
      <c r="E883" s="258"/>
      <c r="F883" s="259"/>
      <c r="G883" s="258"/>
      <c r="H883" s="255"/>
      <c r="I883" s="255"/>
      <c r="J883" s="260"/>
      <c r="K883" s="255"/>
      <c r="L883" s="258"/>
      <c r="M883" s="258"/>
      <c r="N883" s="255"/>
      <c r="O883" s="255"/>
      <c r="P883" s="254"/>
      <c r="Q883" s="260"/>
    </row>
    <row r="884">
      <c r="A884" s="254"/>
      <c r="B884" s="255"/>
      <c r="C884" s="256"/>
      <c r="D884" s="257"/>
      <c r="E884" s="258"/>
      <c r="F884" s="259"/>
      <c r="G884" s="258"/>
      <c r="H884" s="255"/>
      <c r="I884" s="255"/>
      <c r="J884" s="260"/>
      <c r="K884" s="255"/>
      <c r="L884" s="258"/>
      <c r="M884" s="258"/>
      <c r="N884" s="255"/>
      <c r="O884" s="255"/>
      <c r="P884" s="254"/>
      <c r="Q884" s="260"/>
    </row>
    <row r="885">
      <c r="A885" s="254"/>
      <c r="B885" s="255"/>
      <c r="C885" s="256"/>
      <c r="D885" s="257"/>
      <c r="E885" s="258"/>
      <c r="F885" s="259"/>
      <c r="G885" s="258"/>
      <c r="H885" s="255"/>
      <c r="I885" s="255"/>
      <c r="J885" s="260"/>
      <c r="K885" s="255"/>
      <c r="L885" s="258"/>
      <c r="M885" s="258"/>
      <c r="N885" s="255"/>
      <c r="O885" s="255"/>
      <c r="P885" s="254"/>
      <c r="Q885" s="260"/>
    </row>
    <row r="886">
      <c r="A886" s="254"/>
      <c r="B886" s="255"/>
      <c r="C886" s="256"/>
      <c r="D886" s="257"/>
      <c r="E886" s="258"/>
      <c r="F886" s="259"/>
      <c r="G886" s="258"/>
      <c r="H886" s="255"/>
      <c r="I886" s="255"/>
      <c r="J886" s="260"/>
      <c r="K886" s="255"/>
      <c r="L886" s="258"/>
      <c r="M886" s="258"/>
      <c r="N886" s="255"/>
      <c r="O886" s="255"/>
      <c r="P886" s="254"/>
      <c r="Q886" s="260"/>
    </row>
    <row r="887">
      <c r="A887" s="254"/>
      <c r="B887" s="255"/>
      <c r="C887" s="256"/>
      <c r="D887" s="257"/>
      <c r="E887" s="258"/>
      <c r="F887" s="259"/>
      <c r="G887" s="258"/>
      <c r="H887" s="255"/>
      <c r="I887" s="255"/>
      <c r="J887" s="260"/>
      <c r="K887" s="255"/>
      <c r="L887" s="258"/>
      <c r="M887" s="258"/>
      <c r="N887" s="255"/>
      <c r="O887" s="255"/>
      <c r="P887" s="254"/>
      <c r="Q887" s="260"/>
    </row>
    <row r="888">
      <c r="A888" s="254"/>
      <c r="B888" s="255"/>
      <c r="C888" s="256"/>
      <c r="D888" s="257"/>
      <c r="E888" s="258"/>
      <c r="F888" s="259"/>
      <c r="G888" s="258"/>
      <c r="H888" s="255"/>
      <c r="I888" s="255"/>
      <c r="J888" s="260"/>
      <c r="K888" s="255"/>
      <c r="L888" s="258"/>
      <c r="M888" s="258"/>
      <c r="N888" s="255"/>
      <c r="O888" s="255"/>
      <c r="P888" s="254"/>
      <c r="Q888" s="260"/>
    </row>
    <row r="889">
      <c r="A889" s="254"/>
      <c r="B889" s="255"/>
      <c r="C889" s="256"/>
      <c r="D889" s="257"/>
      <c r="E889" s="258"/>
      <c r="F889" s="259"/>
      <c r="G889" s="258"/>
      <c r="H889" s="255"/>
      <c r="I889" s="255"/>
      <c r="J889" s="260"/>
      <c r="K889" s="255"/>
      <c r="L889" s="258"/>
      <c r="M889" s="258"/>
      <c r="N889" s="255"/>
      <c r="O889" s="255"/>
      <c r="P889" s="254"/>
      <c r="Q889" s="260"/>
    </row>
    <row r="890">
      <c r="A890" s="254"/>
      <c r="B890" s="255"/>
      <c r="C890" s="256"/>
      <c r="D890" s="257"/>
      <c r="E890" s="258"/>
      <c r="F890" s="259"/>
      <c r="G890" s="258"/>
      <c r="H890" s="255"/>
      <c r="I890" s="255"/>
      <c r="J890" s="260"/>
      <c r="K890" s="255"/>
      <c r="L890" s="258"/>
      <c r="M890" s="258"/>
      <c r="N890" s="255"/>
      <c r="O890" s="255"/>
      <c r="P890" s="254"/>
      <c r="Q890" s="260"/>
    </row>
    <row r="891">
      <c r="A891" s="254"/>
      <c r="B891" s="255"/>
      <c r="C891" s="256"/>
      <c r="D891" s="257"/>
      <c r="E891" s="258"/>
      <c r="F891" s="259"/>
      <c r="G891" s="258"/>
      <c r="H891" s="255"/>
      <c r="I891" s="255"/>
      <c r="J891" s="260"/>
      <c r="K891" s="255"/>
      <c r="L891" s="258"/>
      <c r="M891" s="258"/>
      <c r="N891" s="255"/>
      <c r="O891" s="255"/>
      <c r="P891" s="254"/>
      <c r="Q891" s="260"/>
    </row>
    <row r="892">
      <c r="A892" s="254"/>
      <c r="B892" s="255"/>
      <c r="C892" s="256"/>
      <c r="D892" s="257"/>
      <c r="E892" s="258"/>
      <c r="F892" s="259"/>
      <c r="G892" s="258"/>
      <c r="H892" s="255"/>
      <c r="I892" s="255"/>
      <c r="J892" s="260"/>
      <c r="K892" s="255"/>
      <c r="L892" s="258"/>
      <c r="M892" s="258"/>
      <c r="N892" s="255"/>
      <c r="O892" s="255"/>
      <c r="P892" s="254"/>
      <c r="Q892" s="260"/>
    </row>
    <row r="893">
      <c r="A893" s="254"/>
      <c r="B893" s="255"/>
      <c r="C893" s="256"/>
      <c r="D893" s="257"/>
      <c r="E893" s="258"/>
      <c r="F893" s="259"/>
      <c r="G893" s="258"/>
      <c r="H893" s="255"/>
      <c r="I893" s="255"/>
      <c r="J893" s="260"/>
      <c r="K893" s="255"/>
      <c r="L893" s="258"/>
      <c r="M893" s="258"/>
      <c r="N893" s="255"/>
      <c r="O893" s="255"/>
      <c r="P893" s="254"/>
      <c r="Q893" s="260"/>
    </row>
    <row r="894">
      <c r="A894" s="254"/>
      <c r="B894" s="255"/>
      <c r="C894" s="256"/>
      <c r="D894" s="257"/>
      <c r="E894" s="258"/>
      <c r="F894" s="259"/>
      <c r="G894" s="258"/>
      <c r="H894" s="255"/>
      <c r="I894" s="255"/>
      <c r="J894" s="260"/>
      <c r="K894" s="255"/>
      <c r="L894" s="258"/>
      <c r="M894" s="258"/>
      <c r="N894" s="255"/>
      <c r="O894" s="255"/>
      <c r="P894" s="254"/>
      <c r="Q894" s="260"/>
    </row>
    <row r="895">
      <c r="A895" s="254"/>
      <c r="B895" s="255"/>
      <c r="C895" s="256"/>
      <c r="D895" s="257"/>
      <c r="E895" s="258"/>
      <c r="F895" s="259"/>
      <c r="G895" s="258"/>
      <c r="H895" s="255"/>
      <c r="I895" s="255"/>
      <c r="J895" s="260"/>
      <c r="K895" s="255"/>
      <c r="L895" s="258"/>
      <c r="M895" s="258"/>
      <c r="N895" s="255"/>
      <c r="O895" s="255"/>
      <c r="P895" s="254"/>
      <c r="Q895" s="260"/>
    </row>
    <row r="896">
      <c r="A896" s="254"/>
      <c r="B896" s="255"/>
      <c r="C896" s="256"/>
      <c r="D896" s="257"/>
      <c r="E896" s="258"/>
      <c r="F896" s="259"/>
      <c r="G896" s="258"/>
      <c r="H896" s="255"/>
      <c r="I896" s="255"/>
      <c r="J896" s="260"/>
      <c r="K896" s="255"/>
      <c r="L896" s="258"/>
      <c r="M896" s="258"/>
      <c r="N896" s="255"/>
      <c r="O896" s="255"/>
      <c r="P896" s="254"/>
      <c r="Q896" s="260"/>
    </row>
    <row r="897">
      <c r="A897" s="254"/>
      <c r="B897" s="255"/>
      <c r="C897" s="256"/>
      <c r="D897" s="257"/>
      <c r="E897" s="258"/>
      <c r="F897" s="259"/>
      <c r="G897" s="258"/>
      <c r="H897" s="255"/>
      <c r="I897" s="255"/>
      <c r="J897" s="260"/>
      <c r="K897" s="255"/>
      <c r="L897" s="258"/>
      <c r="M897" s="258"/>
      <c r="N897" s="255"/>
      <c r="O897" s="255"/>
      <c r="P897" s="254"/>
      <c r="Q897" s="260"/>
    </row>
    <row r="898">
      <c r="A898" s="254"/>
      <c r="B898" s="255"/>
      <c r="C898" s="256"/>
      <c r="D898" s="257"/>
      <c r="E898" s="258"/>
      <c r="F898" s="259"/>
      <c r="G898" s="258"/>
      <c r="H898" s="255"/>
      <c r="I898" s="255"/>
      <c r="J898" s="260"/>
      <c r="K898" s="255"/>
      <c r="L898" s="258"/>
      <c r="M898" s="258"/>
      <c r="N898" s="255"/>
      <c r="O898" s="255"/>
      <c r="P898" s="254"/>
      <c r="Q898" s="260"/>
    </row>
    <row r="899">
      <c r="A899" s="254"/>
      <c r="B899" s="255"/>
      <c r="C899" s="256"/>
      <c r="D899" s="257"/>
      <c r="E899" s="258"/>
      <c r="F899" s="259"/>
      <c r="G899" s="258"/>
      <c r="H899" s="255"/>
      <c r="I899" s="255"/>
      <c r="J899" s="260"/>
      <c r="K899" s="255"/>
      <c r="L899" s="258"/>
      <c r="M899" s="258"/>
      <c r="N899" s="255"/>
      <c r="O899" s="255"/>
      <c r="P899" s="254"/>
      <c r="Q899" s="260"/>
    </row>
    <row r="900">
      <c r="A900" s="254"/>
      <c r="B900" s="255"/>
      <c r="C900" s="256"/>
      <c r="D900" s="257"/>
      <c r="E900" s="258"/>
      <c r="F900" s="259"/>
      <c r="G900" s="258"/>
      <c r="H900" s="255"/>
      <c r="I900" s="255"/>
      <c r="J900" s="260"/>
      <c r="K900" s="255"/>
      <c r="L900" s="258"/>
      <c r="M900" s="258"/>
      <c r="N900" s="255"/>
      <c r="O900" s="255"/>
      <c r="P900" s="254"/>
      <c r="Q900" s="260"/>
    </row>
    <row r="901">
      <c r="A901" s="254"/>
      <c r="B901" s="255"/>
      <c r="C901" s="256"/>
      <c r="D901" s="257"/>
      <c r="E901" s="258"/>
      <c r="F901" s="259"/>
      <c r="G901" s="258"/>
      <c r="H901" s="255"/>
      <c r="I901" s="255"/>
      <c r="J901" s="260"/>
      <c r="K901" s="255"/>
      <c r="L901" s="258"/>
      <c r="M901" s="258"/>
      <c r="N901" s="255"/>
      <c r="O901" s="255"/>
      <c r="P901" s="254"/>
      <c r="Q901" s="260"/>
    </row>
    <row r="902">
      <c r="A902" s="254"/>
      <c r="B902" s="255"/>
      <c r="C902" s="256"/>
      <c r="D902" s="257"/>
      <c r="E902" s="258"/>
      <c r="F902" s="259"/>
      <c r="G902" s="258"/>
      <c r="H902" s="255"/>
      <c r="I902" s="255"/>
      <c r="J902" s="260"/>
      <c r="K902" s="255"/>
      <c r="L902" s="258"/>
      <c r="M902" s="258"/>
      <c r="N902" s="255"/>
      <c r="O902" s="255"/>
      <c r="P902" s="254"/>
      <c r="Q902" s="260"/>
    </row>
    <row r="903">
      <c r="A903" s="254"/>
      <c r="B903" s="255"/>
      <c r="C903" s="256"/>
      <c r="D903" s="257"/>
      <c r="E903" s="258"/>
      <c r="F903" s="259"/>
      <c r="G903" s="258"/>
      <c r="H903" s="255"/>
      <c r="I903" s="255"/>
      <c r="J903" s="260"/>
      <c r="K903" s="255"/>
      <c r="L903" s="258"/>
      <c r="M903" s="258"/>
      <c r="N903" s="255"/>
      <c r="O903" s="255"/>
      <c r="P903" s="254"/>
      <c r="Q903" s="260"/>
    </row>
    <row r="904">
      <c r="A904" s="254"/>
      <c r="B904" s="255"/>
      <c r="C904" s="256"/>
      <c r="D904" s="257"/>
      <c r="E904" s="258"/>
      <c r="F904" s="259"/>
      <c r="G904" s="258"/>
      <c r="H904" s="255"/>
      <c r="I904" s="255"/>
      <c r="J904" s="260"/>
      <c r="K904" s="255"/>
      <c r="L904" s="258"/>
      <c r="M904" s="258"/>
      <c r="N904" s="255"/>
      <c r="O904" s="255"/>
      <c r="P904" s="254"/>
      <c r="Q904" s="260"/>
    </row>
    <row r="905">
      <c r="A905" s="254"/>
      <c r="B905" s="255"/>
      <c r="C905" s="256"/>
      <c r="D905" s="257"/>
      <c r="E905" s="258"/>
      <c r="F905" s="259"/>
      <c r="G905" s="258"/>
      <c r="H905" s="255"/>
      <c r="I905" s="255"/>
      <c r="J905" s="260"/>
      <c r="K905" s="255"/>
      <c r="L905" s="258"/>
      <c r="M905" s="258"/>
      <c r="N905" s="255"/>
      <c r="O905" s="255"/>
      <c r="P905" s="254"/>
      <c r="Q905" s="260"/>
    </row>
    <row r="906">
      <c r="A906" s="254"/>
      <c r="B906" s="255"/>
      <c r="C906" s="256"/>
      <c r="D906" s="257"/>
      <c r="E906" s="258"/>
      <c r="F906" s="259"/>
      <c r="G906" s="258"/>
      <c r="H906" s="255"/>
      <c r="I906" s="255"/>
      <c r="J906" s="260"/>
      <c r="K906" s="255"/>
      <c r="L906" s="258"/>
      <c r="M906" s="258"/>
      <c r="N906" s="255"/>
      <c r="O906" s="255"/>
      <c r="P906" s="254"/>
      <c r="Q906" s="260"/>
    </row>
    <row r="907">
      <c r="A907" s="254"/>
      <c r="B907" s="255"/>
      <c r="C907" s="256"/>
      <c r="D907" s="257"/>
      <c r="E907" s="258"/>
      <c r="F907" s="259"/>
      <c r="G907" s="258"/>
      <c r="H907" s="255"/>
      <c r="I907" s="255"/>
      <c r="J907" s="260"/>
      <c r="K907" s="255"/>
      <c r="L907" s="258"/>
      <c r="M907" s="258"/>
      <c r="N907" s="255"/>
      <c r="O907" s="255"/>
      <c r="P907" s="254"/>
      <c r="Q907" s="260"/>
    </row>
    <row r="908">
      <c r="A908" s="254"/>
      <c r="B908" s="255"/>
      <c r="C908" s="256"/>
      <c r="D908" s="257"/>
      <c r="E908" s="258"/>
      <c r="F908" s="259"/>
      <c r="G908" s="258"/>
      <c r="H908" s="255"/>
      <c r="I908" s="255"/>
      <c r="J908" s="260"/>
      <c r="K908" s="255"/>
      <c r="L908" s="258"/>
      <c r="M908" s="258"/>
      <c r="N908" s="255"/>
      <c r="O908" s="255"/>
      <c r="P908" s="254"/>
      <c r="Q908" s="260"/>
    </row>
    <row r="909">
      <c r="A909" s="254"/>
      <c r="B909" s="255"/>
      <c r="C909" s="256"/>
      <c r="D909" s="257"/>
      <c r="E909" s="258"/>
      <c r="F909" s="259"/>
      <c r="G909" s="258"/>
      <c r="H909" s="255"/>
      <c r="I909" s="255"/>
      <c r="J909" s="260"/>
      <c r="K909" s="255"/>
      <c r="L909" s="258"/>
      <c r="M909" s="258"/>
      <c r="N909" s="255"/>
      <c r="O909" s="255"/>
      <c r="P909" s="254"/>
      <c r="Q909" s="260"/>
    </row>
    <row r="910">
      <c r="A910" s="254"/>
      <c r="B910" s="255"/>
      <c r="C910" s="256"/>
      <c r="D910" s="257"/>
      <c r="E910" s="258"/>
      <c r="F910" s="259"/>
      <c r="G910" s="258"/>
      <c r="H910" s="255"/>
      <c r="I910" s="254"/>
      <c r="J910" s="261"/>
      <c r="K910" s="254"/>
      <c r="L910" s="258"/>
      <c r="M910" s="258"/>
      <c r="N910" s="255"/>
      <c r="O910" s="255"/>
      <c r="P910" s="254"/>
      <c r="Q910" s="260"/>
    </row>
    <row r="911">
      <c r="A911" s="254"/>
      <c r="B911" s="255"/>
      <c r="C911" s="256"/>
      <c r="D911" s="257"/>
      <c r="E911" s="258"/>
      <c r="F911" s="259"/>
      <c r="G911" s="258"/>
      <c r="H911" s="255"/>
      <c r="I911" s="254"/>
      <c r="J911" s="261"/>
      <c r="K911" s="254"/>
      <c r="L911" s="258"/>
      <c r="M911" s="258"/>
      <c r="N911" s="255"/>
      <c r="O911" s="255"/>
      <c r="P911" s="254"/>
      <c r="Q911" s="260"/>
    </row>
    <row r="912">
      <c r="A912" s="254"/>
      <c r="B912" s="255"/>
      <c r="C912" s="256"/>
      <c r="D912" s="257"/>
      <c r="E912" s="258"/>
      <c r="F912" s="259"/>
      <c r="G912" s="258"/>
      <c r="H912" s="255"/>
      <c r="I912" s="254"/>
      <c r="J912" s="261"/>
      <c r="K912" s="254"/>
      <c r="L912" s="258"/>
      <c r="M912" s="258"/>
      <c r="N912" s="255"/>
      <c r="O912" s="255"/>
      <c r="P912" s="254"/>
      <c r="Q912" s="260"/>
    </row>
    <row r="913">
      <c r="A913" s="254"/>
      <c r="B913" s="255"/>
      <c r="C913" s="256"/>
      <c r="D913" s="257"/>
      <c r="E913" s="258"/>
      <c r="F913" s="259"/>
      <c r="G913" s="258"/>
      <c r="H913" s="255"/>
      <c r="I913" s="254"/>
      <c r="J913" s="261"/>
      <c r="K913" s="254"/>
      <c r="L913" s="258"/>
      <c r="M913" s="258"/>
      <c r="N913" s="255"/>
      <c r="O913" s="255"/>
      <c r="P913" s="254"/>
      <c r="Q913" s="260"/>
    </row>
    <row r="914">
      <c r="A914" s="254"/>
      <c r="B914" s="255"/>
      <c r="C914" s="256"/>
      <c r="D914" s="257"/>
      <c r="E914" s="258"/>
      <c r="F914" s="259"/>
      <c r="G914" s="258"/>
      <c r="H914" s="255"/>
      <c r="I914" s="254"/>
      <c r="J914" s="261"/>
      <c r="K914" s="254"/>
      <c r="L914" s="258"/>
      <c r="M914" s="258"/>
      <c r="N914" s="255"/>
      <c r="O914" s="255"/>
      <c r="P914" s="254"/>
      <c r="Q914" s="260"/>
    </row>
    <row r="915">
      <c r="A915" s="254"/>
      <c r="B915" s="255"/>
      <c r="C915" s="256"/>
      <c r="D915" s="257"/>
      <c r="E915" s="258"/>
      <c r="F915" s="259"/>
      <c r="G915" s="258"/>
      <c r="H915" s="255"/>
      <c r="I915" s="254"/>
      <c r="J915" s="261"/>
      <c r="K915" s="254"/>
      <c r="L915" s="258"/>
      <c r="M915" s="258"/>
      <c r="N915" s="255"/>
      <c r="O915" s="255"/>
      <c r="P915" s="254"/>
      <c r="Q915" s="260"/>
    </row>
    <row r="916">
      <c r="A916" s="254"/>
      <c r="B916" s="255"/>
      <c r="C916" s="256"/>
      <c r="D916" s="257"/>
      <c r="E916" s="258"/>
      <c r="F916" s="259"/>
      <c r="G916" s="258"/>
      <c r="H916" s="255"/>
      <c r="I916" s="254"/>
      <c r="J916" s="261"/>
      <c r="K916" s="254"/>
      <c r="L916" s="258"/>
      <c r="M916" s="258"/>
      <c r="N916" s="255"/>
      <c r="O916" s="255"/>
      <c r="P916" s="254"/>
      <c r="Q916" s="260"/>
    </row>
    <row r="917">
      <c r="A917" s="254"/>
      <c r="B917" s="255"/>
      <c r="C917" s="256"/>
      <c r="D917" s="257"/>
      <c r="E917" s="258"/>
      <c r="F917" s="259"/>
      <c r="G917" s="258"/>
      <c r="H917" s="255"/>
      <c r="I917" s="254"/>
      <c r="J917" s="261"/>
      <c r="K917" s="254"/>
      <c r="L917" s="258"/>
      <c r="M917" s="258"/>
      <c r="N917" s="255"/>
      <c r="O917" s="255"/>
      <c r="P917" s="254"/>
      <c r="Q917" s="260"/>
    </row>
    <row r="918">
      <c r="A918" s="254"/>
      <c r="B918" s="255"/>
      <c r="C918" s="256"/>
      <c r="D918" s="257"/>
      <c r="E918" s="258"/>
      <c r="F918" s="259"/>
      <c r="G918" s="258"/>
      <c r="H918" s="255"/>
      <c r="I918" s="254"/>
      <c r="J918" s="261"/>
      <c r="K918" s="254"/>
      <c r="L918" s="258"/>
      <c r="M918" s="258"/>
      <c r="N918" s="255"/>
      <c r="O918" s="255"/>
      <c r="P918" s="254"/>
      <c r="Q918" s="260"/>
    </row>
    <row r="919">
      <c r="A919" s="254"/>
      <c r="B919" s="255"/>
      <c r="C919" s="256"/>
      <c r="D919" s="257"/>
      <c r="E919" s="258"/>
      <c r="F919" s="259"/>
      <c r="G919" s="258"/>
      <c r="H919" s="255"/>
      <c r="I919" s="254"/>
      <c r="J919" s="261"/>
      <c r="K919" s="254"/>
      <c r="L919" s="258"/>
      <c r="M919" s="258"/>
      <c r="N919" s="255"/>
      <c r="O919" s="255"/>
      <c r="P919" s="254"/>
      <c r="Q919" s="260"/>
    </row>
    <row r="920">
      <c r="A920" s="254"/>
      <c r="B920" s="255"/>
      <c r="C920" s="256"/>
      <c r="D920" s="257"/>
      <c r="E920" s="258"/>
      <c r="F920" s="259"/>
      <c r="G920" s="258"/>
      <c r="H920" s="255"/>
      <c r="I920" s="254"/>
      <c r="J920" s="261"/>
      <c r="K920" s="254"/>
      <c r="L920" s="258"/>
      <c r="M920" s="258"/>
      <c r="N920" s="255"/>
      <c r="O920" s="255"/>
      <c r="P920" s="254"/>
      <c r="Q920" s="260"/>
    </row>
    <row r="921">
      <c r="A921" s="254"/>
      <c r="B921" s="255"/>
      <c r="C921" s="256"/>
      <c r="D921" s="257"/>
      <c r="E921" s="258"/>
      <c r="F921" s="259"/>
      <c r="G921" s="258"/>
      <c r="H921" s="255"/>
      <c r="I921" s="254"/>
      <c r="J921" s="261"/>
      <c r="K921" s="254"/>
      <c r="L921" s="258"/>
      <c r="M921" s="258"/>
      <c r="N921" s="255"/>
      <c r="O921" s="255"/>
      <c r="P921" s="254"/>
      <c r="Q921" s="260"/>
    </row>
    <row r="922">
      <c r="A922" s="254"/>
      <c r="B922" s="255"/>
      <c r="C922" s="256"/>
      <c r="D922" s="257"/>
      <c r="E922" s="258"/>
      <c r="F922" s="259"/>
      <c r="G922" s="258"/>
      <c r="H922" s="255"/>
      <c r="I922" s="254"/>
      <c r="J922" s="261"/>
      <c r="K922" s="254"/>
      <c r="L922" s="258"/>
      <c r="M922" s="258"/>
      <c r="N922" s="255"/>
      <c r="O922" s="255"/>
      <c r="P922" s="254"/>
      <c r="Q922" s="260"/>
    </row>
    <row r="923">
      <c r="A923" s="254"/>
      <c r="B923" s="255"/>
      <c r="C923" s="256"/>
      <c r="D923" s="257"/>
      <c r="E923" s="258"/>
      <c r="F923" s="259"/>
      <c r="G923" s="258"/>
      <c r="H923" s="255"/>
      <c r="I923" s="254"/>
      <c r="J923" s="261"/>
      <c r="K923" s="254"/>
      <c r="L923" s="258"/>
      <c r="M923" s="258"/>
      <c r="N923" s="255"/>
      <c r="O923" s="255"/>
      <c r="P923" s="254"/>
      <c r="Q923" s="260"/>
    </row>
    <row r="924">
      <c r="A924" s="254"/>
      <c r="B924" s="255"/>
      <c r="C924" s="256"/>
      <c r="D924" s="257"/>
      <c r="E924" s="258"/>
      <c r="F924" s="259"/>
      <c r="G924" s="258"/>
      <c r="H924" s="255"/>
      <c r="I924" s="254"/>
      <c r="J924" s="261"/>
      <c r="K924" s="254"/>
      <c r="L924" s="258"/>
      <c r="M924" s="258"/>
      <c r="N924" s="255"/>
      <c r="O924" s="255"/>
      <c r="P924" s="254"/>
      <c r="Q924" s="260"/>
    </row>
    <row r="925">
      <c r="A925" s="254"/>
      <c r="B925" s="255"/>
      <c r="C925" s="256"/>
      <c r="D925" s="257"/>
      <c r="E925" s="258"/>
      <c r="F925" s="259"/>
      <c r="G925" s="258"/>
      <c r="H925" s="255"/>
      <c r="I925" s="254"/>
      <c r="J925" s="261"/>
      <c r="K925" s="254"/>
      <c r="L925" s="258"/>
      <c r="M925" s="258"/>
      <c r="N925" s="255"/>
      <c r="O925" s="255"/>
      <c r="P925" s="254"/>
      <c r="Q925" s="260"/>
    </row>
    <row r="926">
      <c r="A926" s="254"/>
      <c r="B926" s="255"/>
      <c r="C926" s="256"/>
      <c r="D926" s="257"/>
      <c r="E926" s="258"/>
      <c r="F926" s="259"/>
      <c r="G926" s="258"/>
      <c r="H926" s="255"/>
      <c r="I926" s="254"/>
      <c r="J926" s="261"/>
      <c r="K926" s="254"/>
      <c r="L926" s="258"/>
      <c r="M926" s="258"/>
      <c r="N926" s="255"/>
      <c r="O926" s="255"/>
      <c r="P926" s="254"/>
      <c r="Q926" s="260"/>
    </row>
    <row r="927">
      <c r="A927" s="254"/>
      <c r="B927" s="255"/>
      <c r="C927" s="256"/>
      <c r="D927" s="257"/>
      <c r="E927" s="258"/>
      <c r="F927" s="259"/>
      <c r="G927" s="258"/>
      <c r="H927" s="255"/>
      <c r="I927" s="254"/>
      <c r="J927" s="261"/>
      <c r="K927" s="254"/>
      <c r="L927" s="258"/>
      <c r="M927" s="258"/>
      <c r="N927" s="255"/>
      <c r="O927" s="255"/>
      <c r="P927" s="254"/>
      <c r="Q927" s="260"/>
    </row>
    <row r="928">
      <c r="A928" s="254"/>
      <c r="B928" s="255"/>
      <c r="C928" s="256"/>
      <c r="D928" s="257"/>
      <c r="E928" s="258"/>
      <c r="F928" s="259"/>
      <c r="G928" s="258"/>
      <c r="H928" s="255"/>
      <c r="I928" s="254"/>
      <c r="J928" s="261"/>
      <c r="K928" s="254"/>
      <c r="L928" s="258"/>
      <c r="M928" s="258"/>
      <c r="N928" s="255"/>
      <c r="O928" s="255"/>
      <c r="P928" s="254"/>
      <c r="Q928" s="260"/>
    </row>
    <row r="929">
      <c r="A929" s="254"/>
      <c r="B929" s="255"/>
      <c r="C929" s="256"/>
      <c r="D929" s="257"/>
      <c r="E929" s="258"/>
      <c r="F929" s="259"/>
      <c r="G929" s="258"/>
      <c r="H929" s="255"/>
      <c r="I929" s="254"/>
      <c r="J929" s="261"/>
      <c r="K929" s="254"/>
      <c r="L929" s="258"/>
      <c r="M929" s="258"/>
      <c r="N929" s="255"/>
      <c r="O929" s="255"/>
      <c r="P929" s="254"/>
      <c r="Q929" s="260"/>
    </row>
    <row r="930">
      <c r="A930" s="254"/>
      <c r="B930" s="255"/>
      <c r="C930" s="256"/>
      <c r="D930" s="257"/>
      <c r="E930" s="258"/>
      <c r="F930" s="259"/>
      <c r="G930" s="258"/>
      <c r="H930" s="255"/>
      <c r="I930" s="254"/>
      <c r="J930" s="261"/>
      <c r="K930" s="254"/>
      <c r="L930" s="258"/>
      <c r="M930" s="258"/>
      <c r="N930" s="255"/>
      <c r="O930" s="255"/>
      <c r="P930" s="254"/>
      <c r="Q930" s="260"/>
    </row>
    <row r="931">
      <c r="A931" s="254"/>
      <c r="B931" s="255"/>
      <c r="C931" s="256"/>
      <c r="D931" s="257"/>
      <c r="E931" s="258"/>
      <c r="F931" s="259"/>
      <c r="G931" s="258"/>
      <c r="H931" s="255"/>
      <c r="I931" s="254"/>
      <c r="J931" s="261"/>
      <c r="K931" s="254"/>
      <c r="L931" s="258"/>
      <c r="M931" s="258"/>
      <c r="N931" s="255"/>
      <c r="O931" s="255"/>
      <c r="P931" s="254"/>
      <c r="Q931" s="260"/>
    </row>
    <row r="932">
      <c r="A932" s="254"/>
      <c r="B932" s="255"/>
      <c r="C932" s="256"/>
      <c r="D932" s="257"/>
      <c r="E932" s="258"/>
      <c r="F932" s="259"/>
      <c r="G932" s="258"/>
      <c r="H932" s="255"/>
      <c r="I932" s="254"/>
      <c r="J932" s="261"/>
      <c r="K932" s="254"/>
      <c r="L932" s="258"/>
      <c r="M932" s="258"/>
      <c r="N932" s="255"/>
      <c r="O932" s="255"/>
      <c r="P932" s="254"/>
      <c r="Q932" s="260"/>
    </row>
    <row r="933">
      <c r="A933" s="254"/>
      <c r="B933" s="255"/>
      <c r="C933" s="256"/>
      <c r="D933" s="257"/>
      <c r="E933" s="258"/>
      <c r="F933" s="259"/>
      <c r="G933" s="258"/>
      <c r="H933" s="255"/>
      <c r="I933" s="254"/>
      <c r="J933" s="261"/>
      <c r="K933" s="254"/>
      <c r="L933" s="258"/>
      <c r="M933" s="258"/>
      <c r="N933" s="255"/>
      <c r="O933" s="255"/>
      <c r="P933" s="254"/>
      <c r="Q933" s="260"/>
    </row>
    <row r="934">
      <c r="A934" s="254"/>
      <c r="B934" s="255"/>
      <c r="C934" s="256"/>
      <c r="D934" s="257"/>
      <c r="E934" s="258"/>
      <c r="F934" s="259"/>
      <c r="G934" s="258"/>
      <c r="H934" s="255"/>
      <c r="I934" s="254"/>
      <c r="J934" s="261"/>
      <c r="K934" s="254"/>
      <c r="L934" s="258"/>
      <c r="M934" s="258"/>
      <c r="N934" s="255"/>
      <c r="O934" s="255"/>
      <c r="P934" s="254"/>
      <c r="Q934" s="260"/>
    </row>
    <row r="935">
      <c r="A935" s="254"/>
      <c r="B935" s="255"/>
      <c r="C935" s="256"/>
      <c r="D935" s="257"/>
      <c r="E935" s="258"/>
      <c r="F935" s="259"/>
      <c r="G935" s="258"/>
      <c r="H935" s="255"/>
      <c r="I935" s="254"/>
      <c r="J935" s="261"/>
      <c r="K935" s="254"/>
      <c r="L935" s="258"/>
      <c r="M935" s="258"/>
      <c r="N935" s="255"/>
      <c r="O935" s="255"/>
      <c r="P935" s="254"/>
      <c r="Q935" s="260"/>
    </row>
    <row r="936">
      <c r="A936" s="254"/>
      <c r="B936" s="255"/>
      <c r="C936" s="256"/>
      <c r="D936" s="257"/>
      <c r="E936" s="258"/>
      <c r="F936" s="259"/>
      <c r="G936" s="258"/>
      <c r="H936" s="255"/>
      <c r="I936" s="254"/>
      <c r="J936" s="261"/>
      <c r="K936" s="254"/>
      <c r="L936" s="258"/>
      <c r="M936" s="258"/>
      <c r="N936" s="255"/>
      <c r="O936" s="255"/>
      <c r="P936" s="254"/>
      <c r="Q936" s="260"/>
    </row>
    <row r="937">
      <c r="A937" s="254"/>
      <c r="B937" s="255"/>
      <c r="C937" s="256"/>
      <c r="D937" s="257"/>
      <c r="E937" s="258"/>
      <c r="F937" s="259"/>
      <c r="G937" s="258"/>
      <c r="H937" s="255"/>
      <c r="I937" s="254"/>
      <c r="J937" s="261"/>
      <c r="K937" s="254"/>
      <c r="L937" s="258"/>
      <c r="M937" s="258"/>
      <c r="N937" s="255"/>
      <c r="O937" s="255"/>
      <c r="P937" s="254"/>
      <c r="Q937" s="260"/>
    </row>
    <row r="938">
      <c r="A938" s="254"/>
      <c r="B938" s="255"/>
      <c r="C938" s="256"/>
      <c r="D938" s="257"/>
      <c r="E938" s="258"/>
      <c r="F938" s="259"/>
      <c r="G938" s="258"/>
      <c r="H938" s="255"/>
      <c r="I938" s="254"/>
      <c r="J938" s="261"/>
      <c r="K938" s="254"/>
      <c r="L938" s="258"/>
      <c r="M938" s="258"/>
      <c r="N938" s="255"/>
      <c r="O938" s="255"/>
      <c r="P938" s="254"/>
      <c r="Q938" s="260"/>
    </row>
    <row r="939">
      <c r="A939" s="254"/>
      <c r="B939" s="255"/>
      <c r="C939" s="256"/>
      <c r="D939" s="257"/>
      <c r="E939" s="258"/>
      <c r="F939" s="259"/>
      <c r="G939" s="258"/>
      <c r="H939" s="255"/>
      <c r="I939" s="254"/>
      <c r="J939" s="261"/>
      <c r="K939" s="254"/>
      <c r="L939" s="258"/>
      <c r="M939" s="258"/>
      <c r="N939" s="255"/>
      <c r="O939" s="255"/>
      <c r="P939" s="254"/>
      <c r="Q939" s="260"/>
    </row>
    <row r="940">
      <c r="A940" s="254"/>
      <c r="B940" s="255"/>
      <c r="C940" s="256"/>
      <c r="D940" s="257"/>
      <c r="E940" s="258"/>
      <c r="F940" s="259"/>
      <c r="G940" s="258"/>
      <c r="H940" s="255"/>
      <c r="I940" s="254"/>
      <c r="J940" s="261"/>
      <c r="K940" s="254"/>
      <c r="L940" s="258"/>
      <c r="M940" s="258"/>
      <c r="N940" s="255"/>
      <c r="O940" s="255"/>
      <c r="P940" s="254"/>
      <c r="Q940" s="260"/>
    </row>
    <row r="941">
      <c r="A941" s="254"/>
      <c r="B941" s="255"/>
      <c r="C941" s="256"/>
      <c r="D941" s="257"/>
      <c r="E941" s="258"/>
      <c r="F941" s="259"/>
      <c r="G941" s="258"/>
      <c r="H941" s="255"/>
      <c r="I941" s="254"/>
      <c r="J941" s="261"/>
      <c r="K941" s="254"/>
      <c r="L941" s="258"/>
      <c r="M941" s="258"/>
      <c r="N941" s="255"/>
      <c r="O941" s="255"/>
      <c r="P941" s="254"/>
      <c r="Q941" s="260"/>
    </row>
    <row r="942">
      <c r="A942" s="254"/>
      <c r="B942" s="255"/>
      <c r="C942" s="256"/>
      <c r="D942" s="257"/>
      <c r="E942" s="258"/>
      <c r="F942" s="259"/>
      <c r="G942" s="258"/>
      <c r="H942" s="255"/>
      <c r="I942" s="254"/>
      <c r="J942" s="261"/>
      <c r="K942" s="254"/>
      <c r="L942" s="258"/>
      <c r="M942" s="258"/>
      <c r="N942" s="255"/>
      <c r="O942" s="255"/>
      <c r="P942" s="254"/>
      <c r="Q942" s="260"/>
    </row>
    <row r="943">
      <c r="A943" s="254"/>
      <c r="B943" s="255"/>
      <c r="C943" s="256"/>
      <c r="D943" s="257"/>
      <c r="E943" s="258"/>
      <c r="F943" s="259"/>
      <c r="G943" s="258"/>
      <c r="H943" s="255"/>
      <c r="I943" s="254"/>
      <c r="J943" s="261"/>
      <c r="K943" s="254"/>
      <c r="L943" s="258"/>
      <c r="M943" s="258"/>
      <c r="N943" s="255"/>
      <c r="O943" s="255"/>
      <c r="P943" s="254"/>
      <c r="Q943" s="260"/>
    </row>
    <row r="944">
      <c r="A944" s="254"/>
      <c r="B944" s="255"/>
      <c r="C944" s="256"/>
      <c r="D944" s="257"/>
      <c r="E944" s="258"/>
      <c r="F944" s="259"/>
      <c r="G944" s="258"/>
      <c r="H944" s="255"/>
      <c r="I944" s="254"/>
      <c r="J944" s="261"/>
      <c r="K944" s="254"/>
      <c r="L944" s="258"/>
      <c r="M944" s="258"/>
      <c r="N944" s="255"/>
      <c r="O944" s="255"/>
      <c r="P944" s="254"/>
      <c r="Q944" s="260"/>
    </row>
    <row r="945">
      <c r="A945" s="254"/>
      <c r="B945" s="255"/>
      <c r="C945" s="256"/>
      <c r="D945" s="257"/>
      <c r="E945" s="258"/>
      <c r="F945" s="259"/>
      <c r="G945" s="258"/>
      <c r="H945" s="255"/>
      <c r="I945" s="254"/>
      <c r="J945" s="261"/>
      <c r="K945" s="254"/>
      <c r="L945" s="258"/>
      <c r="M945" s="258"/>
      <c r="N945" s="255"/>
      <c r="O945" s="255"/>
      <c r="P945" s="254"/>
      <c r="Q945" s="260"/>
    </row>
    <row r="946">
      <c r="A946" s="254"/>
      <c r="B946" s="255"/>
      <c r="C946" s="256"/>
      <c r="D946" s="257"/>
      <c r="E946" s="258"/>
      <c r="F946" s="259"/>
      <c r="G946" s="258"/>
      <c r="H946" s="255"/>
      <c r="I946" s="254"/>
      <c r="J946" s="261"/>
      <c r="K946" s="254"/>
      <c r="L946" s="258"/>
      <c r="M946" s="258"/>
      <c r="N946" s="255"/>
      <c r="O946" s="255"/>
      <c r="P946" s="254"/>
      <c r="Q946" s="260"/>
    </row>
    <row r="947">
      <c r="A947" s="254"/>
      <c r="B947" s="255"/>
      <c r="C947" s="256"/>
      <c r="D947" s="257"/>
      <c r="E947" s="258"/>
      <c r="F947" s="259"/>
      <c r="G947" s="258"/>
      <c r="H947" s="255"/>
      <c r="I947" s="254"/>
      <c r="J947" s="261"/>
      <c r="K947" s="254"/>
      <c r="L947" s="258"/>
      <c r="M947" s="258"/>
      <c r="N947" s="255"/>
      <c r="O947" s="255"/>
      <c r="P947" s="254"/>
      <c r="Q947" s="260"/>
    </row>
    <row r="948">
      <c r="A948" s="254"/>
      <c r="B948" s="255"/>
      <c r="C948" s="256"/>
      <c r="D948" s="257"/>
      <c r="E948" s="258"/>
      <c r="F948" s="259"/>
      <c r="G948" s="258"/>
      <c r="H948" s="255"/>
      <c r="I948" s="254"/>
      <c r="J948" s="261"/>
      <c r="K948" s="254"/>
      <c r="L948" s="258"/>
      <c r="M948" s="258"/>
      <c r="N948" s="255"/>
      <c r="O948" s="255"/>
      <c r="P948" s="254"/>
      <c r="Q948" s="260"/>
    </row>
    <row r="949">
      <c r="A949" s="254"/>
      <c r="B949" s="255"/>
      <c r="C949" s="256"/>
      <c r="D949" s="257"/>
      <c r="E949" s="258"/>
      <c r="F949" s="259"/>
      <c r="G949" s="258"/>
      <c r="H949" s="255"/>
      <c r="I949" s="254"/>
      <c r="J949" s="261"/>
      <c r="K949" s="254"/>
      <c r="L949" s="258"/>
      <c r="M949" s="258"/>
      <c r="N949" s="255"/>
      <c r="O949" s="255"/>
      <c r="P949" s="254"/>
      <c r="Q949" s="260"/>
    </row>
    <row r="950">
      <c r="A950" s="254"/>
      <c r="B950" s="255"/>
      <c r="C950" s="256"/>
      <c r="D950" s="257"/>
      <c r="E950" s="258"/>
      <c r="F950" s="259"/>
      <c r="G950" s="258"/>
      <c r="H950" s="255"/>
      <c r="I950" s="254"/>
      <c r="J950" s="261"/>
      <c r="K950" s="254"/>
      <c r="L950" s="258"/>
      <c r="M950" s="258"/>
      <c r="N950" s="255"/>
      <c r="O950" s="255"/>
      <c r="P950" s="254"/>
      <c r="Q950" s="260"/>
    </row>
    <row r="951">
      <c r="A951" s="254"/>
      <c r="B951" s="255"/>
      <c r="C951" s="256"/>
      <c r="D951" s="257"/>
      <c r="E951" s="258"/>
      <c r="F951" s="259"/>
      <c r="G951" s="258"/>
      <c r="H951" s="255"/>
      <c r="I951" s="254"/>
      <c r="J951" s="261"/>
      <c r="K951" s="254"/>
      <c r="L951" s="258"/>
      <c r="M951" s="258"/>
      <c r="N951" s="255"/>
      <c r="O951" s="255"/>
      <c r="P951" s="254"/>
      <c r="Q951" s="260"/>
    </row>
    <row r="952">
      <c r="A952" s="254"/>
      <c r="B952" s="255"/>
      <c r="C952" s="256"/>
      <c r="D952" s="257"/>
      <c r="E952" s="258"/>
      <c r="F952" s="259"/>
      <c r="G952" s="258"/>
      <c r="H952" s="255"/>
      <c r="I952" s="254"/>
      <c r="J952" s="261"/>
      <c r="K952" s="254"/>
      <c r="L952" s="258"/>
      <c r="M952" s="258"/>
      <c r="N952" s="255"/>
      <c r="O952" s="255"/>
      <c r="P952" s="254"/>
      <c r="Q952" s="260"/>
    </row>
    <row r="953">
      <c r="A953" s="254"/>
      <c r="B953" s="255"/>
      <c r="C953" s="256"/>
      <c r="D953" s="257"/>
      <c r="E953" s="258"/>
      <c r="F953" s="259"/>
      <c r="G953" s="258"/>
      <c r="H953" s="255"/>
      <c r="I953" s="254"/>
      <c r="J953" s="261"/>
      <c r="K953" s="254"/>
      <c r="L953" s="258"/>
      <c r="M953" s="258"/>
      <c r="N953" s="255"/>
      <c r="O953" s="255"/>
      <c r="P953" s="254"/>
      <c r="Q953" s="260"/>
    </row>
    <row r="954">
      <c r="A954" s="254"/>
      <c r="B954" s="255"/>
      <c r="C954" s="256"/>
      <c r="D954" s="257"/>
      <c r="E954" s="258"/>
      <c r="F954" s="259"/>
      <c r="G954" s="258"/>
      <c r="H954" s="255"/>
      <c r="I954" s="254"/>
      <c r="J954" s="261"/>
      <c r="K954" s="254"/>
      <c r="L954" s="258"/>
      <c r="M954" s="258"/>
      <c r="N954" s="255"/>
      <c r="O954" s="255"/>
      <c r="P954" s="254"/>
      <c r="Q954" s="260"/>
    </row>
    <row r="955">
      <c r="A955" s="254"/>
      <c r="B955" s="255"/>
      <c r="C955" s="256"/>
      <c r="D955" s="257"/>
      <c r="E955" s="258"/>
      <c r="F955" s="259"/>
      <c r="G955" s="258"/>
      <c r="H955" s="255"/>
      <c r="I955" s="254"/>
      <c r="J955" s="261"/>
      <c r="K955" s="254"/>
      <c r="L955" s="258"/>
      <c r="M955" s="258"/>
      <c r="N955" s="255"/>
      <c r="O955" s="255"/>
      <c r="P955" s="254"/>
      <c r="Q955" s="260"/>
    </row>
    <row r="956">
      <c r="A956" s="254"/>
      <c r="B956" s="255"/>
      <c r="C956" s="256"/>
      <c r="D956" s="257"/>
      <c r="E956" s="258"/>
      <c r="F956" s="259"/>
      <c r="G956" s="258"/>
      <c r="H956" s="255"/>
      <c r="I956" s="254"/>
      <c r="J956" s="261"/>
      <c r="K956" s="254"/>
      <c r="L956" s="258"/>
      <c r="M956" s="258"/>
      <c r="N956" s="255"/>
      <c r="O956" s="255"/>
      <c r="P956" s="254"/>
      <c r="Q956" s="260"/>
    </row>
    <row r="957">
      <c r="A957" s="254"/>
      <c r="B957" s="255"/>
      <c r="C957" s="256"/>
      <c r="D957" s="257"/>
      <c r="E957" s="258"/>
      <c r="F957" s="259"/>
      <c r="G957" s="258"/>
      <c r="H957" s="255"/>
      <c r="I957" s="254"/>
      <c r="J957" s="261"/>
      <c r="K957" s="254"/>
      <c r="L957" s="258"/>
      <c r="M957" s="258"/>
      <c r="N957" s="255"/>
      <c r="O957" s="255"/>
      <c r="P957" s="254"/>
      <c r="Q957" s="260"/>
    </row>
    <row r="958">
      <c r="A958" s="254"/>
      <c r="B958" s="255"/>
      <c r="C958" s="256"/>
      <c r="D958" s="257"/>
      <c r="E958" s="258"/>
      <c r="F958" s="259"/>
      <c r="G958" s="258"/>
      <c r="H958" s="255"/>
      <c r="I958" s="254"/>
      <c r="J958" s="261"/>
      <c r="K958" s="254"/>
      <c r="L958" s="258"/>
      <c r="M958" s="258"/>
      <c r="N958" s="255"/>
      <c r="O958" s="255"/>
      <c r="P958" s="254"/>
      <c r="Q958" s="260"/>
    </row>
    <row r="959">
      <c r="A959" s="254"/>
      <c r="B959" s="255"/>
      <c r="C959" s="256"/>
      <c r="D959" s="257"/>
      <c r="E959" s="258"/>
      <c r="F959" s="259"/>
      <c r="G959" s="258"/>
      <c r="H959" s="255"/>
      <c r="I959" s="254"/>
      <c r="J959" s="261"/>
      <c r="K959" s="254"/>
      <c r="L959" s="258"/>
      <c r="M959" s="258"/>
      <c r="N959" s="255"/>
      <c r="O959" s="255"/>
      <c r="P959" s="254"/>
      <c r="Q959" s="260"/>
    </row>
    <row r="960">
      <c r="A960" s="254"/>
      <c r="B960" s="255"/>
      <c r="C960" s="256"/>
      <c r="D960" s="257"/>
      <c r="E960" s="258"/>
      <c r="F960" s="259"/>
      <c r="G960" s="258"/>
      <c r="H960" s="255"/>
      <c r="I960" s="254"/>
      <c r="J960" s="261"/>
      <c r="K960" s="254"/>
      <c r="L960" s="258"/>
      <c r="M960" s="258"/>
      <c r="N960" s="255"/>
      <c r="O960" s="255"/>
      <c r="P960" s="254"/>
      <c r="Q960" s="260"/>
    </row>
    <row r="961">
      <c r="A961" s="254"/>
      <c r="B961" s="255"/>
      <c r="C961" s="256"/>
      <c r="D961" s="257"/>
      <c r="E961" s="258"/>
      <c r="F961" s="259"/>
      <c r="G961" s="258"/>
      <c r="H961" s="255"/>
      <c r="I961" s="254"/>
      <c r="J961" s="261"/>
      <c r="K961" s="254"/>
      <c r="L961" s="258"/>
      <c r="M961" s="258"/>
      <c r="N961" s="255"/>
      <c r="O961" s="255"/>
      <c r="P961" s="254"/>
      <c r="Q961" s="260"/>
    </row>
    <row r="962">
      <c r="A962" s="254"/>
      <c r="B962" s="255"/>
      <c r="C962" s="256"/>
      <c r="D962" s="257"/>
      <c r="E962" s="258"/>
      <c r="F962" s="259"/>
      <c r="G962" s="258"/>
      <c r="H962" s="255"/>
      <c r="I962" s="254"/>
      <c r="J962" s="261"/>
      <c r="K962" s="254"/>
      <c r="L962" s="258"/>
      <c r="M962" s="258"/>
      <c r="N962" s="255"/>
      <c r="O962" s="255"/>
      <c r="P962" s="254"/>
      <c r="Q962" s="260"/>
    </row>
    <row r="963">
      <c r="A963" s="254"/>
      <c r="B963" s="255"/>
      <c r="C963" s="256"/>
      <c r="D963" s="257"/>
      <c r="E963" s="258"/>
      <c r="F963" s="259"/>
      <c r="G963" s="258"/>
      <c r="H963" s="255"/>
      <c r="I963" s="254"/>
      <c r="J963" s="261"/>
      <c r="K963" s="254"/>
      <c r="L963" s="258"/>
      <c r="M963" s="258"/>
      <c r="N963" s="255"/>
      <c r="O963" s="255"/>
      <c r="P963" s="254"/>
      <c r="Q963" s="260"/>
    </row>
    <row r="964">
      <c r="A964" s="254"/>
      <c r="B964" s="255"/>
      <c r="C964" s="256"/>
      <c r="D964" s="257"/>
      <c r="E964" s="258"/>
      <c r="F964" s="259"/>
      <c r="G964" s="258"/>
      <c r="H964" s="255"/>
      <c r="I964" s="254"/>
      <c r="J964" s="261"/>
      <c r="K964" s="254"/>
      <c r="L964" s="258"/>
      <c r="M964" s="258"/>
      <c r="N964" s="255"/>
      <c r="O964" s="255"/>
      <c r="P964" s="254"/>
      <c r="Q964" s="260"/>
    </row>
    <row r="965">
      <c r="A965" s="254"/>
      <c r="B965" s="255"/>
      <c r="C965" s="256"/>
      <c r="D965" s="257"/>
      <c r="E965" s="258"/>
      <c r="F965" s="259"/>
      <c r="G965" s="258"/>
      <c r="H965" s="255"/>
      <c r="I965" s="254"/>
      <c r="J965" s="261"/>
      <c r="K965" s="254"/>
      <c r="L965" s="258"/>
      <c r="M965" s="258"/>
      <c r="N965" s="255"/>
      <c r="O965" s="255"/>
      <c r="P965" s="254"/>
      <c r="Q965" s="260"/>
    </row>
    <row r="966">
      <c r="A966" s="254"/>
      <c r="B966" s="255"/>
      <c r="C966" s="256"/>
      <c r="D966" s="257"/>
      <c r="E966" s="258"/>
      <c r="F966" s="259"/>
      <c r="G966" s="258"/>
      <c r="H966" s="255"/>
      <c r="I966" s="254"/>
      <c r="J966" s="261"/>
      <c r="K966" s="254"/>
      <c r="L966" s="258"/>
      <c r="M966" s="258"/>
      <c r="N966" s="255"/>
      <c r="O966" s="255"/>
      <c r="P966" s="254"/>
      <c r="Q966" s="260"/>
    </row>
    <row r="967">
      <c r="A967" s="254"/>
      <c r="B967" s="255"/>
      <c r="C967" s="256"/>
      <c r="D967" s="257"/>
      <c r="E967" s="258"/>
      <c r="F967" s="259"/>
      <c r="G967" s="258"/>
      <c r="H967" s="255"/>
      <c r="I967" s="254"/>
      <c r="J967" s="261"/>
      <c r="K967" s="254"/>
      <c r="L967" s="258"/>
      <c r="M967" s="258"/>
      <c r="N967" s="255"/>
      <c r="O967" s="255"/>
      <c r="P967" s="254"/>
      <c r="Q967" s="260"/>
    </row>
    <row r="968">
      <c r="A968" s="254"/>
      <c r="B968" s="255"/>
      <c r="C968" s="256"/>
      <c r="D968" s="257"/>
      <c r="E968" s="258"/>
      <c r="F968" s="259"/>
      <c r="G968" s="258"/>
      <c r="H968" s="255"/>
      <c r="I968" s="254"/>
      <c r="J968" s="261"/>
      <c r="K968" s="254"/>
      <c r="L968" s="258"/>
      <c r="M968" s="258"/>
      <c r="N968" s="255"/>
      <c r="O968" s="255"/>
      <c r="P968" s="254"/>
      <c r="Q968" s="260"/>
    </row>
    <row r="969">
      <c r="A969" s="254"/>
      <c r="B969" s="255"/>
      <c r="C969" s="256"/>
      <c r="D969" s="257"/>
      <c r="E969" s="258"/>
      <c r="F969" s="259"/>
      <c r="G969" s="258"/>
      <c r="H969" s="255"/>
      <c r="I969" s="254"/>
      <c r="J969" s="261"/>
      <c r="K969" s="254"/>
      <c r="L969" s="258"/>
      <c r="M969" s="258"/>
      <c r="N969" s="255"/>
      <c r="O969" s="255"/>
      <c r="P969" s="254"/>
      <c r="Q969" s="260"/>
    </row>
    <row r="970">
      <c r="A970" s="254"/>
      <c r="B970" s="255"/>
      <c r="C970" s="256"/>
      <c r="D970" s="257"/>
      <c r="E970" s="258"/>
      <c r="F970" s="259"/>
      <c r="G970" s="258"/>
      <c r="H970" s="255"/>
      <c r="I970" s="254"/>
      <c r="J970" s="261"/>
      <c r="K970" s="254"/>
      <c r="L970" s="258"/>
      <c r="M970" s="258"/>
      <c r="N970" s="255"/>
      <c r="O970" s="255"/>
      <c r="P970" s="254"/>
      <c r="Q970" s="260"/>
    </row>
    <row r="971">
      <c r="A971" s="254"/>
      <c r="B971" s="255"/>
      <c r="C971" s="256"/>
      <c r="D971" s="257"/>
      <c r="E971" s="258"/>
      <c r="F971" s="259"/>
      <c r="G971" s="258"/>
      <c r="H971" s="255"/>
      <c r="I971" s="254"/>
      <c r="J971" s="261"/>
      <c r="K971" s="254"/>
      <c r="L971" s="258"/>
      <c r="M971" s="258"/>
      <c r="N971" s="255"/>
      <c r="O971" s="255"/>
      <c r="P971" s="254"/>
      <c r="Q971" s="260"/>
    </row>
    <row r="972">
      <c r="A972" s="254"/>
      <c r="B972" s="255"/>
      <c r="C972" s="256"/>
      <c r="D972" s="257"/>
      <c r="E972" s="258"/>
      <c r="F972" s="259"/>
      <c r="G972" s="258"/>
      <c r="H972" s="255"/>
      <c r="I972" s="254"/>
      <c r="J972" s="261"/>
      <c r="K972" s="254"/>
      <c r="L972" s="258"/>
      <c r="M972" s="258"/>
      <c r="N972" s="255"/>
      <c r="O972" s="255"/>
      <c r="P972" s="254"/>
      <c r="Q972" s="260"/>
    </row>
    <row r="973">
      <c r="A973" s="254"/>
      <c r="B973" s="255"/>
      <c r="C973" s="256"/>
      <c r="D973" s="257"/>
      <c r="E973" s="258"/>
      <c r="F973" s="259"/>
      <c r="G973" s="258"/>
      <c r="H973" s="255"/>
      <c r="I973" s="254"/>
      <c r="J973" s="261"/>
      <c r="K973" s="254"/>
      <c r="L973" s="258"/>
      <c r="M973" s="258"/>
      <c r="N973" s="255"/>
      <c r="O973" s="255"/>
      <c r="P973" s="254"/>
      <c r="Q973" s="260"/>
    </row>
    <row r="974">
      <c r="A974" s="254"/>
      <c r="B974" s="255"/>
      <c r="C974" s="256"/>
      <c r="D974" s="257"/>
      <c r="E974" s="258"/>
      <c r="F974" s="259"/>
      <c r="G974" s="258"/>
      <c r="H974" s="255"/>
      <c r="I974" s="254"/>
      <c r="J974" s="261"/>
      <c r="K974" s="254"/>
      <c r="L974" s="258"/>
      <c r="M974" s="258"/>
      <c r="N974" s="255"/>
      <c r="O974" s="255"/>
      <c r="P974" s="254"/>
      <c r="Q974" s="260"/>
    </row>
    <row r="975">
      <c r="A975" s="254"/>
      <c r="B975" s="255"/>
      <c r="C975" s="256"/>
      <c r="D975" s="257"/>
      <c r="E975" s="258"/>
      <c r="F975" s="259"/>
      <c r="G975" s="258"/>
      <c r="H975" s="255"/>
      <c r="I975" s="254"/>
      <c r="J975" s="261"/>
      <c r="K975" s="254"/>
      <c r="L975" s="258"/>
      <c r="M975" s="258"/>
      <c r="N975" s="255"/>
      <c r="O975" s="255"/>
      <c r="P975" s="254"/>
      <c r="Q975" s="260"/>
    </row>
    <row r="976">
      <c r="A976" s="254"/>
      <c r="B976" s="255"/>
      <c r="C976" s="256"/>
      <c r="D976" s="257"/>
      <c r="E976" s="258"/>
      <c r="F976" s="259"/>
      <c r="G976" s="258"/>
      <c r="H976" s="255"/>
      <c r="I976" s="254"/>
      <c r="J976" s="261"/>
      <c r="K976" s="254"/>
      <c r="L976" s="258"/>
      <c r="M976" s="258"/>
      <c r="N976" s="255"/>
      <c r="O976" s="255"/>
      <c r="P976" s="254"/>
      <c r="Q976" s="260"/>
    </row>
    <row r="977">
      <c r="A977" s="254"/>
      <c r="B977" s="255"/>
      <c r="C977" s="256"/>
      <c r="D977" s="257"/>
      <c r="E977" s="258"/>
      <c r="F977" s="259"/>
      <c r="G977" s="258"/>
      <c r="H977" s="255"/>
      <c r="I977" s="254"/>
      <c r="J977" s="261"/>
      <c r="K977" s="254"/>
      <c r="L977" s="258"/>
      <c r="M977" s="258"/>
      <c r="N977" s="255"/>
      <c r="O977" s="255"/>
      <c r="P977" s="254"/>
      <c r="Q977" s="260"/>
    </row>
    <row r="978">
      <c r="A978" s="254"/>
      <c r="B978" s="255"/>
      <c r="C978" s="256"/>
      <c r="D978" s="257"/>
      <c r="E978" s="258"/>
      <c r="F978" s="259"/>
      <c r="G978" s="258"/>
      <c r="H978" s="255"/>
      <c r="I978" s="254"/>
      <c r="J978" s="261"/>
      <c r="K978" s="254"/>
      <c r="L978" s="258"/>
      <c r="M978" s="258"/>
      <c r="N978" s="255"/>
      <c r="O978" s="255"/>
      <c r="P978" s="254"/>
      <c r="Q978" s="260"/>
    </row>
    <row r="979">
      <c r="A979" s="254"/>
      <c r="B979" s="255"/>
      <c r="C979" s="256"/>
      <c r="D979" s="257"/>
      <c r="E979" s="258"/>
      <c r="F979" s="259"/>
      <c r="G979" s="258"/>
      <c r="H979" s="255"/>
      <c r="I979" s="254"/>
      <c r="J979" s="261"/>
      <c r="K979" s="254"/>
      <c r="L979" s="258"/>
      <c r="M979" s="258"/>
      <c r="N979" s="255"/>
      <c r="O979" s="255"/>
      <c r="P979" s="254"/>
      <c r="Q979" s="260"/>
    </row>
    <row r="980">
      <c r="A980" s="254"/>
      <c r="B980" s="255"/>
      <c r="C980" s="256"/>
      <c r="D980" s="257"/>
      <c r="E980" s="258"/>
      <c r="F980" s="259"/>
      <c r="G980" s="258"/>
      <c r="H980" s="255"/>
      <c r="I980" s="254"/>
      <c r="J980" s="261"/>
      <c r="K980" s="254"/>
      <c r="L980" s="258"/>
      <c r="M980" s="258"/>
      <c r="N980" s="255"/>
      <c r="O980" s="255"/>
      <c r="P980" s="254"/>
      <c r="Q980" s="260"/>
    </row>
    <row r="981">
      <c r="A981" s="254"/>
      <c r="B981" s="255"/>
      <c r="C981" s="256"/>
      <c r="D981" s="257"/>
      <c r="E981" s="258"/>
      <c r="F981" s="259"/>
      <c r="G981" s="258"/>
      <c r="H981" s="255"/>
      <c r="I981" s="254"/>
      <c r="J981" s="261"/>
      <c r="K981" s="254"/>
      <c r="L981" s="258"/>
      <c r="M981" s="258"/>
      <c r="N981" s="255"/>
      <c r="O981" s="255"/>
      <c r="P981" s="254"/>
      <c r="Q981" s="260"/>
    </row>
    <row r="982">
      <c r="A982" s="254"/>
      <c r="B982" s="255"/>
      <c r="C982" s="256"/>
      <c r="D982" s="257"/>
      <c r="E982" s="258"/>
      <c r="F982" s="259"/>
      <c r="G982" s="258"/>
      <c r="H982" s="255"/>
      <c r="I982" s="254"/>
      <c r="J982" s="261"/>
      <c r="K982" s="254"/>
      <c r="L982" s="258"/>
      <c r="M982" s="258"/>
      <c r="N982" s="255"/>
      <c r="O982" s="255"/>
      <c r="P982" s="254"/>
      <c r="Q982" s="260"/>
    </row>
    <row r="983">
      <c r="A983" s="254"/>
      <c r="B983" s="255"/>
      <c r="C983" s="256"/>
      <c r="D983" s="257"/>
      <c r="E983" s="258"/>
      <c r="F983" s="259"/>
      <c r="G983" s="258"/>
      <c r="H983" s="255"/>
      <c r="I983" s="254"/>
      <c r="J983" s="261"/>
      <c r="K983" s="254"/>
      <c r="L983" s="258"/>
      <c r="M983" s="258"/>
      <c r="N983" s="255"/>
      <c r="O983" s="255"/>
      <c r="P983" s="254"/>
      <c r="Q983" s="260"/>
    </row>
    <row r="984">
      <c r="A984" s="254"/>
      <c r="B984" s="255"/>
      <c r="C984" s="256"/>
      <c r="D984" s="257"/>
      <c r="E984" s="258"/>
      <c r="F984" s="259"/>
      <c r="G984" s="258"/>
      <c r="H984" s="255"/>
      <c r="I984" s="254"/>
      <c r="J984" s="261"/>
      <c r="K984" s="254"/>
      <c r="L984" s="258"/>
      <c r="M984" s="258"/>
      <c r="N984" s="255"/>
      <c r="O984" s="255"/>
      <c r="P984" s="254"/>
      <c r="Q984" s="260"/>
    </row>
    <row r="985">
      <c r="A985" s="254"/>
      <c r="B985" s="255"/>
      <c r="C985" s="256"/>
      <c r="D985" s="257"/>
      <c r="E985" s="258"/>
      <c r="F985" s="259"/>
      <c r="G985" s="258"/>
      <c r="H985" s="255"/>
      <c r="I985" s="254"/>
      <c r="J985" s="261"/>
      <c r="K985" s="254"/>
      <c r="L985" s="258"/>
      <c r="M985" s="258"/>
      <c r="N985" s="255"/>
      <c r="O985" s="255"/>
      <c r="P985" s="254"/>
      <c r="Q985" s="260"/>
    </row>
    <row r="986">
      <c r="A986" s="254"/>
      <c r="B986" s="255"/>
      <c r="C986" s="256"/>
      <c r="D986" s="257"/>
      <c r="E986" s="258"/>
      <c r="F986" s="259"/>
      <c r="G986" s="258"/>
      <c r="H986" s="255"/>
      <c r="I986" s="254"/>
      <c r="J986" s="261"/>
      <c r="K986" s="254"/>
      <c r="L986" s="258"/>
      <c r="M986" s="258"/>
      <c r="N986" s="255"/>
      <c r="O986" s="255"/>
      <c r="P986" s="254"/>
      <c r="Q986" s="260"/>
    </row>
    <row r="987">
      <c r="A987" s="254"/>
      <c r="B987" s="255"/>
      <c r="C987" s="256"/>
      <c r="D987" s="257"/>
      <c r="E987" s="258"/>
      <c r="F987" s="259"/>
      <c r="G987" s="258"/>
      <c r="H987" s="255"/>
      <c r="I987" s="254"/>
      <c r="J987" s="261"/>
      <c r="K987" s="254"/>
      <c r="L987" s="258"/>
      <c r="M987" s="258"/>
      <c r="N987" s="255"/>
      <c r="O987" s="255"/>
      <c r="P987" s="254"/>
      <c r="Q987" s="260"/>
    </row>
    <row r="988">
      <c r="A988" s="254"/>
      <c r="B988" s="255"/>
      <c r="C988" s="256"/>
      <c r="D988" s="257"/>
      <c r="E988" s="258"/>
      <c r="F988" s="259"/>
      <c r="G988" s="258"/>
      <c r="H988" s="255"/>
      <c r="I988" s="254"/>
      <c r="J988" s="261"/>
      <c r="K988" s="254"/>
      <c r="L988" s="258"/>
      <c r="M988" s="258"/>
      <c r="N988" s="255"/>
      <c r="O988" s="255"/>
      <c r="P988" s="254"/>
      <c r="Q988" s="260"/>
    </row>
    <row r="989">
      <c r="A989" s="254"/>
      <c r="B989" s="255"/>
      <c r="C989" s="256"/>
      <c r="D989" s="257"/>
      <c r="E989" s="258"/>
      <c r="F989" s="259"/>
      <c r="G989" s="258"/>
      <c r="H989" s="255"/>
      <c r="I989" s="254"/>
      <c r="J989" s="261"/>
      <c r="K989" s="254"/>
      <c r="L989" s="258"/>
      <c r="M989" s="258"/>
      <c r="N989" s="255"/>
      <c r="O989" s="255"/>
      <c r="P989" s="254"/>
      <c r="Q989" s="260"/>
    </row>
    <row r="990">
      <c r="A990" s="254"/>
      <c r="B990" s="255"/>
      <c r="C990" s="256"/>
      <c r="D990" s="257"/>
      <c r="E990" s="258"/>
      <c r="F990" s="259"/>
      <c r="G990" s="258"/>
      <c r="H990" s="255"/>
      <c r="I990" s="254"/>
      <c r="J990" s="261"/>
      <c r="K990" s="254"/>
      <c r="L990" s="258"/>
      <c r="M990" s="258"/>
      <c r="N990" s="255"/>
      <c r="O990" s="255"/>
      <c r="P990" s="254"/>
      <c r="Q990" s="260"/>
    </row>
    <row r="991">
      <c r="A991" s="254"/>
      <c r="B991" s="255"/>
      <c r="C991" s="256"/>
      <c r="D991" s="257"/>
      <c r="E991" s="258"/>
      <c r="F991" s="259"/>
      <c r="G991" s="258"/>
      <c r="H991" s="255"/>
      <c r="I991" s="254"/>
      <c r="J991" s="261"/>
      <c r="K991" s="254"/>
      <c r="L991" s="258"/>
      <c r="M991" s="258"/>
      <c r="N991" s="255"/>
      <c r="O991" s="255"/>
      <c r="P991" s="254"/>
      <c r="Q991" s="260"/>
    </row>
    <row r="992">
      <c r="A992" s="254"/>
      <c r="B992" s="255"/>
      <c r="C992" s="256"/>
      <c r="D992" s="257"/>
      <c r="E992" s="258"/>
      <c r="F992" s="259"/>
      <c r="G992" s="258"/>
      <c r="H992" s="255"/>
      <c r="I992" s="254"/>
      <c r="J992" s="261"/>
      <c r="K992" s="254"/>
      <c r="L992" s="258"/>
      <c r="M992" s="258"/>
      <c r="N992" s="255"/>
      <c r="O992" s="255"/>
      <c r="P992" s="254"/>
      <c r="Q992" s="260"/>
    </row>
    <row r="993">
      <c r="A993" s="254"/>
      <c r="B993" s="255"/>
      <c r="C993" s="256"/>
      <c r="D993" s="257"/>
      <c r="E993" s="258"/>
      <c r="F993" s="259"/>
      <c r="G993" s="258"/>
      <c r="H993" s="255"/>
      <c r="I993" s="254"/>
      <c r="J993" s="261"/>
      <c r="K993" s="254"/>
      <c r="L993" s="258"/>
      <c r="M993" s="258"/>
      <c r="N993" s="255"/>
      <c r="O993" s="255"/>
      <c r="P993" s="254"/>
      <c r="Q993" s="260"/>
    </row>
    <row r="994">
      <c r="A994" s="254"/>
      <c r="B994" s="255"/>
      <c r="C994" s="256"/>
      <c r="D994" s="257"/>
      <c r="E994" s="258"/>
      <c r="F994" s="259"/>
      <c r="G994" s="258"/>
      <c r="H994" s="255"/>
      <c r="I994" s="254"/>
      <c r="J994" s="261"/>
      <c r="K994" s="254"/>
      <c r="L994" s="258"/>
      <c r="M994" s="258"/>
      <c r="N994" s="255"/>
      <c r="O994" s="255"/>
      <c r="P994" s="254"/>
      <c r="Q994" s="260"/>
    </row>
    <row r="995">
      <c r="A995" s="254"/>
      <c r="B995" s="255"/>
      <c r="C995" s="256"/>
      <c r="D995" s="257"/>
      <c r="E995" s="258"/>
      <c r="F995" s="259"/>
      <c r="G995" s="258"/>
      <c r="H995" s="255"/>
      <c r="I995" s="254"/>
      <c r="J995" s="261"/>
      <c r="K995" s="254"/>
      <c r="L995" s="258"/>
      <c r="M995" s="258"/>
      <c r="N995" s="255"/>
      <c r="O995" s="255"/>
      <c r="P995" s="254"/>
      <c r="Q995" s="260"/>
    </row>
    <row r="996">
      <c r="A996" s="254"/>
      <c r="B996" s="255"/>
      <c r="C996" s="256"/>
      <c r="D996" s="257"/>
      <c r="E996" s="258"/>
      <c r="F996" s="259"/>
      <c r="G996" s="258"/>
      <c r="H996" s="255"/>
      <c r="I996" s="254"/>
      <c r="J996" s="261"/>
      <c r="K996" s="254"/>
      <c r="L996" s="258"/>
      <c r="M996" s="258"/>
      <c r="N996" s="255"/>
      <c r="O996" s="255"/>
      <c r="P996" s="254"/>
      <c r="Q996" s="260"/>
    </row>
    <row r="997">
      <c r="A997" s="254"/>
      <c r="B997" s="255"/>
      <c r="C997" s="256"/>
      <c r="D997" s="257"/>
      <c r="E997" s="258"/>
      <c r="F997" s="259"/>
      <c r="G997" s="258"/>
      <c r="H997" s="255"/>
      <c r="I997" s="254"/>
      <c r="J997" s="261"/>
      <c r="K997" s="254"/>
      <c r="L997" s="258"/>
      <c r="M997" s="258"/>
      <c r="N997" s="255"/>
      <c r="O997" s="255"/>
      <c r="P997" s="254"/>
      <c r="Q997" s="260"/>
    </row>
    <row r="998">
      <c r="A998" s="254"/>
      <c r="B998" s="255"/>
      <c r="C998" s="256"/>
      <c r="D998" s="257"/>
      <c r="E998" s="258"/>
      <c r="F998" s="259"/>
      <c r="G998" s="258"/>
      <c r="H998" s="255"/>
      <c r="I998" s="254"/>
      <c r="J998" s="261"/>
      <c r="K998" s="254"/>
      <c r="L998" s="258"/>
      <c r="M998" s="258"/>
      <c r="N998" s="255"/>
      <c r="O998" s="255"/>
      <c r="P998" s="254"/>
      <c r="Q998" s="260"/>
    </row>
    <row r="999">
      <c r="A999" s="254"/>
      <c r="B999" s="255"/>
      <c r="C999" s="256"/>
      <c r="D999" s="257"/>
      <c r="E999" s="258"/>
      <c r="F999" s="259"/>
      <c r="G999" s="258"/>
      <c r="H999" s="255"/>
      <c r="I999" s="254"/>
      <c r="J999" s="261"/>
      <c r="K999" s="254"/>
      <c r="L999" s="258"/>
      <c r="M999" s="258"/>
      <c r="N999" s="255"/>
      <c r="O999" s="255"/>
      <c r="P999" s="254"/>
      <c r="Q999" s="260"/>
    </row>
    <row r="1000">
      <c r="A1000" s="254"/>
      <c r="B1000" s="255"/>
      <c r="C1000" s="256"/>
      <c r="D1000" s="257"/>
      <c r="E1000" s="258"/>
      <c r="F1000" s="259"/>
      <c r="G1000" s="258"/>
      <c r="H1000" s="255"/>
      <c r="I1000" s="254"/>
      <c r="J1000" s="261"/>
      <c r="K1000" s="254"/>
      <c r="L1000" s="258"/>
      <c r="M1000" s="258"/>
      <c r="N1000" s="255"/>
      <c r="O1000" s="255"/>
      <c r="P1000" s="254"/>
      <c r="Q1000" s="260"/>
    </row>
    <row r="1001">
      <c r="A1001" s="254"/>
      <c r="B1001" s="255"/>
      <c r="C1001" s="256"/>
      <c r="D1001" s="257"/>
      <c r="E1001" s="258"/>
      <c r="F1001" s="259"/>
      <c r="G1001" s="258"/>
      <c r="H1001" s="255"/>
      <c r="I1001" s="254"/>
      <c r="J1001" s="261"/>
      <c r="K1001" s="254"/>
      <c r="L1001" s="258"/>
      <c r="M1001" s="258"/>
      <c r="N1001" s="255"/>
      <c r="O1001" s="255"/>
      <c r="P1001" s="254"/>
      <c r="Q1001" s="260"/>
    </row>
    <row r="1002">
      <c r="A1002" s="254"/>
      <c r="B1002" s="255"/>
      <c r="C1002" s="256"/>
      <c r="D1002" s="257"/>
      <c r="E1002" s="258"/>
      <c r="F1002" s="259"/>
      <c r="G1002" s="258"/>
      <c r="H1002" s="255"/>
      <c r="I1002" s="254"/>
      <c r="J1002" s="261"/>
      <c r="K1002" s="254"/>
      <c r="L1002" s="258"/>
      <c r="M1002" s="258"/>
      <c r="N1002" s="255"/>
      <c r="O1002" s="255"/>
      <c r="P1002" s="254"/>
      <c r="Q1002" s="260"/>
    </row>
    <row r="1003">
      <c r="A1003" s="254"/>
      <c r="B1003" s="255"/>
      <c r="C1003" s="256"/>
      <c r="D1003" s="257"/>
      <c r="E1003" s="258"/>
      <c r="F1003" s="259"/>
      <c r="G1003" s="258"/>
      <c r="H1003" s="255"/>
      <c r="I1003" s="254"/>
      <c r="J1003" s="261"/>
      <c r="K1003" s="254"/>
      <c r="L1003" s="258"/>
      <c r="M1003" s="258"/>
      <c r="N1003" s="255"/>
      <c r="O1003" s="255"/>
      <c r="P1003" s="254"/>
      <c r="Q1003" s="260"/>
    </row>
    <row r="1004">
      <c r="A1004" s="254"/>
      <c r="B1004" s="255"/>
      <c r="C1004" s="256"/>
      <c r="D1004" s="257"/>
      <c r="E1004" s="258"/>
      <c r="F1004" s="259"/>
      <c r="G1004" s="258"/>
      <c r="H1004" s="255"/>
      <c r="I1004" s="254"/>
      <c r="J1004" s="261"/>
      <c r="K1004" s="254"/>
      <c r="L1004" s="258"/>
      <c r="M1004" s="258"/>
      <c r="N1004" s="255"/>
      <c r="O1004" s="255"/>
      <c r="P1004" s="254"/>
      <c r="Q1004" s="260"/>
    </row>
    <row r="1005">
      <c r="A1005" s="254"/>
      <c r="B1005" s="255"/>
      <c r="C1005" s="256"/>
      <c r="D1005" s="257"/>
      <c r="E1005" s="258"/>
      <c r="F1005" s="259"/>
      <c r="G1005" s="258"/>
      <c r="H1005" s="255"/>
      <c r="I1005" s="254"/>
      <c r="J1005" s="261"/>
      <c r="K1005" s="254"/>
      <c r="L1005" s="258"/>
      <c r="M1005" s="258"/>
      <c r="N1005" s="255"/>
      <c r="O1005" s="255"/>
      <c r="P1005" s="254"/>
      <c r="Q1005" s="260"/>
    </row>
    <row r="1006">
      <c r="A1006" s="254"/>
      <c r="B1006" s="255"/>
      <c r="C1006" s="256"/>
      <c r="D1006" s="257"/>
      <c r="E1006" s="258"/>
      <c r="F1006" s="259"/>
      <c r="G1006" s="258"/>
      <c r="H1006" s="255"/>
      <c r="I1006" s="254"/>
      <c r="J1006" s="261"/>
      <c r="K1006" s="254"/>
      <c r="L1006" s="258"/>
      <c r="M1006" s="258"/>
      <c r="N1006" s="255"/>
      <c r="O1006" s="255"/>
      <c r="P1006" s="254"/>
      <c r="Q1006" s="260"/>
    </row>
    <row r="1007">
      <c r="A1007" s="254"/>
      <c r="B1007" s="255"/>
      <c r="C1007" s="256"/>
      <c r="D1007" s="257"/>
      <c r="E1007" s="258"/>
      <c r="F1007" s="259"/>
      <c r="G1007" s="258"/>
      <c r="H1007" s="255"/>
      <c r="I1007" s="254"/>
      <c r="J1007" s="261"/>
      <c r="K1007" s="254"/>
      <c r="L1007" s="258"/>
      <c r="M1007" s="258"/>
      <c r="N1007" s="255"/>
      <c r="O1007" s="255"/>
      <c r="P1007" s="254"/>
      <c r="Q1007" s="260"/>
    </row>
    <row r="1008">
      <c r="A1008" s="254"/>
      <c r="B1008" s="255"/>
      <c r="C1008" s="256"/>
      <c r="D1008" s="257"/>
      <c r="E1008" s="258"/>
      <c r="F1008" s="259"/>
      <c r="G1008" s="258"/>
      <c r="H1008" s="255"/>
      <c r="I1008" s="254"/>
      <c r="J1008" s="261"/>
      <c r="K1008" s="254"/>
      <c r="L1008" s="258"/>
      <c r="M1008" s="258"/>
      <c r="N1008" s="255"/>
      <c r="O1008" s="255"/>
      <c r="P1008" s="254"/>
      <c r="Q1008" s="260"/>
    </row>
    <row r="1009">
      <c r="A1009" s="254"/>
      <c r="B1009" s="255"/>
      <c r="C1009" s="256"/>
      <c r="D1009" s="257"/>
      <c r="E1009" s="258"/>
      <c r="F1009" s="259"/>
      <c r="G1009" s="258"/>
      <c r="H1009" s="255"/>
      <c r="I1009" s="254"/>
      <c r="J1009" s="261"/>
      <c r="K1009" s="254"/>
      <c r="L1009" s="258"/>
      <c r="M1009" s="258"/>
      <c r="N1009" s="255"/>
      <c r="O1009" s="255"/>
      <c r="P1009" s="254"/>
      <c r="Q1009" s="260"/>
    </row>
    <row r="1010">
      <c r="A1010" s="254"/>
      <c r="B1010" s="255"/>
      <c r="C1010" s="256"/>
      <c r="D1010" s="257"/>
      <c r="E1010" s="258"/>
      <c r="F1010" s="259"/>
      <c r="G1010" s="258"/>
      <c r="H1010" s="255"/>
      <c r="I1010" s="254"/>
      <c r="J1010" s="261"/>
      <c r="K1010" s="254"/>
      <c r="L1010" s="258"/>
      <c r="M1010" s="258"/>
      <c r="N1010" s="255"/>
      <c r="O1010" s="255"/>
      <c r="P1010" s="254"/>
      <c r="Q1010" s="260"/>
    </row>
    <row r="1011">
      <c r="A1011" s="254"/>
      <c r="B1011" s="255"/>
      <c r="C1011" s="256"/>
      <c r="D1011" s="257"/>
      <c r="E1011" s="258"/>
      <c r="F1011" s="259"/>
      <c r="G1011" s="258"/>
      <c r="H1011" s="255"/>
      <c r="I1011" s="254"/>
      <c r="J1011" s="261"/>
      <c r="K1011" s="254"/>
      <c r="L1011" s="258"/>
      <c r="M1011" s="258"/>
      <c r="N1011" s="255"/>
      <c r="O1011" s="255"/>
      <c r="P1011" s="254"/>
      <c r="Q1011" s="260"/>
    </row>
    <row r="1012">
      <c r="A1012" s="254"/>
      <c r="B1012" s="255"/>
      <c r="C1012" s="256"/>
      <c r="D1012" s="257"/>
      <c r="E1012" s="258"/>
      <c r="F1012" s="259"/>
      <c r="G1012" s="258"/>
      <c r="H1012" s="255"/>
      <c r="I1012" s="254"/>
      <c r="J1012" s="261"/>
      <c r="K1012" s="254"/>
      <c r="L1012" s="258"/>
      <c r="M1012" s="258"/>
      <c r="N1012" s="255"/>
      <c r="O1012" s="255"/>
      <c r="P1012" s="254"/>
      <c r="Q1012" s="260"/>
    </row>
    <row r="1013">
      <c r="A1013" s="254"/>
      <c r="B1013" s="255"/>
      <c r="C1013" s="256"/>
      <c r="D1013" s="257"/>
      <c r="E1013" s="258"/>
      <c r="F1013" s="259"/>
      <c r="G1013" s="258"/>
      <c r="H1013" s="255"/>
      <c r="I1013" s="254"/>
      <c r="J1013" s="261"/>
      <c r="K1013" s="254"/>
      <c r="L1013" s="258"/>
      <c r="M1013" s="258"/>
      <c r="N1013" s="255"/>
      <c r="O1013" s="255"/>
      <c r="P1013" s="254"/>
      <c r="Q1013" s="260"/>
    </row>
    <row r="1014">
      <c r="A1014" s="254"/>
      <c r="B1014" s="255"/>
      <c r="C1014" s="256"/>
      <c r="D1014" s="257"/>
      <c r="E1014" s="258"/>
      <c r="F1014" s="259"/>
      <c r="G1014" s="258"/>
      <c r="H1014" s="255"/>
      <c r="I1014" s="254"/>
      <c r="J1014" s="261"/>
      <c r="K1014" s="254"/>
      <c r="L1014" s="258"/>
      <c r="M1014" s="258"/>
      <c r="N1014" s="255"/>
      <c r="O1014" s="255"/>
      <c r="P1014" s="254"/>
      <c r="Q1014" s="260"/>
    </row>
    <row r="1015">
      <c r="A1015" s="254"/>
      <c r="B1015" s="255"/>
      <c r="C1015" s="256"/>
      <c r="D1015" s="257"/>
      <c r="E1015" s="258"/>
      <c r="F1015" s="259"/>
      <c r="G1015" s="258"/>
      <c r="H1015" s="255"/>
      <c r="I1015" s="254"/>
      <c r="J1015" s="261"/>
      <c r="K1015" s="254"/>
      <c r="L1015" s="258"/>
      <c r="M1015" s="258"/>
      <c r="N1015" s="255"/>
      <c r="O1015" s="255"/>
      <c r="P1015" s="254"/>
      <c r="Q1015" s="260"/>
    </row>
    <row r="1016">
      <c r="A1016" s="254"/>
      <c r="B1016" s="255"/>
      <c r="C1016" s="256"/>
      <c r="D1016" s="257"/>
      <c r="E1016" s="258"/>
      <c r="F1016" s="259"/>
      <c r="G1016" s="258"/>
      <c r="H1016" s="255"/>
      <c r="I1016" s="254"/>
      <c r="J1016" s="261"/>
      <c r="K1016" s="254"/>
      <c r="L1016" s="258"/>
      <c r="M1016" s="258"/>
      <c r="N1016" s="255"/>
      <c r="O1016" s="255"/>
      <c r="P1016" s="254"/>
      <c r="Q1016" s="260"/>
    </row>
    <row r="1017">
      <c r="A1017" s="254"/>
      <c r="B1017" s="255"/>
      <c r="C1017" s="256"/>
      <c r="D1017" s="257"/>
      <c r="E1017" s="258"/>
      <c r="F1017" s="259"/>
      <c r="G1017" s="258"/>
      <c r="H1017" s="255"/>
      <c r="I1017" s="254"/>
      <c r="J1017" s="261"/>
      <c r="K1017" s="254"/>
      <c r="L1017" s="258"/>
      <c r="M1017" s="258"/>
      <c r="N1017" s="255"/>
      <c r="O1017" s="255"/>
      <c r="P1017" s="254"/>
      <c r="Q1017" s="260"/>
    </row>
    <row r="1018">
      <c r="A1018" s="254"/>
      <c r="B1018" s="255"/>
      <c r="C1018" s="256"/>
      <c r="D1018" s="257"/>
      <c r="E1018" s="258"/>
      <c r="F1018" s="259"/>
      <c r="G1018" s="258"/>
      <c r="H1018" s="255"/>
      <c r="I1018" s="254"/>
      <c r="J1018" s="261"/>
      <c r="K1018" s="254"/>
      <c r="L1018" s="258"/>
      <c r="M1018" s="258"/>
      <c r="N1018" s="255"/>
      <c r="O1018" s="255"/>
      <c r="P1018" s="254"/>
      <c r="Q1018" s="260"/>
    </row>
    <row r="1019">
      <c r="A1019" s="254"/>
      <c r="B1019" s="255"/>
      <c r="C1019" s="256"/>
      <c r="D1019" s="257"/>
      <c r="E1019" s="258"/>
      <c r="F1019" s="259"/>
      <c r="G1019" s="258"/>
      <c r="H1019" s="255"/>
      <c r="I1019" s="254"/>
      <c r="J1019" s="261"/>
      <c r="K1019" s="254"/>
      <c r="L1019" s="258"/>
      <c r="M1019" s="258"/>
      <c r="N1019" s="255"/>
      <c r="O1019" s="255"/>
      <c r="P1019" s="254"/>
      <c r="Q1019" s="260"/>
    </row>
    <row r="1020">
      <c r="A1020" s="254"/>
      <c r="B1020" s="255"/>
      <c r="C1020" s="256"/>
      <c r="D1020" s="257"/>
      <c r="E1020" s="258"/>
      <c r="F1020" s="259"/>
      <c r="G1020" s="258"/>
      <c r="H1020" s="255"/>
      <c r="I1020" s="254"/>
      <c r="J1020" s="261"/>
      <c r="K1020" s="254"/>
      <c r="L1020" s="258"/>
      <c r="M1020" s="258"/>
      <c r="N1020" s="255"/>
      <c r="O1020" s="255"/>
      <c r="P1020" s="254"/>
      <c r="Q1020" s="260"/>
    </row>
    <row r="1021">
      <c r="A1021" s="254"/>
      <c r="B1021" s="255"/>
      <c r="C1021" s="256"/>
      <c r="D1021" s="257"/>
      <c r="E1021" s="258"/>
      <c r="F1021" s="259"/>
      <c r="G1021" s="258"/>
      <c r="H1021" s="255"/>
      <c r="I1021" s="254"/>
      <c r="J1021" s="261"/>
      <c r="K1021" s="254"/>
      <c r="L1021" s="258"/>
      <c r="M1021" s="258"/>
      <c r="N1021" s="255"/>
      <c r="O1021" s="255"/>
      <c r="P1021" s="254"/>
      <c r="Q1021" s="260"/>
    </row>
    <row r="1022">
      <c r="A1022" s="254"/>
      <c r="B1022" s="255"/>
      <c r="C1022" s="256"/>
      <c r="D1022" s="257"/>
      <c r="E1022" s="258"/>
      <c r="F1022" s="259"/>
      <c r="G1022" s="258"/>
      <c r="H1022" s="255"/>
      <c r="I1022" s="254"/>
      <c r="J1022" s="261"/>
      <c r="K1022" s="254"/>
      <c r="L1022" s="258"/>
      <c r="M1022" s="258"/>
      <c r="N1022" s="255"/>
      <c r="O1022" s="255"/>
      <c r="P1022" s="254"/>
      <c r="Q1022" s="260"/>
    </row>
    <row r="1023">
      <c r="A1023" s="254"/>
      <c r="B1023" s="255"/>
      <c r="C1023" s="256"/>
      <c r="D1023" s="257"/>
      <c r="E1023" s="258"/>
      <c r="F1023" s="259"/>
      <c r="G1023" s="258"/>
      <c r="H1023" s="255"/>
      <c r="I1023" s="254"/>
      <c r="J1023" s="261"/>
      <c r="K1023" s="254"/>
      <c r="L1023" s="258"/>
      <c r="M1023" s="258"/>
      <c r="N1023" s="255"/>
      <c r="O1023" s="255"/>
      <c r="P1023" s="254"/>
      <c r="Q1023" s="260"/>
    </row>
    <row r="1024">
      <c r="A1024" s="254"/>
      <c r="B1024" s="255"/>
      <c r="C1024" s="256"/>
      <c r="D1024" s="257"/>
      <c r="E1024" s="258"/>
      <c r="F1024" s="259"/>
      <c r="G1024" s="258"/>
      <c r="H1024" s="255"/>
      <c r="I1024" s="254"/>
      <c r="J1024" s="261"/>
      <c r="K1024" s="254"/>
      <c r="L1024" s="258"/>
      <c r="M1024" s="258"/>
      <c r="N1024" s="255"/>
      <c r="O1024" s="255"/>
      <c r="P1024" s="254"/>
      <c r="Q1024" s="260"/>
    </row>
    <row r="1025">
      <c r="A1025" s="254"/>
      <c r="B1025" s="255"/>
      <c r="C1025" s="256"/>
      <c r="D1025" s="257"/>
      <c r="E1025" s="258"/>
      <c r="F1025" s="259"/>
      <c r="G1025" s="258"/>
      <c r="H1025" s="255"/>
      <c r="I1025" s="254"/>
      <c r="J1025" s="261"/>
      <c r="K1025" s="254"/>
      <c r="L1025" s="258"/>
      <c r="M1025" s="258"/>
      <c r="N1025" s="255"/>
      <c r="O1025" s="255"/>
      <c r="P1025" s="254"/>
      <c r="Q1025" s="260"/>
    </row>
    <row r="1026">
      <c r="A1026" s="254"/>
      <c r="B1026" s="255"/>
      <c r="C1026" s="256"/>
      <c r="D1026" s="257"/>
      <c r="E1026" s="258"/>
      <c r="F1026" s="259"/>
      <c r="G1026" s="258"/>
      <c r="H1026" s="255"/>
      <c r="I1026" s="254"/>
      <c r="J1026" s="261"/>
      <c r="K1026" s="254"/>
      <c r="L1026" s="258"/>
      <c r="M1026" s="258"/>
      <c r="N1026" s="255"/>
      <c r="O1026" s="255"/>
      <c r="P1026" s="254"/>
      <c r="Q1026" s="260"/>
    </row>
    <row r="1027">
      <c r="A1027" s="254"/>
      <c r="B1027" s="255"/>
      <c r="C1027" s="256"/>
      <c r="D1027" s="257"/>
      <c r="E1027" s="258"/>
      <c r="F1027" s="259"/>
      <c r="G1027" s="258"/>
      <c r="H1027" s="255"/>
      <c r="I1027" s="254"/>
      <c r="J1027" s="261"/>
      <c r="K1027" s="254"/>
      <c r="L1027" s="258"/>
      <c r="M1027" s="258"/>
      <c r="N1027" s="255"/>
      <c r="O1027" s="255"/>
      <c r="P1027" s="254"/>
      <c r="Q1027" s="260"/>
    </row>
    <row r="1028">
      <c r="A1028" s="254"/>
      <c r="B1028" s="255"/>
      <c r="C1028" s="256"/>
      <c r="D1028" s="257"/>
      <c r="E1028" s="258"/>
      <c r="F1028" s="259"/>
      <c r="G1028" s="258"/>
      <c r="H1028" s="255"/>
      <c r="I1028" s="254"/>
      <c r="J1028" s="261"/>
      <c r="K1028" s="254"/>
      <c r="L1028" s="258"/>
      <c r="M1028" s="258"/>
      <c r="N1028" s="255"/>
      <c r="O1028" s="255"/>
      <c r="P1028" s="254"/>
      <c r="Q1028" s="260"/>
    </row>
    <row r="1029">
      <c r="A1029" s="254"/>
      <c r="B1029" s="255"/>
      <c r="C1029" s="256"/>
      <c r="D1029" s="257"/>
      <c r="E1029" s="258"/>
      <c r="F1029" s="259"/>
      <c r="G1029" s="258"/>
      <c r="H1029" s="255"/>
      <c r="I1029" s="254"/>
      <c r="J1029" s="261"/>
      <c r="K1029" s="254"/>
      <c r="L1029" s="258"/>
      <c r="M1029" s="258"/>
      <c r="N1029" s="255"/>
      <c r="O1029" s="255"/>
      <c r="P1029" s="254"/>
      <c r="Q1029" s="260"/>
    </row>
    <row r="1030">
      <c r="A1030" s="254"/>
      <c r="B1030" s="255"/>
      <c r="C1030" s="256"/>
      <c r="D1030" s="257"/>
      <c r="E1030" s="258"/>
      <c r="F1030" s="259"/>
      <c r="G1030" s="258"/>
      <c r="H1030" s="255"/>
      <c r="I1030" s="254"/>
      <c r="J1030" s="261"/>
      <c r="K1030" s="254"/>
      <c r="L1030" s="258"/>
      <c r="M1030" s="258"/>
      <c r="N1030" s="255"/>
      <c r="O1030" s="255"/>
      <c r="P1030" s="254"/>
      <c r="Q1030" s="260"/>
    </row>
    <row r="1031">
      <c r="A1031" s="254"/>
      <c r="B1031" s="255"/>
      <c r="C1031" s="256"/>
      <c r="D1031" s="257"/>
      <c r="E1031" s="258"/>
      <c r="F1031" s="259"/>
      <c r="G1031" s="258"/>
      <c r="H1031" s="255"/>
      <c r="I1031" s="254"/>
      <c r="J1031" s="261"/>
      <c r="K1031" s="254"/>
      <c r="L1031" s="258"/>
      <c r="M1031" s="258"/>
      <c r="N1031" s="255"/>
      <c r="O1031" s="255"/>
      <c r="P1031" s="254"/>
      <c r="Q1031" s="260"/>
    </row>
    <row r="1032">
      <c r="A1032" s="254"/>
      <c r="B1032" s="255"/>
      <c r="C1032" s="256"/>
      <c r="D1032" s="257"/>
      <c r="E1032" s="258"/>
      <c r="F1032" s="259"/>
      <c r="G1032" s="258"/>
      <c r="H1032" s="255"/>
      <c r="I1032" s="254"/>
      <c r="J1032" s="261"/>
      <c r="K1032" s="254"/>
      <c r="L1032" s="258"/>
      <c r="M1032" s="258"/>
      <c r="N1032" s="255"/>
      <c r="O1032" s="255"/>
      <c r="P1032" s="254"/>
      <c r="Q1032" s="260"/>
    </row>
    <row r="1033">
      <c r="A1033" s="254"/>
      <c r="B1033" s="255"/>
      <c r="C1033" s="256"/>
      <c r="D1033" s="257"/>
      <c r="E1033" s="258"/>
      <c r="F1033" s="259"/>
      <c r="G1033" s="258"/>
      <c r="H1033" s="255"/>
      <c r="I1033" s="254"/>
      <c r="J1033" s="261"/>
      <c r="K1033" s="254"/>
      <c r="L1033" s="258"/>
      <c r="M1033" s="258"/>
      <c r="N1033" s="255"/>
      <c r="O1033" s="255"/>
      <c r="P1033" s="254"/>
      <c r="Q1033" s="260"/>
    </row>
    <row r="1034">
      <c r="A1034" s="254"/>
      <c r="B1034" s="255"/>
      <c r="C1034" s="256"/>
      <c r="D1034" s="257"/>
      <c r="E1034" s="258"/>
      <c r="F1034" s="259"/>
      <c r="G1034" s="258"/>
      <c r="H1034" s="255"/>
      <c r="I1034" s="254"/>
      <c r="J1034" s="261"/>
      <c r="K1034" s="254"/>
      <c r="L1034" s="258"/>
      <c r="M1034" s="258"/>
      <c r="N1034" s="255"/>
      <c r="O1034" s="255"/>
      <c r="P1034" s="254"/>
      <c r="Q1034" s="260"/>
    </row>
    <row r="1035">
      <c r="A1035" s="254"/>
      <c r="B1035" s="255"/>
      <c r="C1035" s="256"/>
      <c r="D1035" s="257"/>
      <c r="E1035" s="258"/>
      <c r="F1035" s="259"/>
      <c r="G1035" s="258"/>
      <c r="H1035" s="255"/>
      <c r="I1035" s="254"/>
      <c r="J1035" s="261"/>
      <c r="K1035" s="254"/>
      <c r="L1035" s="258"/>
      <c r="M1035" s="258"/>
      <c r="N1035" s="255"/>
      <c r="O1035" s="255"/>
      <c r="P1035" s="254"/>
      <c r="Q1035" s="260"/>
    </row>
    <row r="1036">
      <c r="A1036" s="254"/>
      <c r="B1036" s="255"/>
      <c r="C1036" s="256"/>
      <c r="D1036" s="257"/>
      <c r="E1036" s="258"/>
      <c r="F1036" s="259"/>
      <c r="G1036" s="258"/>
      <c r="H1036" s="255"/>
      <c r="I1036" s="254"/>
      <c r="J1036" s="261"/>
      <c r="K1036" s="254"/>
      <c r="L1036" s="258"/>
      <c r="M1036" s="258"/>
      <c r="N1036" s="255"/>
      <c r="O1036" s="255"/>
      <c r="P1036" s="254"/>
      <c r="Q1036" s="260"/>
    </row>
    <row r="1037">
      <c r="A1037" s="254"/>
      <c r="B1037" s="255"/>
      <c r="C1037" s="256"/>
      <c r="D1037" s="257"/>
      <c r="E1037" s="258"/>
      <c r="F1037" s="259"/>
      <c r="G1037" s="258"/>
      <c r="H1037" s="255"/>
      <c r="I1037" s="254"/>
      <c r="J1037" s="261"/>
      <c r="K1037" s="254"/>
      <c r="L1037" s="258"/>
      <c r="M1037" s="258"/>
      <c r="N1037" s="255"/>
      <c r="O1037" s="255"/>
      <c r="P1037" s="254"/>
      <c r="Q1037" s="260"/>
    </row>
    <row r="1038">
      <c r="A1038" s="254"/>
      <c r="B1038" s="255"/>
      <c r="C1038" s="256"/>
      <c r="D1038" s="257"/>
      <c r="E1038" s="258"/>
      <c r="F1038" s="259"/>
      <c r="G1038" s="258"/>
      <c r="H1038" s="255"/>
      <c r="I1038" s="254"/>
      <c r="J1038" s="261"/>
      <c r="K1038" s="254"/>
      <c r="L1038" s="258"/>
      <c r="M1038" s="258"/>
      <c r="N1038" s="255"/>
      <c r="O1038" s="255"/>
      <c r="P1038" s="254"/>
      <c r="Q1038" s="260"/>
    </row>
    <row r="1039">
      <c r="A1039" s="254"/>
      <c r="B1039" s="255"/>
      <c r="C1039" s="256"/>
      <c r="D1039" s="257"/>
      <c r="E1039" s="258"/>
      <c r="F1039" s="259"/>
      <c r="G1039" s="258"/>
      <c r="H1039" s="255"/>
      <c r="I1039" s="254"/>
      <c r="J1039" s="261"/>
      <c r="K1039" s="254"/>
      <c r="L1039" s="258"/>
      <c r="M1039" s="258"/>
      <c r="N1039" s="255"/>
      <c r="O1039" s="255"/>
      <c r="P1039" s="254"/>
      <c r="Q1039" s="260"/>
    </row>
    <row r="1040">
      <c r="A1040" s="254"/>
      <c r="B1040" s="255"/>
      <c r="C1040" s="256"/>
      <c r="D1040" s="257"/>
      <c r="E1040" s="258"/>
      <c r="F1040" s="259"/>
      <c r="G1040" s="258"/>
      <c r="H1040" s="255"/>
      <c r="I1040" s="254"/>
      <c r="J1040" s="261"/>
      <c r="K1040" s="254"/>
      <c r="L1040" s="258"/>
      <c r="M1040" s="258"/>
      <c r="N1040" s="255"/>
      <c r="O1040" s="255"/>
      <c r="P1040" s="254"/>
      <c r="Q1040" s="260"/>
    </row>
    <row r="1041">
      <c r="A1041" s="254"/>
      <c r="B1041" s="255"/>
      <c r="C1041" s="256"/>
      <c r="D1041" s="257"/>
      <c r="E1041" s="258"/>
      <c r="F1041" s="259"/>
      <c r="G1041" s="258"/>
      <c r="H1041" s="255"/>
      <c r="I1041" s="254"/>
      <c r="J1041" s="261"/>
      <c r="K1041" s="254"/>
      <c r="L1041" s="258"/>
      <c r="M1041" s="258"/>
      <c r="N1041" s="255"/>
      <c r="O1041" s="255"/>
      <c r="P1041" s="254"/>
      <c r="Q1041" s="260"/>
    </row>
    <row r="1042">
      <c r="A1042" s="254"/>
      <c r="B1042" s="255"/>
      <c r="C1042" s="256"/>
      <c r="D1042" s="257"/>
      <c r="E1042" s="258"/>
      <c r="F1042" s="259"/>
      <c r="G1042" s="258"/>
      <c r="H1042" s="255"/>
      <c r="I1042" s="254"/>
      <c r="J1042" s="261"/>
      <c r="K1042" s="254"/>
      <c r="L1042" s="258"/>
      <c r="M1042" s="258"/>
      <c r="N1042" s="255"/>
      <c r="O1042" s="255"/>
      <c r="P1042" s="254"/>
      <c r="Q1042" s="260"/>
    </row>
    <row r="1043">
      <c r="A1043" s="254"/>
      <c r="B1043" s="255"/>
      <c r="C1043" s="256"/>
      <c r="D1043" s="257"/>
      <c r="E1043" s="258"/>
      <c r="F1043" s="259"/>
      <c r="G1043" s="258"/>
      <c r="H1043" s="255"/>
      <c r="I1043" s="254"/>
      <c r="J1043" s="261"/>
      <c r="K1043" s="254"/>
      <c r="L1043" s="258"/>
      <c r="M1043" s="258"/>
      <c r="N1043" s="255"/>
      <c r="O1043" s="255"/>
      <c r="P1043" s="254"/>
      <c r="Q1043" s="260"/>
    </row>
    <row r="1044">
      <c r="A1044" s="254"/>
      <c r="B1044" s="255"/>
      <c r="C1044" s="256"/>
      <c r="D1044" s="257"/>
      <c r="E1044" s="258"/>
      <c r="F1044" s="259"/>
      <c r="G1044" s="258"/>
      <c r="H1044" s="255"/>
      <c r="I1044" s="254"/>
      <c r="J1044" s="261"/>
      <c r="K1044" s="254"/>
      <c r="L1044" s="258"/>
      <c r="M1044" s="258"/>
      <c r="N1044" s="255"/>
      <c r="O1044" s="255"/>
      <c r="P1044" s="254"/>
      <c r="Q1044" s="260"/>
    </row>
    <row r="1045">
      <c r="A1045" s="254"/>
      <c r="B1045" s="255"/>
      <c r="C1045" s="256"/>
      <c r="D1045" s="257"/>
      <c r="E1045" s="258"/>
      <c r="F1045" s="259"/>
      <c r="G1045" s="258"/>
      <c r="H1045" s="255"/>
      <c r="I1045" s="254"/>
      <c r="J1045" s="261"/>
      <c r="K1045" s="254"/>
      <c r="L1045" s="258"/>
      <c r="M1045" s="258"/>
      <c r="N1045" s="255"/>
      <c r="O1045" s="255"/>
      <c r="P1045" s="254"/>
      <c r="Q1045" s="260"/>
    </row>
    <row r="1046">
      <c r="A1046" s="254"/>
      <c r="B1046" s="255"/>
      <c r="C1046" s="256"/>
      <c r="D1046" s="257"/>
      <c r="E1046" s="258"/>
      <c r="F1046" s="259"/>
      <c r="G1046" s="258"/>
      <c r="H1046" s="255"/>
      <c r="I1046" s="254"/>
      <c r="J1046" s="261"/>
      <c r="K1046" s="254"/>
      <c r="L1046" s="258"/>
      <c r="M1046" s="258"/>
      <c r="N1046" s="255"/>
      <c r="O1046" s="255"/>
      <c r="P1046" s="254"/>
      <c r="Q1046" s="260"/>
    </row>
    <row r="1047">
      <c r="A1047" s="254"/>
      <c r="B1047" s="255"/>
      <c r="C1047" s="256"/>
      <c r="D1047" s="257"/>
      <c r="E1047" s="258"/>
      <c r="F1047" s="259"/>
      <c r="G1047" s="258"/>
      <c r="H1047" s="255"/>
      <c r="I1047" s="254"/>
      <c r="J1047" s="261"/>
      <c r="K1047" s="254"/>
      <c r="L1047" s="258"/>
      <c r="M1047" s="258"/>
      <c r="N1047" s="255"/>
      <c r="O1047" s="255"/>
      <c r="P1047" s="254"/>
      <c r="Q1047" s="260"/>
    </row>
    <row r="1048">
      <c r="A1048" s="254"/>
      <c r="B1048" s="255"/>
      <c r="C1048" s="256"/>
      <c r="D1048" s="257"/>
      <c r="E1048" s="258"/>
      <c r="F1048" s="259"/>
      <c r="G1048" s="258"/>
      <c r="H1048" s="255"/>
      <c r="I1048" s="254"/>
      <c r="J1048" s="261"/>
      <c r="K1048" s="254"/>
      <c r="L1048" s="258"/>
      <c r="M1048" s="258"/>
      <c r="N1048" s="255"/>
      <c r="O1048" s="255"/>
      <c r="P1048" s="254"/>
      <c r="Q1048" s="260"/>
    </row>
    <row r="1049">
      <c r="A1049" s="254"/>
      <c r="B1049" s="255"/>
      <c r="C1049" s="256"/>
      <c r="D1049" s="257"/>
      <c r="E1049" s="258"/>
      <c r="F1049" s="259"/>
      <c r="G1049" s="258"/>
      <c r="H1049" s="255"/>
      <c r="I1049" s="254"/>
      <c r="J1049" s="261"/>
      <c r="K1049" s="254"/>
      <c r="L1049" s="258"/>
      <c r="M1049" s="258"/>
      <c r="N1049" s="255"/>
      <c r="O1049" s="255"/>
      <c r="P1049" s="254"/>
      <c r="Q1049" s="260"/>
    </row>
    <row r="1050">
      <c r="A1050" s="254"/>
      <c r="B1050" s="255"/>
      <c r="C1050" s="256"/>
      <c r="D1050" s="257"/>
      <c r="E1050" s="258"/>
      <c r="F1050" s="259"/>
      <c r="G1050" s="258"/>
      <c r="H1050" s="255"/>
      <c r="I1050" s="254"/>
      <c r="J1050" s="261"/>
      <c r="K1050" s="254"/>
      <c r="L1050" s="258"/>
      <c r="M1050" s="258"/>
      <c r="N1050" s="255"/>
      <c r="O1050" s="255"/>
      <c r="P1050" s="254"/>
      <c r="Q1050" s="260"/>
    </row>
    <row r="1051">
      <c r="A1051" s="254"/>
      <c r="B1051" s="255"/>
      <c r="C1051" s="256"/>
      <c r="D1051" s="257"/>
      <c r="E1051" s="258"/>
      <c r="F1051" s="259"/>
      <c r="G1051" s="258"/>
      <c r="H1051" s="255"/>
      <c r="I1051" s="254"/>
      <c r="J1051" s="261"/>
      <c r="K1051" s="254"/>
      <c r="L1051" s="258"/>
      <c r="M1051" s="258"/>
      <c r="N1051" s="255"/>
      <c r="O1051" s="255"/>
      <c r="P1051" s="254"/>
      <c r="Q1051" s="260"/>
    </row>
    <row r="1052">
      <c r="A1052" s="254"/>
      <c r="B1052" s="255"/>
      <c r="C1052" s="256"/>
      <c r="D1052" s="257"/>
      <c r="E1052" s="258"/>
      <c r="F1052" s="259"/>
      <c r="G1052" s="258"/>
      <c r="H1052" s="255"/>
      <c r="I1052" s="254"/>
      <c r="J1052" s="261"/>
      <c r="K1052" s="254"/>
      <c r="L1052" s="258"/>
      <c r="M1052" s="258"/>
      <c r="N1052" s="255"/>
      <c r="O1052" s="255"/>
      <c r="P1052" s="254"/>
      <c r="Q1052" s="260"/>
    </row>
    <row r="1053">
      <c r="A1053" s="254"/>
      <c r="B1053" s="255"/>
      <c r="C1053" s="256"/>
      <c r="D1053" s="257"/>
      <c r="E1053" s="258"/>
      <c r="F1053" s="259"/>
      <c r="G1053" s="258"/>
      <c r="H1053" s="255"/>
      <c r="I1053" s="254"/>
      <c r="J1053" s="261"/>
      <c r="K1053" s="254"/>
      <c r="L1053" s="258"/>
      <c r="M1053" s="258"/>
      <c r="N1053" s="255"/>
      <c r="O1053" s="255"/>
      <c r="P1053" s="254"/>
      <c r="Q1053" s="260"/>
    </row>
    <row r="1054">
      <c r="A1054" s="254"/>
      <c r="B1054" s="255"/>
      <c r="C1054" s="256"/>
      <c r="D1054" s="257"/>
      <c r="E1054" s="258"/>
      <c r="F1054" s="259"/>
      <c r="G1054" s="258"/>
      <c r="H1054" s="255"/>
      <c r="I1054" s="254"/>
      <c r="J1054" s="261"/>
      <c r="K1054" s="254"/>
      <c r="L1054" s="258"/>
      <c r="M1054" s="258"/>
      <c r="N1054" s="255"/>
      <c r="O1054" s="255"/>
      <c r="P1054" s="254"/>
      <c r="Q1054" s="260"/>
    </row>
    <row r="1055">
      <c r="A1055" s="254"/>
      <c r="B1055" s="255"/>
      <c r="C1055" s="256"/>
      <c r="D1055" s="257"/>
      <c r="E1055" s="258"/>
      <c r="F1055" s="259"/>
      <c r="G1055" s="258"/>
      <c r="H1055" s="255"/>
      <c r="I1055" s="254"/>
      <c r="J1055" s="261"/>
      <c r="K1055" s="254"/>
      <c r="L1055" s="258"/>
      <c r="M1055" s="258"/>
      <c r="N1055" s="255"/>
      <c r="O1055" s="255"/>
      <c r="P1055" s="254"/>
      <c r="Q1055" s="260"/>
    </row>
    <row r="1056">
      <c r="A1056" s="254"/>
      <c r="B1056" s="255"/>
      <c r="C1056" s="256"/>
      <c r="D1056" s="257"/>
      <c r="E1056" s="258"/>
      <c r="F1056" s="259"/>
      <c r="G1056" s="258"/>
      <c r="H1056" s="255"/>
      <c r="I1056" s="254"/>
      <c r="J1056" s="261"/>
      <c r="K1056" s="254"/>
      <c r="L1056" s="258"/>
      <c r="M1056" s="258"/>
      <c r="N1056" s="255"/>
      <c r="O1056" s="255"/>
      <c r="P1056" s="254"/>
      <c r="Q1056" s="260"/>
    </row>
    <row r="1057">
      <c r="A1057" s="254"/>
      <c r="B1057" s="255"/>
      <c r="C1057" s="256"/>
      <c r="D1057" s="257"/>
      <c r="E1057" s="258"/>
      <c r="F1057" s="259"/>
      <c r="G1057" s="258"/>
      <c r="H1057" s="255"/>
      <c r="I1057" s="254"/>
      <c r="J1057" s="261"/>
      <c r="K1057" s="254"/>
      <c r="L1057" s="258"/>
      <c r="M1057" s="258"/>
      <c r="N1057" s="255"/>
      <c r="O1057" s="255"/>
      <c r="P1057" s="254"/>
      <c r="Q1057" s="260"/>
    </row>
    <row r="1058">
      <c r="A1058" s="254"/>
      <c r="B1058" s="255"/>
      <c r="C1058" s="256"/>
      <c r="D1058" s="257"/>
      <c r="E1058" s="258"/>
      <c r="F1058" s="259"/>
      <c r="G1058" s="258"/>
      <c r="H1058" s="255"/>
      <c r="I1058" s="254"/>
      <c r="J1058" s="261"/>
      <c r="K1058" s="254"/>
      <c r="L1058" s="258"/>
      <c r="M1058" s="258"/>
      <c r="N1058" s="255"/>
      <c r="O1058" s="255"/>
      <c r="P1058" s="254"/>
      <c r="Q1058" s="260"/>
    </row>
    <row r="1059">
      <c r="A1059" s="254"/>
      <c r="B1059" s="255"/>
      <c r="C1059" s="256"/>
      <c r="D1059" s="257"/>
      <c r="E1059" s="258"/>
      <c r="F1059" s="259"/>
      <c r="G1059" s="258"/>
      <c r="H1059" s="255"/>
      <c r="I1059" s="254"/>
      <c r="J1059" s="261"/>
      <c r="K1059" s="254"/>
      <c r="L1059" s="258"/>
      <c r="M1059" s="258"/>
      <c r="N1059" s="255"/>
      <c r="O1059" s="255"/>
      <c r="P1059" s="254"/>
      <c r="Q1059" s="260"/>
    </row>
    <row r="1060">
      <c r="A1060" s="254"/>
      <c r="B1060" s="255"/>
      <c r="C1060" s="256"/>
      <c r="D1060" s="257"/>
      <c r="E1060" s="258"/>
      <c r="F1060" s="259"/>
      <c r="G1060" s="258"/>
      <c r="H1060" s="255"/>
      <c r="I1060" s="254"/>
      <c r="J1060" s="261"/>
      <c r="K1060" s="254"/>
      <c r="L1060" s="258"/>
      <c r="M1060" s="258"/>
      <c r="N1060" s="255"/>
      <c r="O1060" s="255"/>
      <c r="P1060" s="254"/>
      <c r="Q1060" s="260"/>
    </row>
    <row r="1061">
      <c r="A1061" s="254"/>
      <c r="B1061" s="255"/>
      <c r="C1061" s="256"/>
      <c r="D1061" s="257"/>
      <c r="E1061" s="258"/>
      <c r="F1061" s="259"/>
      <c r="G1061" s="258"/>
      <c r="H1061" s="255"/>
      <c r="I1061" s="254"/>
      <c r="J1061" s="261"/>
      <c r="K1061" s="254"/>
      <c r="L1061" s="258"/>
      <c r="M1061" s="258"/>
      <c r="N1061" s="255"/>
      <c r="O1061" s="255"/>
      <c r="P1061" s="254"/>
      <c r="Q1061" s="260"/>
    </row>
    <row r="1062">
      <c r="A1062" s="254"/>
      <c r="B1062" s="255"/>
      <c r="C1062" s="256"/>
      <c r="D1062" s="257"/>
      <c r="E1062" s="258"/>
      <c r="F1062" s="259"/>
      <c r="G1062" s="258"/>
      <c r="H1062" s="255"/>
      <c r="I1062" s="254"/>
      <c r="J1062" s="261"/>
      <c r="K1062" s="254"/>
      <c r="L1062" s="258"/>
      <c r="M1062" s="258"/>
      <c r="N1062" s="255"/>
      <c r="O1062" s="255"/>
      <c r="P1062" s="254"/>
      <c r="Q1062" s="260"/>
    </row>
    <row r="1063">
      <c r="A1063" s="254"/>
      <c r="B1063" s="255"/>
      <c r="C1063" s="256"/>
      <c r="D1063" s="257"/>
      <c r="E1063" s="258"/>
      <c r="F1063" s="259"/>
      <c r="G1063" s="258"/>
      <c r="H1063" s="255"/>
      <c r="I1063" s="254"/>
      <c r="J1063" s="261"/>
      <c r="K1063" s="254"/>
      <c r="L1063" s="258"/>
      <c r="M1063" s="258"/>
      <c r="N1063" s="255"/>
      <c r="O1063" s="255"/>
      <c r="P1063" s="254"/>
      <c r="Q1063" s="260"/>
    </row>
    <row r="1064">
      <c r="A1064" s="254"/>
      <c r="B1064" s="255"/>
      <c r="C1064" s="256"/>
      <c r="D1064" s="257"/>
      <c r="E1064" s="258"/>
      <c r="F1064" s="259"/>
      <c r="G1064" s="258"/>
      <c r="H1064" s="255"/>
      <c r="I1064" s="254"/>
      <c r="J1064" s="261"/>
      <c r="K1064" s="254"/>
      <c r="L1064" s="258"/>
      <c r="M1064" s="258"/>
      <c r="N1064" s="255"/>
      <c r="O1064" s="255"/>
      <c r="P1064" s="254"/>
      <c r="Q1064" s="260"/>
    </row>
    <row r="1065">
      <c r="A1065" s="254"/>
      <c r="B1065" s="255"/>
      <c r="C1065" s="256"/>
      <c r="D1065" s="257"/>
      <c r="E1065" s="258"/>
      <c r="F1065" s="259"/>
      <c r="G1065" s="258"/>
      <c r="H1065" s="255"/>
      <c r="I1065" s="254"/>
      <c r="J1065" s="261"/>
      <c r="K1065" s="254"/>
      <c r="L1065" s="258"/>
      <c r="M1065" s="258"/>
      <c r="N1065" s="255"/>
      <c r="O1065" s="255"/>
      <c r="P1065" s="254"/>
      <c r="Q1065" s="260"/>
    </row>
    <row r="1066">
      <c r="A1066" s="254"/>
      <c r="B1066" s="255"/>
      <c r="C1066" s="256"/>
      <c r="D1066" s="257"/>
      <c r="E1066" s="258"/>
      <c r="F1066" s="259"/>
      <c r="G1066" s="258"/>
      <c r="H1066" s="255"/>
      <c r="I1066" s="254"/>
      <c r="J1066" s="261"/>
      <c r="K1066" s="254"/>
      <c r="L1066" s="258"/>
      <c r="M1066" s="258"/>
      <c r="N1066" s="255"/>
      <c r="O1066" s="255"/>
      <c r="P1066" s="254"/>
      <c r="Q1066" s="260"/>
    </row>
    <row r="1067">
      <c r="A1067" s="254"/>
      <c r="B1067" s="255"/>
      <c r="C1067" s="256"/>
      <c r="D1067" s="257"/>
      <c r="E1067" s="258"/>
      <c r="F1067" s="259"/>
      <c r="G1067" s="258"/>
      <c r="H1067" s="255"/>
      <c r="I1067" s="254"/>
      <c r="J1067" s="261"/>
      <c r="K1067" s="254"/>
      <c r="L1067" s="258"/>
      <c r="M1067" s="258"/>
      <c r="N1067" s="255"/>
      <c r="O1067" s="255"/>
      <c r="P1067" s="254"/>
      <c r="Q1067" s="260"/>
    </row>
    <row r="1068">
      <c r="A1068" s="254"/>
      <c r="B1068" s="255"/>
      <c r="C1068" s="256"/>
      <c r="D1068" s="257"/>
      <c r="E1068" s="258"/>
      <c r="F1068" s="259"/>
      <c r="G1068" s="258"/>
      <c r="H1068" s="255"/>
      <c r="I1068" s="254"/>
      <c r="J1068" s="261"/>
      <c r="K1068" s="254"/>
      <c r="L1068" s="258"/>
      <c r="M1068" s="258"/>
      <c r="N1068" s="255"/>
      <c r="O1068" s="255"/>
      <c r="P1068" s="254"/>
      <c r="Q1068" s="260"/>
    </row>
    <row r="1069">
      <c r="A1069" s="254"/>
      <c r="B1069" s="255"/>
      <c r="C1069" s="256"/>
      <c r="D1069" s="257"/>
      <c r="E1069" s="258"/>
      <c r="F1069" s="259"/>
      <c r="G1069" s="258"/>
      <c r="H1069" s="255"/>
      <c r="I1069" s="254"/>
      <c r="J1069" s="261"/>
      <c r="K1069" s="254"/>
      <c r="L1069" s="258"/>
      <c r="M1069" s="258"/>
      <c r="N1069" s="255"/>
      <c r="O1069" s="255"/>
      <c r="P1069" s="254"/>
      <c r="Q1069" s="260"/>
    </row>
    <row r="1070">
      <c r="A1070" s="254"/>
      <c r="B1070" s="255"/>
      <c r="C1070" s="256"/>
      <c r="D1070" s="257"/>
      <c r="E1070" s="258"/>
      <c r="F1070" s="259"/>
      <c r="G1070" s="258"/>
      <c r="H1070" s="255"/>
      <c r="I1070" s="254"/>
      <c r="J1070" s="261"/>
      <c r="K1070" s="254"/>
      <c r="L1070" s="258"/>
      <c r="M1070" s="258"/>
      <c r="N1070" s="255"/>
      <c r="O1070" s="255"/>
      <c r="P1070" s="254"/>
      <c r="Q1070" s="260"/>
    </row>
    <row r="1071">
      <c r="A1071" s="254"/>
      <c r="B1071" s="255"/>
      <c r="C1071" s="256"/>
      <c r="D1071" s="257"/>
      <c r="E1071" s="258"/>
      <c r="F1071" s="259"/>
      <c r="G1071" s="258"/>
      <c r="H1071" s="255"/>
      <c r="I1071" s="254"/>
      <c r="J1071" s="261"/>
      <c r="K1071" s="254"/>
      <c r="L1071" s="258"/>
      <c r="M1071" s="258"/>
      <c r="N1071" s="255"/>
      <c r="O1071" s="255"/>
      <c r="P1071" s="254"/>
      <c r="Q1071" s="260"/>
    </row>
    <row r="1072">
      <c r="A1072" s="254"/>
      <c r="B1072" s="255"/>
      <c r="C1072" s="256"/>
      <c r="D1072" s="257"/>
      <c r="E1072" s="258"/>
      <c r="F1072" s="259"/>
      <c r="G1072" s="258"/>
      <c r="H1072" s="255"/>
      <c r="I1072" s="254"/>
      <c r="J1072" s="261"/>
      <c r="K1072" s="254"/>
      <c r="L1072" s="258"/>
      <c r="M1072" s="258"/>
      <c r="N1072" s="255"/>
      <c r="O1072" s="255"/>
      <c r="P1072" s="254"/>
      <c r="Q1072" s="260"/>
    </row>
    <row r="1073">
      <c r="A1073" s="254"/>
      <c r="B1073" s="255"/>
      <c r="C1073" s="256"/>
      <c r="D1073" s="257"/>
      <c r="E1073" s="258"/>
      <c r="F1073" s="259"/>
      <c r="G1073" s="258"/>
      <c r="H1073" s="255"/>
      <c r="I1073" s="254"/>
      <c r="J1073" s="261"/>
      <c r="K1073" s="254"/>
      <c r="L1073" s="258"/>
      <c r="M1073" s="258"/>
      <c r="N1073" s="255"/>
      <c r="O1073" s="255"/>
      <c r="P1073" s="254"/>
      <c r="Q1073" s="260"/>
    </row>
    <row r="1074">
      <c r="A1074" s="254"/>
      <c r="B1074" s="255"/>
      <c r="C1074" s="256"/>
      <c r="D1074" s="257"/>
      <c r="E1074" s="258"/>
      <c r="F1074" s="259"/>
      <c r="G1074" s="258"/>
      <c r="H1074" s="255"/>
      <c r="I1074" s="254"/>
      <c r="J1074" s="261"/>
      <c r="K1074" s="254"/>
      <c r="L1074" s="258"/>
      <c r="M1074" s="258"/>
      <c r="N1074" s="255"/>
      <c r="O1074" s="255"/>
      <c r="P1074" s="254"/>
      <c r="Q1074" s="260"/>
    </row>
    <row r="1075">
      <c r="A1075" s="254"/>
      <c r="B1075" s="255"/>
      <c r="C1075" s="256"/>
      <c r="D1075" s="257"/>
      <c r="E1075" s="258"/>
      <c r="F1075" s="259"/>
      <c r="G1075" s="258"/>
      <c r="H1075" s="255"/>
      <c r="I1075" s="254"/>
      <c r="J1075" s="261"/>
      <c r="K1075" s="254"/>
      <c r="L1075" s="258"/>
      <c r="M1075" s="258"/>
      <c r="N1075" s="255"/>
      <c r="O1075" s="255"/>
      <c r="P1075" s="254"/>
      <c r="Q1075" s="260"/>
    </row>
    <row r="1076">
      <c r="A1076" s="254"/>
      <c r="B1076" s="255"/>
      <c r="C1076" s="256"/>
      <c r="D1076" s="257"/>
      <c r="E1076" s="258"/>
      <c r="F1076" s="259"/>
      <c r="G1076" s="258"/>
      <c r="H1076" s="255"/>
      <c r="I1076" s="254"/>
      <c r="J1076" s="261"/>
      <c r="K1076" s="254"/>
      <c r="L1076" s="258"/>
      <c r="M1076" s="258"/>
      <c r="N1076" s="255"/>
      <c r="O1076" s="255"/>
      <c r="P1076" s="254"/>
      <c r="Q1076" s="260"/>
    </row>
    <row r="1077">
      <c r="A1077" s="254"/>
      <c r="B1077" s="255"/>
      <c r="C1077" s="256"/>
      <c r="D1077" s="257"/>
      <c r="E1077" s="258"/>
      <c r="F1077" s="259"/>
      <c r="G1077" s="258"/>
      <c r="H1077" s="255"/>
      <c r="I1077" s="254"/>
      <c r="J1077" s="261"/>
      <c r="K1077" s="254"/>
      <c r="L1077" s="258"/>
      <c r="M1077" s="258"/>
      <c r="N1077" s="255"/>
      <c r="O1077" s="255"/>
      <c r="P1077" s="254"/>
      <c r="Q1077" s="260"/>
    </row>
    <row r="1078">
      <c r="A1078" s="254"/>
      <c r="B1078" s="255"/>
      <c r="C1078" s="256"/>
      <c r="D1078" s="257"/>
      <c r="E1078" s="258"/>
      <c r="F1078" s="259"/>
      <c r="G1078" s="258"/>
      <c r="H1078" s="255"/>
      <c r="I1078" s="254"/>
      <c r="J1078" s="261"/>
      <c r="K1078" s="254"/>
      <c r="L1078" s="258"/>
      <c r="M1078" s="258"/>
      <c r="N1078" s="255"/>
      <c r="O1078" s="255"/>
      <c r="P1078" s="254"/>
      <c r="Q1078" s="260"/>
    </row>
    <row r="1079">
      <c r="A1079" s="254"/>
      <c r="B1079" s="255"/>
      <c r="C1079" s="256"/>
      <c r="D1079" s="257"/>
      <c r="E1079" s="258"/>
      <c r="F1079" s="259"/>
      <c r="G1079" s="258"/>
      <c r="H1079" s="255"/>
      <c r="I1079" s="254"/>
      <c r="J1079" s="261"/>
      <c r="K1079" s="254"/>
      <c r="L1079" s="258"/>
      <c r="M1079" s="258"/>
      <c r="N1079" s="255"/>
      <c r="O1079" s="255"/>
      <c r="P1079" s="254"/>
      <c r="Q1079" s="260"/>
    </row>
    <row r="1080">
      <c r="A1080" s="254"/>
      <c r="B1080" s="255"/>
      <c r="C1080" s="256"/>
      <c r="D1080" s="257"/>
      <c r="E1080" s="258"/>
      <c r="F1080" s="259"/>
      <c r="G1080" s="258"/>
      <c r="H1080" s="255"/>
      <c r="I1080" s="254"/>
      <c r="J1080" s="261"/>
      <c r="K1080" s="254"/>
      <c r="L1080" s="258"/>
      <c r="M1080" s="258"/>
      <c r="N1080" s="255"/>
      <c r="O1080" s="255"/>
      <c r="P1080" s="254"/>
      <c r="Q1080" s="260"/>
    </row>
    <row r="1081">
      <c r="A1081" s="254"/>
      <c r="B1081" s="255"/>
      <c r="C1081" s="256"/>
      <c r="D1081" s="257"/>
      <c r="E1081" s="258"/>
      <c r="F1081" s="259"/>
      <c r="G1081" s="258"/>
      <c r="H1081" s="255"/>
      <c r="I1081" s="254"/>
      <c r="J1081" s="261"/>
      <c r="K1081" s="254"/>
      <c r="L1081" s="258"/>
      <c r="M1081" s="258"/>
      <c r="N1081" s="255"/>
      <c r="O1081" s="255"/>
      <c r="P1081" s="254"/>
      <c r="Q1081" s="260"/>
    </row>
    <row r="1082">
      <c r="A1082" s="254"/>
      <c r="B1082" s="255"/>
      <c r="C1082" s="256"/>
      <c r="D1082" s="257"/>
      <c r="E1082" s="258"/>
      <c r="F1082" s="259"/>
      <c r="G1082" s="258"/>
      <c r="H1082" s="255"/>
      <c r="I1082" s="254"/>
      <c r="J1082" s="261"/>
      <c r="K1082" s="254"/>
      <c r="L1082" s="258"/>
      <c r="M1082" s="258"/>
      <c r="N1082" s="255"/>
      <c r="O1082" s="255"/>
      <c r="P1082" s="254"/>
      <c r="Q1082" s="260"/>
    </row>
    <row r="1083">
      <c r="A1083" s="254"/>
      <c r="B1083" s="255"/>
      <c r="C1083" s="256"/>
      <c r="D1083" s="257"/>
      <c r="E1083" s="258"/>
      <c r="F1083" s="259"/>
      <c r="G1083" s="258"/>
      <c r="H1083" s="255"/>
      <c r="I1083" s="254"/>
      <c r="J1083" s="261"/>
      <c r="K1083" s="254"/>
      <c r="L1083" s="258"/>
      <c r="M1083" s="258"/>
      <c r="N1083" s="255"/>
      <c r="O1083" s="255"/>
      <c r="P1083" s="254"/>
      <c r="Q1083" s="260"/>
    </row>
    <row r="1084">
      <c r="A1084" s="254"/>
      <c r="B1084" s="255"/>
      <c r="C1084" s="256"/>
      <c r="D1084" s="257"/>
      <c r="E1084" s="258"/>
      <c r="F1084" s="259"/>
      <c r="G1084" s="258"/>
      <c r="H1084" s="255"/>
      <c r="I1084" s="254"/>
      <c r="J1084" s="261"/>
      <c r="K1084" s="254"/>
      <c r="L1084" s="258"/>
      <c r="M1084" s="258"/>
      <c r="N1084" s="255"/>
      <c r="O1084" s="255"/>
      <c r="P1084" s="254"/>
      <c r="Q1084" s="260"/>
    </row>
    <row r="1085">
      <c r="A1085" s="254"/>
      <c r="B1085" s="255"/>
      <c r="C1085" s="256"/>
      <c r="D1085" s="257"/>
      <c r="E1085" s="258"/>
      <c r="F1085" s="259"/>
      <c r="G1085" s="258"/>
      <c r="H1085" s="255"/>
      <c r="I1085" s="254"/>
      <c r="J1085" s="261"/>
      <c r="K1085" s="254"/>
      <c r="L1085" s="258"/>
      <c r="M1085" s="258"/>
      <c r="N1085" s="255"/>
      <c r="O1085" s="255"/>
      <c r="P1085" s="254"/>
      <c r="Q1085" s="260"/>
    </row>
    <row r="1086">
      <c r="A1086" s="254"/>
      <c r="B1086" s="255"/>
      <c r="C1086" s="256"/>
      <c r="D1086" s="257"/>
      <c r="E1086" s="258"/>
      <c r="F1086" s="259"/>
      <c r="G1086" s="258"/>
      <c r="H1086" s="255"/>
      <c r="I1086" s="254"/>
      <c r="J1086" s="261"/>
      <c r="K1086" s="254"/>
      <c r="L1086" s="258"/>
      <c r="M1086" s="258"/>
      <c r="N1086" s="255"/>
      <c r="O1086" s="255"/>
      <c r="P1086" s="254"/>
      <c r="Q1086" s="260"/>
    </row>
  </sheetData>
  <autoFilter ref="$M$398"/>
  <mergeCells count="591">
    <mergeCell ref="K2:K3"/>
    <mergeCell ref="L2:L3"/>
    <mergeCell ref="M2:M3"/>
    <mergeCell ref="N2:N3"/>
    <mergeCell ref="O2:O3"/>
    <mergeCell ref="P2:P3"/>
    <mergeCell ref="Q2:Q3"/>
    <mergeCell ref="F1:P1"/>
    <mergeCell ref="A2:A3"/>
    <mergeCell ref="B2:B3"/>
    <mergeCell ref="C2:C3"/>
    <mergeCell ref="D2:E3"/>
    <mergeCell ref="F2:F3"/>
    <mergeCell ref="G2:G3"/>
    <mergeCell ref="P6:P8"/>
    <mergeCell ref="Q6:Q8"/>
    <mergeCell ref="I6:I8"/>
    <mergeCell ref="J6:J8"/>
    <mergeCell ref="K6:K8"/>
    <mergeCell ref="L6:L8"/>
    <mergeCell ref="M6:M8"/>
    <mergeCell ref="N6:N8"/>
    <mergeCell ref="O6:O8"/>
    <mergeCell ref="H2:H3"/>
    <mergeCell ref="I2:J3"/>
    <mergeCell ref="A6:A8"/>
    <mergeCell ref="B6:B8"/>
    <mergeCell ref="C6:C8"/>
    <mergeCell ref="G6:G8"/>
    <mergeCell ref="H6:H8"/>
    <mergeCell ref="L20:L22"/>
    <mergeCell ref="M20:M22"/>
    <mergeCell ref="N20:N22"/>
    <mergeCell ref="O20:O22"/>
    <mergeCell ref="P20:P22"/>
    <mergeCell ref="Q20:Q22"/>
    <mergeCell ref="A20:A22"/>
    <mergeCell ref="B20:B22"/>
    <mergeCell ref="C20:C22"/>
    <mergeCell ref="H20:H22"/>
    <mergeCell ref="I20:I22"/>
    <mergeCell ref="J20:J22"/>
    <mergeCell ref="K20:K22"/>
    <mergeCell ref="L41:L43"/>
    <mergeCell ref="M41:M43"/>
    <mergeCell ref="N41:N43"/>
    <mergeCell ref="O41:O43"/>
    <mergeCell ref="P41:P43"/>
    <mergeCell ref="Q41:Q43"/>
    <mergeCell ref="A41:A43"/>
    <mergeCell ref="B41:B43"/>
    <mergeCell ref="C41:C43"/>
    <mergeCell ref="H41:H43"/>
    <mergeCell ref="I41:I43"/>
    <mergeCell ref="J41:J43"/>
    <mergeCell ref="K41:K43"/>
    <mergeCell ref="L44:L49"/>
    <mergeCell ref="M44:M49"/>
    <mergeCell ref="N44:N49"/>
    <mergeCell ref="O44:O49"/>
    <mergeCell ref="P44:P49"/>
    <mergeCell ref="Q44:Q49"/>
    <mergeCell ref="A44:A49"/>
    <mergeCell ref="B44:B49"/>
    <mergeCell ref="C44:C49"/>
    <mergeCell ref="H44:H49"/>
    <mergeCell ref="I44:I49"/>
    <mergeCell ref="J44:J49"/>
    <mergeCell ref="K44:K49"/>
    <mergeCell ref="L50:L52"/>
    <mergeCell ref="M50:M52"/>
    <mergeCell ref="N50:N52"/>
    <mergeCell ref="O50:O52"/>
    <mergeCell ref="P50:P52"/>
    <mergeCell ref="Q50:Q52"/>
    <mergeCell ref="A50:A52"/>
    <mergeCell ref="B50:B52"/>
    <mergeCell ref="C50:C52"/>
    <mergeCell ref="H50:H52"/>
    <mergeCell ref="I50:I52"/>
    <mergeCell ref="J50:J52"/>
    <mergeCell ref="K50:K52"/>
    <mergeCell ref="L55:L58"/>
    <mergeCell ref="M55:M58"/>
    <mergeCell ref="N55:N58"/>
    <mergeCell ref="O55:O58"/>
    <mergeCell ref="P55:P58"/>
    <mergeCell ref="Q55:Q58"/>
    <mergeCell ref="A55:A58"/>
    <mergeCell ref="B55:B58"/>
    <mergeCell ref="C55:C58"/>
    <mergeCell ref="H55:H58"/>
    <mergeCell ref="I55:I58"/>
    <mergeCell ref="J55:J58"/>
    <mergeCell ref="K55:K58"/>
    <mergeCell ref="L59:L61"/>
    <mergeCell ref="M59:M61"/>
    <mergeCell ref="N59:N61"/>
    <mergeCell ref="O59:O61"/>
    <mergeCell ref="P59:P61"/>
    <mergeCell ref="Q59:Q61"/>
    <mergeCell ref="A59:A61"/>
    <mergeCell ref="B59:B61"/>
    <mergeCell ref="C59:C61"/>
    <mergeCell ref="H59:H61"/>
    <mergeCell ref="I59:I61"/>
    <mergeCell ref="J59:J61"/>
    <mergeCell ref="K59:K61"/>
    <mergeCell ref="J24:J37"/>
    <mergeCell ref="K24:K37"/>
    <mergeCell ref="L24:L37"/>
    <mergeCell ref="M24:M37"/>
    <mergeCell ref="N24:N37"/>
    <mergeCell ref="O24:O37"/>
    <mergeCell ref="P24:P37"/>
    <mergeCell ref="Q24:Q37"/>
    <mergeCell ref="A24:A37"/>
    <mergeCell ref="B24:B37"/>
    <mergeCell ref="C24:C37"/>
    <mergeCell ref="F24:F37"/>
    <mergeCell ref="G24:G37"/>
    <mergeCell ref="H24:H37"/>
    <mergeCell ref="I24:I37"/>
    <mergeCell ref="L62:L70"/>
    <mergeCell ref="M62:M70"/>
    <mergeCell ref="N62:N70"/>
    <mergeCell ref="O62:O70"/>
    <mergeCell ref="P62:P70"/>
    <mergeCell ref="Q62:Q70"/>
    <mergeCell ref="A62:A70"/>
    <mergeCell ref="B62:B70"/>
    <mergeCell ref="C62:C70"/>
    <mergeCell ref="H62:H70"/>
    <mergeCell ref="I62:I70"/>
    <mergeCell ref="J62:J70"/>
    <mergeCell ref="K62:K70"/>
    <mergeCell ref="L71:L77"/>
    <mergeCell ref="M71:M77"/>
    <mergeCell ref="N71:N77"/>
    <mergeCell ref="O71:O77"/>
    <mergeCell ref="P71:P77"/>
    <mergeCell ref="Q71:Q77"/>
    <mergeCell ref="A71:A77"/>
    <mergeCell ref="B71:B77"/>
    <mergeCell ref="C71:C77"/>
    <mergeCell ref="H71:H77"/>
    <mergeCell ref="I71:I77"/>
    <mergeCell ref="J71:J77"/>
    <mergeCell ref="K71:K77"/>
    <mergeCell ref="L78:L82"/>
    <mergeCell ref="M78:M82"/>
    <mergeCell ref="N78:N82"/>
    <mergeCell ref="O78:O82"/>
    <mergeCell ref="P78:P82"/>
    <mergeCell ref="Q78:Q82"/>
    <mergeCell ref="A78:A82"/>
    <mergeCell ref="B78:B82"/>
    <mergeCell ref="C78:C82"/>
    <mergeCell ref="H78:H82"/>
    <mergeCell ref="I78:I82"/>
    <mergeCell ref="J78:J82"/>
    <mergeCell ref="K78:K82"/>
    <mergeCell ref="L83:L86"/>
    <mergeCell ref="M83:M86"/>
    <mergeCell ref="N83:N86"/>
    <mergeCell ref="O83:O86"/>
    <mergeCell ref="P83:P86"/>
    <mergeCell ref="Q83:Q86"/>
    <mergeCell ref="A83:A86"/>
    <mergeCell ref="B83:B86"/>
    <mergeCell ref="C83:C86"/>
    <mergeCell ref="H83:H86"/>
    <mergeCell ref="I83:I86"/>
    <mergeCell ref="J83:J86"/>
    <mergeCell ref="K83:K86"/>
    <mergeCell ref="J9:J11"/>
    <mergeCell ref="K9:K11"/>
    <mergeCell ref="L9:L11"/>
    <mergeCell ref="M9:M11"/>
    <mergeCell ref="N9:N11"/>
    <mergeCell ref="O9:O11"/>
    <mergeCell ref="P9:P11"/>
    <mergeCell ref="Q9:Q11"/>
    <mergeCell ref="A9:A11"/>
    <mergeCell ref="B9:B11"/>
    <mergeCell ref="C9:C11"/>
    <mergeCell ref="F9:F11"/>
    <mergeCell ref="G9:G11"/>
    <mergeCell ref="H9:H11"/>
    <mergeCell ref="I9:I11"/>
    <mergeCell ref="J12:J14"/>
    <mergeCell ref="K12:K14"/>
    <mergeCell ref="L12:L14"/>
    <mergeCell ref="M12:M14"/>
    <mergeCell ref="N12:N14"/>
    <mergeCell ref="O12:O14"/>
    <mergeCell ref="P12:P14"/>
    <mergeCell ref="Q12:Q14"/>
    <mergeCell ref="A12:A14"/>
    <mergeCell ref="B12:B14"/>
    <mergeCell ref="C12:C14"/>
    <mergeCell ref="F12:F14"/>
    <mergeCell ref="G12:G14"/>
    <mergeCell ref="H12:H14"/>
    <mergeCell ref="I12:I14"/>
    <mergeCell ref="L15:L16"/>
    <mergeCell ref="M15:M16"/>
    <mergeCell ref="N15:N16"/>
    <mergeCell ref="O15:O16"/>
    <mergeCell ref="P15:P16"/>
    <mergeCell ref="Q15:Q16"/>
    <mergeCell ref="A15:A16"/>
    <mergeCell ref="B15:B16"/>
    <mergeCell ref="C15:C16"/>
    <mergeCell ref="H15:H16"/>
    <mergeCell ref="I15:I16"/>
    <mergeCell ref="J15:J16"/>
    <mergeCell ref="K15:K16"/>
    <mergeCell ref="L89:L98"/>
    <mergeCell ref="M89:M98"/>
    <mergeCell ref="N89:N98"/>
    <mergeCell ref="O89:O98"/>
    <mergeCell ref="P89:P98"/>
    <mergeCell ref="Q89:Q98"/>
    <mergeCell ref="G95:G96"/>
    <mergeCell ref="G97:G98"/>
    <mergeCell ref="G100:G102"/>
    <mergeCell ref="H100:H102"/>
    <mergeCell ref="I100:I102"/>
    <mergeCell ref="J100:J102"/>
    <mergeCell ref="K100:K102"/>
    <mergeCell ref="G108:G111"/>
    <mergeCell ref="G112:G115"/>
    <mergeCell ref="G91:G92"/>
    <mergeCell ref="G93:G94"/>
    <mergeCell ref="H107:H119"/>
    <mergeCell ref="I107:I119"/>
    <mergeCell ref="J107:J119"/>
    <mergeCell ref="K107:K119"/>
    <mergeCell ref="L107:L119"/>
    <mergeCell ref="G116:G119"/>
    <mergeCell ref="P120:P150"/>
    <mergeCell ref="Q120:Q150"/>
    <mergeCell ref="I120:I150"/>
    <mergeCell ref="J120:J150"/>
    <mergeCell ref="K120:K150"/>
    <mergeCell ref="L120:L150"/>
    <mergeCell ref="M120:M150"/>
    <mergeCell ref="N120:N150"/>
    <mergeCell ref="O120:O150"/>
    <mergeCell ref="A89:A98"/>
    <mergeCell ref="B89:B98"/>
    <mergeCell ref="C89:C98"/>
    <mergeCell ref="H89:H98"/>
    <mergeCell ref="I89:I98"/>
    <mergeCell ref="J89:J98"/>
    <mergeCell ref="K89:K98"/>
    <mergeCell ref="L100:L102"/>
    <mergeCell ref="M100:M102"/>
    <mergeCell ref="N100:N102"/>
    <mergeCell ref="O100:O102"/>
    <mergeCell ref="P100:P102"/>
    <mergeCell ref="Q100:Q102"/>
    <mergeCell ref="O103:O105"/>
    <mergeCell ref="P103:P105"/>
    <mergeCell ref="H103:H105"/>
    <mergeCell ref="I103:I105"/>
    <mergeCell ref="J103:J105"/>
    <mergeCell ref="K103:K105"/>
    <mergeCell ref="L103:L105"/>
    <mergeCell ref="M103:M105"/>
    <mergeCell ref="N103:N105"/>
    <mergeCell ref="A100:A102"/>
    <mergeCell ref="B100:B102"/>
    <mergeCell ref="C100:C102"/>
    <mergeCell ref="D100:E102"/>
    <mergeCell ref="A103:A105"/>
    <mergeCell ref="B103:B105"/>
    <mergeCell ref="C103:C105"/>
    <mergeCell ref="M107:M119"/>
    <mergeCell ref="N107:N119"/>
    <mergeCell ref="O107:O119"/>
    <mergeCell ref="P107:P119"/>
    <mergeCell ref="Q107:Q119"/>
    <mergeCell ref="A107:A119"/>
    <mergeCell ref="B107:B119"/>
    <mergeCell ref="C107:C119"/>
    <mergeCell ref="A120:A150"/>
    <mergeCell ref="B120:B150"/>
    <mergeCell ref="C120:C150"/>
    <mergeCell ref="H120:H150"/>
    <mergeCell ref="M165:M168"/>
    <mergeCell ref="N165:N168"/>
    <mergeCell ref="O165:O168"/>
    <mergeCell ref="P165:P168"/>
    <mergeCell ref="A165:A168"/>
    <mergeCell ref="B165:B168"/>
    <mergeCell ref="C165:C168"/>
    <mergeCell ref="I165:I168"/>
    <mergeCell ref="J165:J168"/>
    <mergeCell ref="K165:K168"/>
    <mergeCell ref="L165:L168"/>
    <mergeCell ref="M169:M187"/>
    <mergeCell ref="N169:N187"/>
    <mergeCell ref="O169:O187"/>
    <mergeCell ref="P169:P187"/>
    <mergeCell ref="A169:A187"/>
    <mergeCell ref="B169:B187"/>
    <mergeCell ref="C169:C187"/>
    <mergeCell ref="I169:I187"/>
    <mergeCell ref="J169:J187"/>
    <mergeCell ref="K169:K187"/>
    <mergeCell ref="L169:L187"/>
    <mergeCell ref="M246:M249"/>
    <mergeCell ref="N246:N249"/>
    <mergeCell ref="O246:O249"/>
    <mergeCell ref="P246:P249"/>
    <mergeCell ref="A246:A249"/>
    <mergeCell ref="B246:B249"/>
    <mergeCell ref="C246:C249"/>
    <mergeCell ref="I246:I249"/>
    <mergeCell ref="J246:J249"/>
    <mergeCell ref="K246:K249"/>
    <mergeCell ref="L246:L249"/>
    <mergeCell ref="M250:M252"/>
    <mergeCell ref="N250:N252"/>
    <mergeCell ref="O250:O252"/>
    <mergeCell ref="P250:P252"/>
    <mergeCell ref="A250:A252"/>
    <mergeCell ref="B250:B252"/>
    <mergeCell ref="C250:C252"/>
    <mergeCell ref="I250:I252"/>
    <mergeCell ref="J250:J252"/>
    <mergeCell ref="K250:K252"/>
    <mergeCell ref="L250:L252"/>
    <mergeCell ref="M256:M258"/>
    <mergeCell ref="N256:N258"/>
    <mergeCell ref="O256:O258"/>
    <mergeCell ref="P256:P258"/>
    <mergeCell ref="A256:A258"/>
    <mergeCell ref="B256:B258"/>
    <mergeCell ref="C256:C258"/>
    <mergeCell ref="I256:I258"/>
    <mergeCell ref="J256:J258"/>
    <mergeCell ref="K256:K258"/>
    <mergeCell ref="L256:L258"/>
    <mergeCell ref="M259:M269"/>
    <mergeCell ref="N259:N269"/>
    <mergeCell ref="O259:O269"/>
    <mergeCell ref="P259:P269"/>
    <mergeCell ref="A259:A269"/>
    <mergeCell ref="B259:B269"/>
    <mergeCell ref="C259:C269"/>
    <mergeCell ref="I259:I269"/>
    <mergeCell ref="J259:J269"/>
    <mergeCell ref="K259:K269"/>
    <mergeCell ref="L259:L269"/>
    <mergeCell ref="M270:M277"/>
    <mergeCell ref="N270:N277"/>
    <mergeCell ref="O270:O277"/>
    <mergeCell ref="P270:P277"/>
    <mergeCell ref="A270:A277"/>
    <mergeCell ref="B270:B277"/>
    <mergeCell ref="C270:C277"/>
    <mergeCell ref="I270:I277"/>
    <mergeCell ref="J270:J277"/>
    <mergeCell ref="K270:K277"/>
    <mergeCell ref="L270:L277"/>
    <mergeCell ref="M278:M286"/>
    <mergeCell ref="N278:N286"/>
    <mergeCell ref="O278:O286"/>
    <mergeCell ref="P278:P286"/>
    <mergeCell ref="A278:A286"/>
    <mergeCell ref="B278:B286"/>
    <mergeCell ref="C278:C286"/>
    <mergeCell ref="I278:I286"/>
    <mergeCell ref="J278:J286"/>
    <mergeCell ref="K278:K286"/>
    <mergeCell ref="L278:L286"/>
    <mergeCell ref="M296:M300"/>
    <mergeCell ref="N296:N300"/>
    <mergeCell ref="O296:O300"/>
    <mergeCell ref="P296:P300"/>
    <mergeCell ref="A296:A300"/>
    <mergeCell ref="B296:B300"/>
    <mergeCell ref="C296:C300"/>
    <mergeCell ref="I296:I300"/>
    <mergeCell ref="J296:J300"/>
    <mergeCell ref="K296:K300"/>
    <mergeCell ref="L296:L300"/>
    <mergeCell ref="M301:M314"/>
    <mergeCell ref="N301:N314"/>
    <mergeCell ref="O301:O314"/>
    <mergeCell ref="P301:P314"/>
    <mergeCell ref="A301:A314"/>
    <mergeCell ref="B301:B314"/>
    <mergeCell ref="C301:C314"/>
    <mergeCell ref="I301:I314"/>
    <mergeCell ref="J301:J314"/>
    <mergeCell ref="K301:K314"/>
    <mergeCell ref="L301:L314"/>
    <mergeCell ref="N316:N320"/>
    <mergeCell ref="O316:O320"/>
    <mergeCell ref="P316:P320"/>
    <mergeCell ref="A316:A320"/>
    <mergeCell ref="B316:B320"/>
    <mergeCell ref="C316:C320"/>
    <mergeCell ref="J316:J320"/>
    <mergeCell ref="K316:K320"/>
    <mergeCell ref="L316:L320"/>
    <mergeCell ref="M316:M320"/>
    <mergeCell ref="N322:N328"/>
    <mergeCell ref="O322:O328"/>
    <mergeCell ref="P322:P328"/>
    <mergeCell ref="A322:A328"/>
    <mergeCell ref="B322:B328"/>
    <mergeCell ref="C322:C328"/>
    <mergeCell ref="J322:J328"/>
    <mergeCell ref="K322:K328"/>
    <mergeCell ref="L322:L328"/>
    <mergeCell ref="M322:M328"/>
    <mergeCell ref="M191:M244"/>
    <mergeCell ref="N191:N244"/>
    <mergeCell ref="O191:O244"/>
    <mergeCell ref="P191:P244"/>
    <mergeCell ref="A191:A244"/>
    <mergeCell ref="B191:B244"/>
    <mergeCell ref="C191:C244"/>
    <mergeCell ref="I191:I244"/>
    <mergeCell ref="J191:J244"/>
    <mergeCell ref="K191:K244"/>
    <mergeCell ref="L191:L244"/>
    <mergeCell ref="L151:L152"/>
    <mergeCell ref="M151:M152"/>
    <mergeCell ref="N151:N152"/>
    <mergeCell ref="O151:O152"/>
    <mergeCell ref="P151:P152"/>
    <mergeCell ref="A151:A152"/>
    <mergeCell ref="B151:B152"/>
    <mergeCell ref="C151:C152"/>
    <mergeCell ref="H151:H152"/>
    <mergeCell ref="I151:I152"/>
    <mergeCell ref="J151:J152"/>
    <mergeCell ref="K151:K152"/>
    <mergeCell ref="M155:M158"/>
    <mergeCell ref="N155:N158"/>
    <mergeCell ref="O155:O158"/>
    <mergeCell ref="P155:P158"/>
    <mergeCell ref="A155:A158"/>
    <mergeCell ref="B155:B158"/>
    <mergeCell ref="C155:C158"/>
    <mergeCell ref="I155:I158"/>
    <mergeCell ref="J155:J158"/>
    <mergeCell ref="K155:K158"/>
    <mergeCell ref="L155:L158"/>
    <mergeCell ref="L163:L164"/>
    <mergeCell ref="M163:M164"/>
    <mergeCell ref="N163:N164"/>
    <mergeCell ref="O163:O164"/>
    <mergeCell ref="P163:P164"/>
    <mergeCell ref="A163:A164"/>
    <mergeCell ref="B163:B164"/>
    <mergeCell ref="C163:C164"/>
    <mergeCell ref="H163:H164"/>
    <mergeCell ref="I163:I164"/>
    <mergeCell ref="J163:J164"/>
    <mergeCell ref="K163:K164"/>
    <mergeCell ref="N368:N372"/>
    <mergeCell ref="O368:O372"/>
    <mergeCell ref="P368:P372"/>
    <mergeCell ref="N329:N331"/>
    <mergeCell ref="O329:O331"/>
    <mergeCell ref="P329:P331"/>
    <mergeCell ref="A329:A331"/>
    <mergeCell ref="B329:B331"/>
    <mergeCell ref="C329:C331"/>
    <mergeCell ref="J329:J331"/>
    <mergeCell ref="K329:K331"/>
    <mergeCell ref="L329:L331"/>
    <mergeCell ref="M329:M331"/>
    <mergeCell ref="N332:N334"/>
    <mergeCell ref="O332:O334"/>
    <mergeCell ref="P332:P334"/>
    <mergeCell ref="A332:A334"/>
    <mergeCell ref="B332:B334"/>
    <mergeCell ref="C332:C334"/>
    <mergeCell ref="J332:J334"/>
    <mergeCell ref="K332:K334"/>
    <mergeCell ref="L332:L334"/>
    <mergeCell ref="M332:M334"/>
    <mergeCell ref="N335:N338"/>
    <mergeCell ref="O335:O338"/>
    <mergeCell ref="P335:P338"/>
    <mergeCell ref="A335:A338"/>
    <mergeCell ref="B335:B338"/>
    <mergeCell ref="C335:C338"/>
    <mergeCell ref="J335:J338"/>
    <mergeCell ref="K335:K338"/>
    <mergeCell ref="L335:L338"/>
    <mergeCell ref="M335:M338"/>
    <mergeCell ref="N341:N353"/>
    <mergeCell ref="O341:O353"/>
    <mergeCell ref="P341:P353"/>
    <mergeCell ref="A341:A353"/>
    <mergeCell ref="B341:B353"/>
    <mergeCell ref="C341:C353"/>
    <mergeCell ref="J341:J353"/>
    <mergeCell ref="K341:K353"/>
    <mergeCell ref="L341:L353"/>
    <mergeCell ref="M341:M353"/>
    <mergeCell ref="N357:N361"/>
    <mergeCell ref="O357:O361"/>
    <mergeCell ref="P357:P361"/>
    <mergeCell ref="A357:A361"/>
    <mergeCell ref="B357:B361"/>
    <mergeCell ref="C357:C361"/>
    <mergeCell ref="J357:J361"/>
    <mergeCell ref="K357:K361"/>
    <mergeCell ref="L357:L361"/>
    <mergeCell ref="M357:M361"/>
    <mergeCell ref="N363:N365"/>
    <mergeCell ref="O363:O365"/>
    <mergeCell ref="P363:P365"/>
    <mergeCell ref="A363:A365"/>
    <mergeCell ref="B363:B365"/>
    <mergeCell ref="C363:C365"/>
    <mergeCell ref="J363:J365"/>
    <mergeCell ref="K363:K365"/>
    <mergeCell ref="L363:L365"/>
    <mergeCell ref="M363:M365"/>
    <mergeCell ref="L401:L403"/>
    <mergeCell ref="M401:M403"/>
    <mergeCell ref="N401:N403"/>
    <mergeCell ref="O401:O403"/>
    <mergeCell ref="P401:P403"/>
    <mergeCell ref="A401:A403"/>
    <mergeCell ref="B401:B403"/>
    <mergeCell ref="C401:C403"/>
    <mergeCell ref="H401:H403"/>
    <mergeCell ref="I401:I403"/>
    <mergeCell ref="J401:J403"/>
    <mergeCell ref="K401:K403"/>
    <mergeCell ref="N404:N415"/>
    <mergeCell ref="O404:O415"/>
    <mergeCell ref="P404:P415"/>
    <mergeCell ref="A404:A415"/>
    <mergeCell ref="B404:B415"/>
    <mergeCell ref="C404:C415"/>
    <mergeCell ref="J404:J415"/>
    <mergeCell ref="K404:K415"/>
    <mergeCell ref="L404:L415"/>
    <mergeCell ref="M404:M415"/>
    <mergeCell ref="A368:A372"/>
    <mergeCell ref="B368:B372"/>
    <mergeCell ref="C368:C372"/>
    <mergeCell ref="J368:J372"/>
    <mergeCell ref="K368:K372"/>
    <mergeCell ref="L368:L372"/>
    <mergeCell ref="M368:M372"/>
    <mergeCell ref="L373:L377"/>
    <mergeCell ref="M373:M377"/>
    <mergeCell ref="N373:N377"/>
    <mergeCell ref="O373:O377"/>
    <mergeCell ref="P373:P377"/>
    <mergeCell ref="F369:F372"/>
    <mergeCell ref="G369:G372"/>
    <mergeCell ref="A373:A377"/>
    <mergeCell ref="B373:B377"/>
    <mergeCell ref="C373:C377"/>
    <mergeCell ref="J373:J377"/>
    <mergeCell ref="K373:K377"/>
    <mergeCell ref="N378:N380"/>
    <mergeCell ref="O378:O380"/>
    <mergeCell ref="P378:P380"/>
    <mergeCell ref="A378:A380"/>
    <mergeCell ref="B378:B380"/>
    <mergeCell ref="C378:C380"/>
    <mergeCell ref="J378:J380"/>
    <mergeCell ref="K378:K380"/>
    <mergeCell ref="L378:L380"/>
    <mergeCell ref="M378:M380"/>
    <mergeCell ref="N390:N392"/>
    <mergeCell ref="O390:O392"/>
    <mergeCell ref="P390:P392"/>
    <mergeCell ref="A390:A392"/>
    <mergeCell ref="B390:B392"/>
    <mergeCell ref="C390:C392"/>
    <mergeCell ref="J390:J392"/>
    <mergeCell ref="K390:K392"/>
    <mergeCell ref="L390:L392"/>
    <mergeCell ref="M390:M392"/>
  </mergeCells>
  <dataValidations>
    <dataValidation type="list" allowBlank="1" showErrorMessage="1" sqref="K4:K6 K9 K12 K15 K17:K20 K23:K24 K38:K41 K44 K50 K53:K55 K59 K62 K71 K78 K83 K87:K89 K99:K100 K103 K106:K107 K120 K151 K153:K155 K159:K163 K165 K169 K188:K191 K245:K246 K250 K253:K256 K259 K270 K278 K287:K296 K301 K315:K316 K321:K322 K329 K332 K335 K339:K341 K354:K357 K362:K363 K366:K368 K373 K378 K381:K390 K393:K400">
      <formula1>"Approved,Proses,Revisi,Rejected"</formula1>
    </dataValidation>
  </dataValidations>
  <hyperlinks>
    <hyperlink r:id="rId1" ref="L4"/>
    <hyperlink r:id="rId2" ref="L5"/>
    <hyperlink r:id="rId3" ref="M5"/>
    <hyperlink r:id="rId4" ref="L6"/>
    <hyperlink r:id="rId5" ref="M6"/>
    <hyperlink r:id="rId6" ref="L9"/>
    <hyperlink r:id="rId7" ref="L12"/>
    <hyperlink r:id="rId8" ref="L15"/>
    <hyperlink r:id="rId9" ref="M15"/>
    <hyperlink r:id="rId10" ref="L17"/>
    <hyperlink r:id="rId11" ref="L18"/>
    <hyperlink r:id="rId12" ref="L19"/>
    <hyperlink r:id="rId13" ref="M19"/>
    <hyperlink r:id="rId14" ref="L20"/>
    <hyperlink r:id="rId15" ref="L23"/>
    <hyperlink r:id="rId16" ref="M23"/>
    <hyperlink r:id="rId17" ref="L24"/>
    <hyperlink r:id="rId18" ref="M24"/>
    <hyperlink r:id="rId19" ref="L38"/>
    <hyperlink r:id="rId20" ref="M38"/>
    <hyperlink r:id="rId21" ref="L39"/>
    <hyperlink r:id="rId22" ref="L40"/>
    <hyperlink r:id="rId23" ref="M40"/>
    <hyperlink r:id="rId24" ref="L41"/>
    <hyperlink r:id="rId25" ref="M41"/>
    <hyperlink r:id="rId26" ref="L44"/>
    <hyperlink r:id="rId27" ref="M44"/>
    <hyperlink r:id="rId28" ref="L50"/>
    <hyperlink r:id="rId29" ref="M50"/>
    <hyperlink r:id="rId30" ref="L53"/>
    <hyperlink r:id="rId31" ref="L54"/>
    <hyperlink r:id="rId32" ref="M54"/>
    <hyperlink r:id="rId33" ref="L55"/>
    <hyperlink r:id="rId34" ref="M55"/>
    <hyperlink r:id="rId35" ref="L59"/>
    <hyperlink r:id="rId36" ref="L62"/>
    <hyperlink r:id="rId37" ref="M62"/>
    <hyperlink r:id="rId38" ref="L71"/>
    <hyperlink r:id="rId39" ref="M71"/>
    <hyperlink r:id="rId40" ref="L78"/>
    <hyperlink r:id="rId41" ref="M78"/>
    <hyperlink r:id="rId42" ref="L83"/>
    <hyperlink r:id="rId43" ref="M83"/>
    <hyperlink r:id="rId44" ref="L87"/>
    <hyperlink r:id="rId45" ref="L88"/>
    <hyperlink r:id="rId46" ref="L89"/>
    <hyperlink r:id="rId47" ref="M89"/>
    <hyperlink r:id="rId48" ref="L99"/>
    <hyperlink r:id="rId49" ref="M99"/>
    <hyperlink r:id="rId50" ref="L100"/>
    <hyperlink r:id="rId51" ref="M100"/>
    <hyperlink r:id="rId52" ref="L103"/>
    <hyperlink r:id="rId53" ref="M103"/>
    <hyperlink r:id="rId54" ref="N103"/>
    <hyperlink r:id="rId55" ref="L106"/>
    <hyperlink r:id="rId56" ref="M107"/>
    <hyperlink r:id="rId57" ref="L120"/>
    <hyperlink r:id="rId58" ref="M120"/>
    <hyperlink r:id="rId59" ref="L151"/>
    <hyperlink r:id="rId60" ref="M151"/>
    <hyperlink r:id="rId61" ref="L153"/>
    <hyperlink r:id="rId62" ref="M153"/>
    <hyperlink r:id="rId63" ref="L154"/>
    <hyperlink r:id="rId64" ref="L155"/>
    <hyperlink r:id="rId65" ref="M155"/>
    <hyperlink r:id="rId66" ref="L159"/>
    <hyperlink r:id="rId67" ref="L160"/>
    <hyperlink r:id="rId68" ref="L161"/>
    <hyperlink r:id="rId69" ref="L162"/>
    <hyperlink r:id="rId70" ref="L163"/>
    <hyperlink r:id="rId71" ref="M163"/>
    <hyperlink r:id="rId72" ref="L165"/>
    <hyperlink r:id="rId73" ref="L169"/>
    <hyperlink r:id="rId74" ref="M169"/>
    <hyperlink r:id="rId75" ref="L188"/>
    <hyperlink r:id="rId76" ref="L189"/>
    <hyperlink r:id="rId77" ref="L190"/>
    <hyperlink r:id="rId78" ref="M190"/>
    <hyperlink r:id="rId79" ref="L191"/>
    <hyperlink r:id="rId80" ref="M191"/>
    <hyperlink r:id="rId81" ref="L245"/>
    <hyperlink r:id="rId82" ref="L246"/>
    <hyperlink r:id="rId83" ref="M246"/>
    <hyperlink r:id="rId84" ref="L250"/>
    <hyperlink r:id="rId85" ref="M250"/>
    <hyperlink r:id="rId86" ref="L253"/>
    <hyperlink r:id="rId87" ref="L254"/>
    <hyperlink r:id="rId88" ref="M254"/>
    <hyperlink r:id="rId89" ref="L255"/>
    <hyperlink r:id="rId90" ref="L256"/>
    <hyperlink r:id="rId91" ref="L259"/>
    <hyperlink r:id="rId92" ref="M259"/>
    <hyperlink r:id="rId93" ref="L270"/>
    <hyperlink r:id="rId94" ref="M270"/>
    <hyperlink r:id="rId95" ref="L278"/>
    <hyperlink r:id="rId96" ref="L287"/>
    <hyperlink r:id="rId97" ref="L288"/>
    <hyperlink r:id="rId98" ref="L289"/>
    <hyperlink r:id="rId99" ref="L290"/>
    <hyperlink r:id="rId100" ref="L291"/>
    <hyperlink r:id="rId101" ref="L292"/>
    <hyperlink r:id="rId102" ref="L293"/>
    <hyperlink r:id="rId103" ref="L294"/>
    <hyperlink r:id="rId104" ref="L295"/>
    <hyperlink r:id="rId105" ref="L296"/>
    <hyperlink r:id="rId106" ref="L301"/>
    <hyperlink r:id="rId107" ref="L316"/>
    <hyperlink r:id="rId108" ref="N316"/>
    <hyperlink r:id="rId109" ref="O316"/>
    <hyperlink r:id="rId110" ref="L321"/>
    <hyperlink r:id="rId111" ref="M321"/>
    <hyperlink r:id="rId112" ref="L322"/>
    <hyperlink r:id="rId113" ref="L329"/>
    <hyperlink r:id="rId114" ref="M329"/>
    <hyperlink r:id="rId115" ref="L332"/>
    <hyperlink r:id="rId116" ref="L335"/>
    <hyperlink r:id="rId117" ref="L339"/>
    <hyperlink r:id="rId118" ref="L340"/>
    <hyperlink r:id="rId119" ref="L341"/>
    <hyperlink r:id="rId120" ref="L354"/>
    <hyperlink r:id="rId121" ref="L355"/>
    <hyperlink r:id="rId122" ref="L356"/>
    <hyperlink r:id="rId123" ref="L357"/>
    <hyperlink r:id="rId124" ref="L362"/>
    <hyperlink r:id="rId125" ref="L363"/>
    <hyperlink r:id="rId126" ref="L366"/>
    <hyperlink r:id="rId127" ref="L367"/>
    <hyperlink r:id="rId128" ref="L368"/>
    <hyperlink r:id="rId129" ref="L373"/>
    <hyperlink r:id="rId130" ref="L378"/>
    <hyperlink r:id="rId131" ref="L381"/>
    <hyperlink r:id="rId132" ref="L383"/>
    <hyperlink r:id="rId133" ref="L384"/>
    <hyperlink r:id="rId134" ref="L386"/>
    <hyperlink r:id="rId135" ref="L388"/>
    <hyperlink r:id="rId136" ref="L390"/>
    <hyperlink r:id="rId137" ref="L393"/>
    <hyperlink r:id="rId138" ref="L394"/>
    <hyperlink r:id="rId139" ref="L395"/>
    <hyperlink r:id="rId140" ref="L40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75"/>
    <col customWidth="1" hidden="1" min="2" max="2" width="27.25"/>
    <col customWidth="1" hidden="1" min="3" max="3" width="14.88"/>
    <col customWidth="1" min="4" max="4" width="4.0"/>
    <col customWidth="1" min="5" max="5" width="3.5"/>
    <col customWidth="1" min="6" max="6" width="37.75"/>
    <col customWidth="1" min="7" max="7" width="34.13"/>
    <col customWidth="1" hidden="1" min="8" max="8" width="31.63"/>
    <col customWidth="1" min="9" max="12" width="11.88"/>
    <col customWidth="1" min="13" max="13" width="20.88"/>
    <col customWidth="1" hidden="1" min="14" max="14" width="35.5"/>
  </cols>
  <sheetData>
    <row r="1" ht="36.0" customHeight="1">
      <c r="A1" s="262" t="s">
        <v>982</v>
      </c>
      <c r="N1" s="263"/>
    </row>
    <row r="2">
      <c r="A2" s="4" t="s">
        <v>983</v>
      </c>
      <c r="B2" s="4" t="s">
        <v>2</v>
      </c>
      <c r="C2" s="264" t="s">
        <v>984</v>
      </c>
      <c r="D2" s="265" t="s">
        <v>985</v>
      </c>
      <c r="E2" s="266"/>
      <c r="F2" s="7"/>
      <c r="G2" s="8" t="s">
        <v>986</v>
      </c>
      <c r="H2" s="5" t="s">
        <v>6</v>
      </c>
      <c r="I2" s="267" t="s">
        <v>987</v>
      </c>
      <c r="J2" s="268"/>
      <c r="K2" s="268"/>
      <c r="L2" s="269"/>
      <c r="M2" s="5" t="s">
        <v>988</v>
      </c>
      <c r="N2" s="270"/>
    </row>
    <row r="3" ht="44.25" customHeight="1">
      <c r="A3" s="13"/>
      <c r="B3" s="13"/>
      <c r="C3" s="13"/>
      <c r="D3" s="14"/>
      <c r="E3" s="162"/>
      <c r="F3" s="15"/>
      <c r="G3" s="13"/>
      <c r="H3" s="13"/>
      <c r="I3" s="271" t="s">
        <v>989</v>
      </c>
      <c r="J3" s="272" t="s">
        <v>990</v>
      </c>
      <c r="K3" s="272" t="s">
        <v>991</v>
      </c>
      <c r="L3" s="272" t="s">
        <v>992</v>
      </c>
      <c r="M3" s="13"/>
      <c r="N3" s="13"/>
    </row>
    <row r="4" ht="19.5" customHeight="1">
      <c r="A4" s="273" t="s">
        <v>993</v>
      </c>
      <c r="B4" s="274"/>
      <c r="C4" s="275"/>
      <c r="D4" s="276"/>
      <c r="E4" s="277"/>
      <c r="F4" s="276"/>
      <c r="G4" s="276"/>
      <c r="H4" s="276"/>
      <c r="I4" s="278"/>
      <c r="J4" s="278"/>
      <c r="K4" s="278"/>
      <c r="L4" s="278"/>
      <c r="M4" s="279"/>
      <c r="N4" s="280"/>
    </row>
    <row r="5" ht="19.5" customHeight="1">
      <c r="A5" s="281"/>
      <c r="B5" s="282"/>
      <c r="C5" s="283"/>
      <c r="D5" s="284" t="s">
        <v>994</v>
      </c>
      <c r="E5" s="285"/>
      <c r="F5" s="286"/>
      <c r="G5" s="287"/>
      <c r="H5" s="288"/>
      <c r="I5" s="289"/>
      <c r="J5" s="289"/>
      <c r="K5" s="289"/>
      <c r="L5" s="289"/>
      <c r="M5" s="126"/>
      <c r="N5" s="290"/>
    </row>
    <row r="6" ht="21.0" customHeight="1">
      <c r="A6" s="291">
        <f t="shared" ref="A6:A24" si="1">IF(ISBLANK(E6),"",COUNTA($E$6:E6))</f>
        <v>1</v>
      </c>
      <c r="B6" s="282" t="s">
        <v>15</v>
      </c>
      <c r="C6" s="127">
        <v>45666.0</v>
      </c>
      <c r="D6" s="292"/>
      <c r="E6" s="285" t="s">
        <v>16</v>
      </c>
      <c r="F6" s="286"/>
      <c r="G6" s="286" t="s">
        <v>17</v>
      </c>
      <c r="H6" s="112" t="s">
        <v>18</v>
      </c>
      <c r="I6" s="293">
        <v>1.0</v>
      </c>
      <c r="J6" s="293"/>
      <c r="K6" s="293"/>
      <c r="L6" s="293"/>
      <c r="M6" s="294"/>
      <c r="N6" s="290"/>
    </row>
    <row r="7" ht="21.0" customHeight="1">
      <c r="A7" s="291">
        <f t="shared" si="1"/>
        <v>2</v>
      </c>
      <c r="B7" s="282" t="s">
        <v>23</v>
      </c>
      <c r="C7" s="127">
        <v>45666.0</v>
      </c>
      <c r="D7" s="292"/>
      <c r="E7" s="285" t="s">
        <v>24</v>
      </c>
      <c r="F7" s="286"/>
      <c r="G7" s="286" t="s">
        <v>25</v>
      </c>
      <c r="H7" s="295" t="s">
        <v>26</v>
      </c>
      <c r="I7" s="296">
        <v>1.0</v>
      </c>
      <c r="J7" s="296"/>
      <c r="K7" s="296"/>
      <c r="L7" s="296"/>
      <c r="M7" s="294"/>
      <c r="N7" s="290"/>
    </row>
    <row r="8" ht="19.5" customHeight="1">
      <c r="A8" s="291">
        <f t="shared" si="1"/>
        <v>3</v>
      </c>
      <c r="B8" s="282"/>
      <c r="C8" s="297"/>
      <c r="D8" s="292"/>
      <c r="E8" s="285" t="s">
        <v>995</v>
      </c>
      <c r="F8" s="286"/>
      <c r="G8" s="286" t="s">
        <v>25</v>
      </c>
      <c r="H8" s="295" t="s">
        <v>26</v>
      </c>
      <c r="I8" s="296">
        <v>1.0</v>
      </c>
      <c r="J8" s="296"/>
      <c r="K8" s="296"/>
      <c r="L8" s="296"/>
      <c r="M8" s="126"/>
      <c r="N8" s="290"/>
    </row>
    <row r="9" ht="19.5" customHeight="1">
      <c r="A9" s="291">
        <f t="shared" si="1"/>
        <v>4</v>
      </c>
      <c r="B9" s="282"/>
      <c r="C9" s="283"/>
      <c r="D9" s="298"/>
      <c r="E9" s="299" t="s">
        <v>996</v>
      </c>
      <c r="F9" s="300"/>
      <c r="G9" s="287" t="s">
        <v>997</v>
      </c>
      <c r="H9" s="288"/>
      <c r="I9" s="289">
        <v>1.0</v>
      </c>
      <c r="J9" s="289"/>
      <c r="K9" s="289"/>
      <c r="L9" s="289"/>
      <c r="M9" s="126"/>
      <c r="N9" s="290"/>
    </row>
    <row r="10" ht="20.25" hidden="1" customHeight="1">
      <c r="A10" s="291" t="str">
        <f t="shared" si="1"/>
        <v/>
      </c>
      <c r="B10" s="73"/>
      <c r="C10" s="301"/>
      <c r="D10" s="104"/>
      <c r="E10" s="302"/>
      <c r="F10" s="295"/>
      <c r="G10" s="135"/>
      <c r="H10" s="33"/>
      <c r="I10" s="303"/>
      <c r="J10" s="303"/>
      <c r="K10" s="303"/>
      <c r="L10" s="303"/>
      <c r="M10" s="30"/>
      <c r="N10" s="238"/>
    </row>
    <row r="11" ht="19.5" customHeight="1">
      <c r="A11" s="291">
        <f t="shared" si="1"/>
        <v>5</v>
      </c>
      <c r="B11" s="73"/>
      <c r="C11" s="304"/>
      <c r="D11" s="98"/>
      <c r="E11" s="305" t="s">
        <v>998</v>
      </c>
      <c r="F11" s="86"/>
      <c r="G11" s="100"/>
      <c r="H11" s="86" t="s">
        <v>999</v>
      </c>
      <c r="I11" s="306">
        <v>1.0</v>
      </c>
      <c r="J11" s="306"/>
      <c r="K11" s="306"/>
      <c r="L11" s="306"/>
      <c r="M11" s="87"/>
      <c r="N11" s="238"/>
    </row>
    <row r="12" ht="21.0" customHeight="1">
      <c r="A12" s="291">
        <f t="shared" si="1"/>
        <v>6</v>
      </c>
      <c r="B12" s="281"/>
      <c r="C12" s="228"/>
      <c r="D12" s="307"/>
      <c r="E12" s="302" t="s">
        <v>1000</v>
      </c>
      <c r="F12" s="112"/>
      <c r="G12" s="308" t="s">
        <v>1001</v>
      </c>
      <c r="H12" s="295"/>
      <c r="I12" s="289">
        <v>1.0</v>
      </c>
      <c r="J12" s="289"/>
      <c r="K12" s="289"/>
      <c r="L12" s="289"/>
      <c r="M12" s="294"/>
      <c r="N12" s="290"/>
    </row>
    <row r="13" ht="19.5" customHeight="1">
      <c r="A13" s="291" t="str">
        <f t="shared" si="1"/>
        <v/>
      </c>
      <c r="B13" s="309"/>
      <c r="C13" s="310"/>
      <c r="D13" s="311" t="s">
        <v>1002</v>
      </c>
      <c r="E13" s="312"/>
      <c r="F13" s="159"/>
      <c r="G13" s="76"/>
      <c r="H13" s="313"/>
      <c r="I13" s="314"/>
      <c r="J13" s="314"/>
      <c r="K13" s="314"/>
      <c r="L13" s="314"/>
      <c r="M13" s="294"/>
      <c r="N13" s="315"/>
    </row>
    <row r="14" ht="19.5" customHeight="1">
      <c r="A14" s="291">
        <f t="shared" si="1"/>
        <v>7</v>
      </c>
      <c r="B14" s="49"/>
      <c r="C14" s="49"/>
      <c r="D14" s="316"/>
      <c r="E14" s="317" t="s">
        <v>1003</v>
      </c>
      <c r="F14" s="318"/>
      <c r="G14" s="135" t="s">
        <v>1004</v>
      </c>
      <c r="I14" s="314">
        <v>1.0</v>
      </c>
      <c r="J14" s="314"/>
      <c r="K14" s="314"/>
      <c r="L14" s="314"/>
      <c r="M14" s="294"/>
      <c r="N14" s="315"/>
    </row>
    <row r="15" ht="19.5" customHeight="1">
      <c r="A15" s="291">
        <f t="shared" si="1"/>
        <v>8</v>
      </c>
      <c r="B15" s="13"/>
      <c r="C15" s="13"/>
      <c r="D15" s="319"/>
      <c r="E15" s="285" t="s">
        <v>1005</v>
      </c>
      <c r="F15" s="286"/>
      <c r="G15" s="135"/>
      <c r="H15" s="162"/>
      <c r="I15" s="314"/>
      <c r="J15" s="314"/>
      <c r="K15" s="314">
        <v>1.0</v>
      </c>
      <c r="L15" s="314"/>
      <c r="M15" s="294" t="s">
        <v>1006</v>
      </c>
      <c r="N15" s="315"/>
    </row>
    <row r="16" ht="19.5" customHeight="1">
      <c r="A16" s="291">
        <f t="shared" si="1"/>
        <v>9</v>
      </c>
      <c r="B16" s="281"/>
      <c r="C16" s="320"/>
      <c r="D16" s="292"/>
      <c r="E16" s="299" t="s">
        <v>1007</v>
      </c>
      <c r="F16" s="321"/>
      <c r="G16" s="322"/>
      <c r="H16" s="323"/>
      <c r="I16" s="289">
        <v>1.0</v>
      </c>
      <c r="J16" s="289"/>
      <c r="K16" s="289"/>
      <c r="L16" s="289"/>
      <c r="M16" s="294"/>
      <c r="N16" s="290"/>
    </row>
    <row r="17" ht="19.5" customHeight="1">
      <c r="A17" s="291">
        <f t="shared" si="1"/>
        <v>10</v>
      </c>
      <c r="B17" s="73"/>
      <c r="C17" s="301"/>
      <c r="D17" s="214"/>
      <c r="E17" s="324" t="s">
        <v>1008</v>
      </c>
      <c r="F17" s="68"/>
      <c r="G17" s="189" t="s">
        <v>1009</v>
      </c>
      <c r="H17" s="33"/>
      <c r="I17" s="325">
        <v>1.0</v>
      </c>
      <c r="J17" s="325"/>
      <c r="K17" s="325"/>
      <c r="L17" s="326"/>
      <c r="M17" s="87"/>
      <c r="N17" s="238"/>
    </row>
    <row r="18" ht="19.5" customHeight="1">
      <c r="A18" s="291">
        <f t="shared" si="1"/>
        <v>11</v>
      </c>
      <c r="B18" s="294"/>
      <c r="C18" s="327"/>
      <c r="D18" s="328"/>
      <c r="E18" s="285" t="s">
        <v>30</v>
      </c>
      <c r="F18" s="286"/>
      <c r="G18" s="105" t="s">
        <v>1010</v>
      </c>
      <c r="H18" s="329"/>
      <c r="I18" s="330">
        <v>1.0</v>
      </c>
      <c r="J18" s="330"/>
      <c r="K18" s="330"/>
      <c r="L18" s="330"/>
      <c r="M18" s="294"/>
      <c r="N18" s="290"/>
    </row>
    <row r="19" ht="19.5" hidden="1" customHeight="1">
      <c r="A19" s="291" t="str">
        <f t="shared" si="1"/>
        <v/>
      </c>
      <c r="B19" s="281"/>
      <c r="C19" s="320"/>
      <c r="D19" s="104" t="s">
        <v>1011</v>
      </c>
      <c r="E19" s="331"/>
      <c r="F19" s="332"/>
      <c r="G19" s="333" t="s">
        <v>1012</v>
      </c>
      <c r="H19" s="332"/>
      <c r="I19" s="330"/>
      <c r="J19" s="330"/>
      <c r="K19" s="334"/>
      <c r="L19" s="334"/>
      <c r="M19" s="294"/>
      <c r="N19" s="335"/>
    </row>
    <row r="20" ht="19.5" hidden="1" customHeight="1">
      <c r="A20" s="291" t="str">
        <f t="shared" si="1"/>
        <v/>
      </c>
      <c r="B20" s="336"/>
      <c r="C20" s="327"/>
      <c r="D20" s="292" t="s">
        <v>1013</v>
      </c>
      <c r="E20" s="302"/>
      <c r="F20" s="295"/>
      <c r="G20" s="333"/>
      <c r="H20" s="295"/>
      <c r="I20" s="330"/>
      <c r="J20" s="330"/>
      <c r="K20" s="337"/>
      <c r="L20" s="337"/>
      <c r="M20" s="294"/>
      <c r="N20" s="335"/>
    </row>
    <row r="21" ht="19.5" hidden="1" customHeight="1">
      <c r="A21" s="291" t="str">
        <f t="shared" si="1"/>
        <v/>
      </c>
      <c r="B21" s="281"/>
      <c r="C21" s="338"/>
      <c r="D21" s="339" t="s">
        <v>1014</v>
      </c>
      <c r="E21" s="302"/>
      <c r="F21" s="112"/>
      <c r="G21" s="340"/>
      <c r="H21" s="112"/>
      <c r="I21" s="330"/>
      <c r="J21" s="330"/>
      <c r="K21" s="341"/>
      <c r="L21" s="341"/>
      <c r="M21" s="294"/>
      <c r="N21" s="335"/>
    </row>
    <row r="22" ht="19.5" customHeight="1">
      <c r="A22" s="291">
        <f t="shared" si="1"/>
        <v>12</v>
      </c>
      <c r="B22" s="336"/>
      <c r="C22" s="281"/>
      <c r="D22" s="339"/>
      <c r="E22" s="302" t="s">
        <v>1015</v>
      </c>
      <c r="F22" s="106"/>
      <c r="G22" s="339"/>
      <c r="H22" s="112"/>
      <c r="I22" s="330"/>
      <c r="J22" s="289"/>
      <c r="K22" s="293"/>
      <c r="M22" s="294"/>
      <c r="N22" s="290"/>
    </row>
    <row r="23" ht="19.5" customHeight="1">
      <c r="A23" s="291">
        <f t="shared" si="1"/>
        <v>13</v>
      </c>
      <c r="B23" s="336"/>
      <c r="C23" s="294"/>
      <c r="D23" s="292"/>
      <c r="E23" s="302" t="s">
        <v>1016</v>
      </c>
      <c r="F23" s="342"/>
      <c r="G23" s="292" t="s">
        <v>1017</v>
      </c>
      <c r="H23" s="343"/>
      <c r="I23" s="289">
        <v>1.0</v>
      </c>
      <c r="J23" s="289"/>
      <c r="K23" s="289"/>
      <c r="L23" s="289"/>
      <c r="M23" s="294"/>
      <c r="N23" s="344" t="s">
        <v>1018</v>
      </c>
    </row>
    <row r="24" ht="19.5" customHeight="1">
      <c r="A24" s="291">
        <f t="shared" si="1"/>
        <v>14</v>
      </c>
      <c r="B24" s="281"/>
      <c r="C24" s="338"/>
      <c r="D24" s="345"/>
      <c r="E24" s="302" t="s">
        <v>1019</v>
      </c>
      <c r="F24" s="332"/>
      <c r="G24" s="287" t="s">
        <v>117</v>
      </c>
      <c r="H24" s="332"/>
      <c r="I24" s="346">
        <v>1.0</v>
      </c>
      <c r="J24" s="346"/>
      <c r="K24" s="346"/>
      <c r="L24" s="346"/>
      <c r="M24" s="294"/>
      <c r="N24" s="335"/>
    </row>
    <row r="25" ht="19.5" customHeight="1">
      <c r="A25" s="273" t="s">
        <v>1020</v>
      </c>
      <c r="B25" s="347"/>
      <c r="C25" s="348"/>
      <c r="D25" s="349"/>
      <c r="E25" s="350"/>
      <c r="F25" s="351"/>
      <c r="G25" s="352"/>
      <c r="H25" s="353"/>
      <c r="I25" s="354"/>
      <c r="J25" s="354"/>
      <c r="K25" s="354"/>
      <c r="L25" s="354"/>
      <c r="M25" s="279"/>
      <c r="N25" s="280"/>
    </row>
    <row r="26" ht="19.5" customHeight="1">
      <c r="A26" s="18"/>
      <c r="B26" s="88"/>
      <c r="C26" s="89"/>
      <c r="D26" s="90" t="s">
        <v>1021</v>
      </c>
      <c r="E26" s="324"/>
      <c r="F26" s="65"/>
      <c r="G26" s="53"/>
      <c r="H26" s="77"/>
      <c r="I26" s="325"/>
      <c r="J26" s="325"/>
      <c r="K26" s="325"/>
      <c r="L26" s="325"/>
      <c r="M26" s="87"/>
      <c r="N26" s="238"/>
    </row>
    <row r="27" ht="19.5" customHeight="1">
      <c r="A27" s="291">
        <f t="shared" ref="A27:A85" si="2">IF(ISBLANK(E27),"",COUNTA($E$6:E27))</f>
        <v>15</v>
      </c>
      <c r="B27" s="355"/>
      <c r="C27" s="301"/>
      <c r="D27" s="316"/>
      <c r="E27" s="356" t="s">
        <v>40</v>
      </c>
      <c r="F27" s="356"/>
      <c r="G27" s="53"/>
      <c r="H27" s="357"/>
      <c r="I27" s="358">
        <v>1.0</v>
      </c>
      <c r="J27" s="358"/>
      <c r="K27" s="358"/>
      <c r="L27" s="358"/>
      <c r="M27" s="87"/>
      <c r="N27" s="113"/>
    </row>
    <row r="28" ht="19.5" customHeight="1">
      <c r="A28" s="291">
        <f t="shared" si="2"/>
        <v>16</v>
      </c>
      <c r="B28" s="88"/>
      <c r="C28" s="89"/>
      <c r="D28" s="95"/>
      <c r="E28" s="324" t="s">
        <v>1022</v>
      </c>
      <c r="F28" s="65"/>
      <c r="G28" s="53"/>
      <c r="H28" s="65"/>
      <c r="I28" s="359">
        <v>1.0</v>
      </c>
      <c r="J28" s="359"/>
      <c r="K28" s="359"/>
      <c r="L28" s="360"/>
      <c r="M28" s="87"/>
      <c r="N28" s="238"/>
    </row>
    <row r="29" ht="19.5" customHeight="1">
      <c r="A29" s="291">
        <f t="shared" si="2"/>
        <v>17</v>
      </c>
      <c r="B29" s="88"/>
      <c r="C29" s="89"/>
      <c r="D29" s="90"/>
      <c r="E29" s="324" t="s">
        <v>1023</v>
      </c>
      <c r="F29" s="65"/>
      <c r="G29" s="53" t="s">
        <v>1024</v>
      </c>
      <c r="H29" s="77"/>
      <c r="I29" s="325">
        <v>1.0</v>
      </c>
      <c r="J29" s="325"/>
      <c r="K29" s="325"/>
      <c r="L29" s="325"/>
      <c r="M29" s="87"/>
      <c r="N29" s="238"/>
    </row>
    <row r="30" ht="19.5" customHeight="1">
      <c r="A30" s="291">
        <f t="shared" si="2"/>
        <v>18</v>
      </c>
      <c r="B30" s="88"/>
      <c r="C30" s="89"/>
      <c r="D30" s="90"/>
      <c r="E30" s="324" t="s">
        <v>1025</v>
      </c>
      <c r="F30" s="65"/>
      <c r="G30" s="53"/>
      <c r="H30" s="77"/>
      <c r="I30" s="325">
        <v>1.0</v>
      </c>
      <c r="J30" s="326"/>
      <c r="K30" s="325"/>
      <c r="L30" s="325"/>
      <c r="M30" s="87"/>
      <c r="N30" s="238"/>
    </row>
    <row r="31" ht="19.5" customHeight="1">
      <c r="A31" s="291">
        <f t="shared" si="2"/>
        <v>19</v>
      </c>
      <c r="B31" s="361"/>
      <c r="C31" s="297"/>
      <c r="D31" s="90"/>
      <c r="E31" s="324" t="s">
        <v>1026</v>
      </c>
      <c r="F31" s="65"/>
      <c r="G31" s="53"/>
      <c r="H31" s="362"/>
      <c r="I31" s="363">
        <v>1.0</v>
      </c>
      <c r="J31" s="363"/>
      <c r="K31" s="363"/>
      <c r="L31" s="363"/>
      <c r="M31" s="364"/>
      <c r="N31" s="365"/>
    </row>
    <row r="32" ht="19.5" customHeight="1">
      <c r="A32" s="291">
        <f t="shared" si="2"/>
        <v>20</v>
      </c>
      <c r="B32" s="361"/>
      <c r="C32" s="297"/>
      <c r="D32" s="90"/>
      <c r="E32" s="324" t="s">
        <v>1027</v>
      </c>
      <c r="F32" s="65"/>
      <c r="G32" s="53"/>
      <c r="H32" s="362"/>
      <c r="I32" s="363"/>
      <c r="J32" s="363">
        <v>1.0</v>
      </c>
      <c r="K32" s="363"/>
      <c r="L32" s="363"/>
      <c r="M32" s="364"/>
      <c r="N32" s="365"/>
    </row>
    <row r="33" ht="19.5" customHeight="1">
      <c r="A33" s="291">
        <f t="shared" si="2"/>
        <v>21</v>
      </c>
      <c r="B33" s="361"/>
      <c r="C33" s="297"/>
      <c r="D33" s="90"/>
      <c r="E33" s="324" t="s">
        <v>960</v>
      </c>
      <c r="F33" s="65"/>
      <c r="G33" s="53"/>
      <c r="H33" s="362"/>
      <c r="I33" s="363"/>
      <c r="J33" s="363"/>
      <c r="K33" s="363"/>
      <c r="L33" s="363">
        <v>1.0</v>
      </c>
      <c r="M33" s="364"/>
      <c r="N33" s="365"/>
    </row>
    <row r="34" ht="19.5" customHeight="1">
      <c r="A34" s="291">
        <f t="shared" si="2"/>
        <v>22</v>
      </c>
      <c r="B34" s="361"/>
      <c r="C34" s="297"/>
      <c r="D34" s="90"/>
      <c r="E34" s="324" t="s">
        <v>814</v>
      </c>
      <c r="F34" s="65"/>
      <c r="G34" s="53"/>
      <c r="H34" s="362"/>
      <c r="I34" s="363">
        <v>1.0</v>
      </c>
      <c r="J34" s="363"/>
      <c r="K34" s="363"/>
      <c r="L34" s="363"/>
      <c r="M34" s="364"/>
      <c r="N34" s="365"/>
    </row>
    <row r="35" ht="19.5" customHeight="1">
      <c r="A35" s="291">
        <f t="shared" si="2"/>
        <v>23</v>
      </c>
      <c r="B35" s="361"/>
      <c r="C35" s="297"/>
      <c r="D35" s="90"/>
      <c r="E35" s="324" t="s">
        <v>1028</v>
      </c>
      <c r="F35" s="65"/>
      <c r="G35" s="53"/>
      <c r="H35" s="362"/>
      <c r="I35" s="363">
        <v>1.0</v>
      </c>
      <c r="J35" s="363"/>
      <c r="K35" s="363"/>
      <c r="L35" s="363"/>
      <c r="M35" s="364"/>
      <c r="N35" s="365"/>
    </row>
    <row r="36" ht="19.5" customHeight="1">
      <c r="A36" s="291">
        <f t="shared" si="2"/>
        <v>24</v>
      </c>
      <c r="B36" s="361"/>
      <c r="C36" s="297"/>
      <c r="D36" s="90"/>
      <c r="E36" s="324" t="s">
        <v>1029</v>
      </c>
      <c r="F36" s="65"/>
      <c r="G36" s="53"/>
      <c r="H36" s="362"/>
      <c r="I36" s="363">
        <v>1.0</v>
      </c>
      <c r="J36" s="363"/>
      <c r="K36" s="363"/>
      <c r="L36" s="363"/>
      <c r="M36" s="364"/>
      <c r="N36" s="365"/>
    </row>
    <row r="37" ht="19.5" customHeight="1">
      <c r="A37" s="291" t="str">
        <f t="shared" si="2"/>
        <v/>
      </c>
      <c r="B37" s="366"/>
      <c r="C37" s="367"/>
      <c r="D37" s="368" t="s">
        <v>1030</v>
      </c>
      <c r="E37" s="369"/>
      <c r="F37" s="370"/>
      <c r="G37" s="371"/>
      <c r="H37" s="367"/>
      <c r="I37" s="372"/>
      <c r="J37" s="372"/>
      <c r="K37" s="372"/>
      <c r="L37" s="372"/>
      <c r="M37" s="364"/>
      <c r="N37" s="365"/>
    </row>
    <row r="38" ht="19.5" customHeight="1">
      <c r="A38" s="291">
        <f t="shared" si="2"/>
        <v>25</v>
      </c>
      <c r="B38" s="49"/>
      <c r="C38" s="49"/>
      <c r="D38" s="328"/>
      <c r="E38" s="302" t="s">
        <v>1031</v>
      </c>
      <c r="F38" s="295"/>
      <c r="G38" s="373"/>
      <c r="H38" s="49"/>
      <c r="I38" s="374" t="s">
        <v>22</v>
      </c>
      <c r="J38" s="374"/>
      <c r="K38" s="374"/>
      <c r="L38" s="374"/>
      <c r="M38" s="375"/>
      <c r="N38" s="365" t="s">
        <v>1032</v>
      </c>
    </row>
    <row r="39" ht="19.5" customHeight="1">
      <c r="A39" s="291">
        <f t="shared" si="2"/>
        <v>26</v>
      </c>
      <c r="B39" s="49"/>
      <c r="C39" s="49"/>
      <c r="D39" s="328"/>
      <c r="E39" s="302" t="s">
        <v>569</v>
      </c>
      <c r="F39" s="295"/>
      <c r="G39" s="373"/>
      <c r="H39" s="49"/>
      <c r="I39" s="374">
        <v>1.0</v>
      </c>
      <c r="J39" s="374"/>
      <c r="K39" s="374"/>
      <c r="L39" s="374"/>
      <c r="M39" s="375"/>
      <c r="N39" s="365"/>
    </row>
    <row r="40" ht="19.5" customHeight="1">
      <c r="A40" s="291">
        <f t="shared" si="2"/>
        <v>27</v>
      </c>
      <c r="B40" s="13"/>
      <c r="C40" s="13"/>
      <c r="D40" s="376"/>
      <c r="E40" s="302" t="s">
        <v>1033</v>
      </c>
      <c r="F40" s="295"/>
      <c r="G40" s="373"/>
      <c r="H40" s="13"/>
      <c r="I40" s="372">
        <v>1.0</v>
      </c>
      <c r="J40" s="372"/>
      <c r="K40" s="372"/>
      <c r="L40" s="372"/>
      <c r="M40" s="377"/>
      <c r="N40" s="365" t="s">
        <v>1034</v>
      </c>
    </row>
    <row r="41" ht="19.5" customHeight="1">
      <c r="A41" s="291">
        <f t="shared" si="2"/>
        <v>28</v>
      </c>
      <c r="B41" s="364"/>
      <c r="C41" s="378"/>
      <c r="D41" s="104"/>
      <c r="E41" s="302" t="s">
        <v>1035</v>
      </c>
      <c r="F41" s="295"/>
      <c r="G41" s="105"/>
      <c r="H41" s="343"/>
      <c r="I41" s="289">
        <v>1.0</v>
      </c>
      <c r="J41" s="289"/>
      <c r="K41" s="289"/>
      <c r="L41" s="289"/>
      <c r="M41" s="294"/>
      <c r="N41" s="335"/>
    </row>
    <row r="42" ht="19.5" customHeight="1">
      <c r="A42" s="291">
        <f t="shared" si="2"/>
        <v>29</v>
      </c>
      <c r="B42" s="364"/>
      <c r="C42" s="378"/>
      <c r="D42" s="104"/>
      <c r="E42" s="302" t="s">
        <v>60</v>
      </c>
      <c r="F42" s="295"/>
      <c r="G42" s="105"/>
      <c r="H42" s="343"/>
      <c r="I42" s="289" t="s">
        <v>22</v>
      </c>
      <c r="J42" s="289"/>
      <c r="K42" s="289"/>
      <c r="L42" s="289"/>
      <c r="M42" s="294"/>
      <c r="N42" s="335"/>
    </row>
    <row r="43" ht="19.5" customHeight="1">
      <c r="A43" s="291" t="str">
        <f t="shared" si="2"/>
        <v/>
      </c>
      <c r="B43" s="364"/>
      <c r="C43" s="378"/>
      <c r="D43" s="284" t="s">
        <v>1036</v>
      </c>
      <c r="E43" s="365"/>
      <c r="F43" s="332"/>
      <c r="G43" s="105"/>
      <c r="H43" s="343"/>
      <c r="I43" s="289"/>
      <c r="J43" s="289"/>
      <c r="K43" s="289"/>
      <c r="L43" s="289"/>
      <c r="M43" s="294"/>
      <c r="N43" s="335"/>
    </row>
    <row r="44" ht="19.5" customHeight="1">
      <c r="A44" s="291">
        <f t="shared" si="2"/>
        <v>30</v>
      </c>
      <c r="B44" s="364"/>
      <c r="C44" s="378"/>
      <c r="D44" s="104"/>
      <c r="E44" s="302" t="s">
        <v>1037</v>
      </c>
      <c r="F44" s="332"/>
      <c r="G44" s="333" t="s">
        <v>112</v>
      </c>
      <c r="H44" s="343"/>
      <c r="I44" s="289">
        <v>1.0</v>
      </c>
      <c r="J44" s="289"/>
      <c r="K44" s="289"/>
      <c r="L44" s="289"/>
      <c r="M44" s="294"/>
      <c r="N44" s="335"/>
    </row>
    <row r="45" ht="19.5" customHeight="1">
      <c r="A45" s="291">
        <f t="shared" si="2"/>
        <v>31</v>
      </c>
      <c r="B45" s="364"/>
      <c r="C45" s="378"/>
      <c r="D45" s="104"/>
      <c r="E45" s="302" t="s">
        <v>52</v>
      </c>
      <c r="F45" s="332"/>
      <c r="G45" s="333"/>
      <c r="H45" s="343"/>
      <c r="I45" s="289">
        <v>1.0</v>
      </c>
      <c r="J45" s="289"/>
      <c r="K45" s="289"/>
      <c r="L45" s="289"/>
      <c r="M45" s="294"/>
      <c r="N45" s="335"/>
    </row>
    <row r="46" ht="19.5" customHeight="1">
      <c r="A46" s="291">
        <f t="shared" si="2"/>
        <v>32</v>
      </c>
      <c r="B46" s="364"/>
      <c r="C46" s="378"/>
      <c r="D46" s="104"/>
      <c r="E46" s="302" t="s">
        <v>1038</v>
      </c>
      <c r="F46" s="332"/>
      <c r="G46" s="333"/>
      <c r="H46" s="343"/>
      <c r="I46" s="289">
        <v>1.0</v>
      </c>
      <c r="J46" s="289"/>
      <c r="K46" s="289"/>
      <c r="L46" s="289"/>
      <c r="M46" s="294"/>
      <c r="N46" s="335"/>
    </row>
    <row r="47" ht="19.5" customHeight="1">
      <c r="A47" s="291">
        <f t="shared" si="2"/>
        <v>33</v>
      </c>
      <c r="B47" s="364"/>
      <c r="C47" s="378"/>
      <c r="D47" s="284"/>
      <c r="E47" s="302" t="s">
        <v>1039</v>
      </c>
      <c r="F47" s="332"/>
      <c r="G47" s="333"/>
      <c r="H47" s="343"/>
      <c r="I47" s="289">
        <v>1.0</v>
      </c>
      <c r="J47" s="289"/>
      <c r="K47" s="289"/>
      <c r="L47" s="289"/>
      <c r="M47" s="294"/>
      <c r="N47" s="335"/>
    </row>
    <row r="48" ht="19.5" customHeight="1">
      <c r="A48" s="291">
        <f t="shared" si="2"/>
        <v>34</v>
      </c>
      <c r="B48" s="364"/>
      <c r="C48" s="378"/>
      <c r="D48" s="284"/>
      <c r="E48" s="302" t="s">
        <v>813</v>
      </c>
      <c r="F48" s="332"/>
      <c r="G48" s="333"/>
      <c r="H48" s="343"/>
      <c r="I48" s="289">
        <v>1.0</v>
      </c>
      <c r="J48" s="289"/>
      <c r="K48" s="289"/>
      <c r="L48" s="289"/>
      <c r="M48" s="294"/>
      <c r="N48" s="335"/>
    </row>
    <row r="49" ht="19.5" customHeight="1">
      <c r="A49" s="291" t="str">
        <f t="shared" si="2"/>
        <v/>
      </c>
      <c r="B49" s="364"/>
      <c r="C49" s="378"/>
      <c r="D49" s="284" t="s">
        <v>1040</v>
      </c>
      <c r="E49" s="302"/>
      <c r="F49" s="332"/>
      <c r="G49" s="333"/>
      <c r="H49" s="343"/>
      <c r="I49" s="289"/>
      <c r="J49" s="289"/>
      <c r="K49" s="289"/>
      <c r="L49" s="289"/>
      <c r="M49" s="294"/>
      <c r="N49" s="335"/>
    </row>
    <row r="50" ht="19.5" customHeight="1">
      <c r="A50" s="291">
        <f t="shared" si="2"/>
        <v>35</v>
      </c>
      <c r="B50" s="364"/>
      <c r="C50" s="378"/>
      <c r="D50" s="104"/>
      <c r="E50" s="302" t="s">
        <v>1041</v>
      </c>
      <c r="F50" s="332"/>
      <c r="G50" s="333"/>
      <c r="H50" s="343"/>
      <c r="I50" s="289">
        <v>1.0</v>
      </c>
      <c r="J50" s="289"/>
      <c r="K50" s="289"/>
      <c r="L50" s="289"/>
      <c r="M50" s="294"/>
      <c r="N50" s="335"/>
    </row>
    <row r="51" ht="19.5" customHeight="1">
      <c r="A51" s="291">
        <f t="shared" si="2"/>
        <v>36</v>
      </c>
      <c r="B51" s="364"/>
      <c r="C51" s="378"/>
      <c r="D51" s="104"/>
      <c r="E51" s="302" t="s">
        <v>1042</v>
      </c>
      <c r="F51" s="332"/>
      <c r="G51" s="333"/>
      <c r="H51" s="343"/>
      <c r="I51" s="289">
        <v>1.0</v>
      </c>
      <c r="J51" s="289"/>
      <c r="K51" s="289"/>
      <c r="L51" s="289"/>
      <c r="M51" s="294"/>
      <c r="N51" s="335"/>
    </row>
    <row r="52" ht="19.5" customHeight="1">
      <c r="A52" s="291">
        <f t="shared" si="2"/>
        <v>37</v>
      </c>
      <c r="B52" s="364"/>
      <c r="C52" s="378"/>
      <c r="D52" s="104"/>
      <c r="E52" s="302" t="s">
        <v>1043</v>
      </c>
      <c r="F52" s="332"/>
      <c r="G52" s="333"/>
      <c r="H52" s="343"/>
      <c r="I52" s="289">
        <v>1.0</v>
      </c>
      <c r="J52" s="289"/>
      <c r="K52" s="289"/>
      <c r="L52" s="289"/>
      <c r="M52" s="294"/>
      <c r="N52" s="335"/>
    </row>
    <row r="53" ht="19.5" customHeight="1">
      <c r="A53" s="291">
        <f t="shared" si="2"/>
        <v>38</v>
      </c>
      <c r="B53" s="364"/>
      <c r="C53" s="378"/>
      <c r="D53" s="104"/>
      <c r="E53" s="302" t="s">
        <v>1044</v>
      </c>
      <c r="F53" s="332"/>
      <c r="G53" s="333"/>
      <c r="H53" s="343"/>
      <c r="I53" s="289">
        <v>1.0</v>
      </c>
      <c r="J53" s="289"/>
      <c r="K53" s="289"/>
      <c r="L53" s="289"/>
      <c r="M53" s="294"/>
      <c r="N53" s="335"/>
    </row>
    <row r="54" ht="19.5" customHeight="1">
      <c r="A54" s="291">
        <f t="shared" si="2"/>
        <v>39</v>
      </c>
      <c r="B54" s="364"/>
      <c r="C54" s="378"/>
      <c r="D54" s="104"/>
      <c r="E54" s="302" t="s">
        <v>1045</v>
      </c>
      <c r="F54" s="332"/>
      <c r="G54" s="333"/>
      <c r="H54" s="343"/>
      <c r="I54" s="289">
        <v>1.0</v>
      </c>
      <c r="J54" s="289"/>
      <c r="K54" s="289"/>
      <c r="L54" s="289"/>
      <c r="M54" s="294"/>
      <c r="N54" s="335"/>
    </row>
    <row r="55" ht="19.5" customHeight="1">
      <c r="A55" s="291">
        <f t="shared" si="2"/>
        <v>40</v>
      </c>
      <c r="B55" s="364"/>
      <c r="C55" s="378"/>
      <c r="D55" s="104"/>
      <c r="E55" s="302" t="s">
        <v>738</v>
      </c>
      <c r="F55" s="332"/>
      <c r="G55" s="333"/>
      <c r="H55" s="343"/>
      <c r="I55" s="289"/>
      <c r="J55" s="289">
        <v>1.0</v>
      </c>
      <c r="K55" s="289"/>
      <c r="L55" s="289"/>
      <c r="M55" s="294"/>
      <c r="N55" s="335"/>
    </row>
    <row r="56" ht="19.5" customHeight="1">
      <c r="A56" s="291">
        <f t="shared" si="2"/>
        <v>41</v>
      </c>
      <c r="B56" s="364"/>
      <c r="C56" s="378"/>
      <c r="D56" s="104"/>
      <c r="E56" s="302" t="s">
        <v>1046</v>
      </c>
      <c r="F56" s="332"/>
      <c r="G56" s="333"/>
      <c r="H56" s="343"/>
      <c r="I56" s="289">
        <v>1.0</v>
      </c>
      <c r="J56" s="289"/>
      <c r="K56" s="289"/>
      <c r="L56" s="289"/>
      <c r="M56" s="294"/>
      <c r="N56" s="335"/>
    </row>
    <row r="57" ht="19.5" customHeight="1">
      <c r="A57" s="291">
        <f t="shared" si="2"/>
        <v>42</v>
      </c>
      <c r="B57" s="73"/>
      <c r="C57" s="89"/>
      <c r="D57" s="90"/>
      <c r="E57" s="324" t="s">
        <v>1047</v>
      </c>
      <c r="F57" s="65"/>
      <c r="G57" s="53"/>
      <c r="H57" s="82"/>
      <c r="I57" s="325">
        <v>1.0</v>
      </c>
      <c r="J57" s="326"/>
      <c r="K57" s="326"/>
      <c r="L57" s="326"/>
      <c r="M57" s="30"/>
      <c r="N57" s="238"/>
    </row>
    <row r="58" ht="19.5" customHeight="1">
      <c r="A58" s="291">
        <f t="shared" si="2"/>
        <v>43</v>
      </c>
      <c r="B58" s="364"/>
      <c r="C58" s="378"/>
      <c r="D58" s="104"/>
      <c r="E58" s="302" t="s">
        <v>1048</v>
      </c>
      <c r="F58" s="332"/>
      <c r="G58" s="333"/>
      <c r="H58" s="343"/>
      <c r="I58" s="289">
        <v>1.0</v>
      </c>
      <c r="J58" s="289"/>
      <c r="K58" s="289"/>
      <c r="L58" s="289"/>
      <c r="M58" s="294"/>
      <c r="N58" s="335"/>
    </row>
    <row r="59" ht="19.5" customHeight="1">
      <c r="A59" s="291" t="str">
        <f t="shared" si="2"/>
        <v/>
      </c>
      <c r="B59" s="88"/>
      <c r="C59" s="379"/>
      <c r="D59" s="316" t="s">
        <v>1049</v>
      </c>
      <c r="E59" s="324"/>
      <c r="F59" s="77"/>
      <c r="G59" s="135"/>
      <c r="H59" s="380"/>
      <c r="I59" s="303"/>
      <c r="J59" s="303"/>
      <c r="K59" s="303"/>
      <c r="L59" s="303"/>
      <c r="M59" s="30"/>
      <c r="N59" s="238"/>
    </row>
    <row r="60" ht="19.5" customHeight="1">
      <c r="A60" s="291">
        <f t="shared" si="2"/>
        <v>44</v>
      </c>
      <c r="B60" s="88"/>
      <c r="C60" s="89"/>
      <c r="D60" s="90"/>
      <c r="E60" s="302" t="s">
        <v>441</v>
      </c>
      <c r="F60" s="332"/>
      <c r="G60" s="381"/>
      <c r="H60" s="33"/>
      <c r="I60" s="325">
        <v>1.0</v>
      </c>
      <c r="J60" s="325"/>
      <c r="K60" s="326"/>
      <c r="L60" s="326"/>
      <c r="M60" s="30"/>
      <c r="N60" s="238"/>
    </row>
    <row r="61" ht="19.5" customHeight="1">
      <c r="A61" s="291">
        <f t="shared" si="2"/>
        <v>45</v>
      </c>
      <c r="B61" s="88"/>
      <c r="C61" s="89"/>
      <c r="D61" s="90"/>
      <c r="E61" s="302" t="s">
        <v>444</v>
      </c>
      <c r="F61" s="332"/>
      <c r="G61" s="381"/>
      <c r="H61" s="33"/>
      <c r="I61" s="325">
        <v>1.0</v>
      </c>
      <c r="J61" s="325"/>
      <c r="K61" s="326"/>
      <c r="L61" s="326"/>
      <c r="M61" s="30"/>
      <c r="N61" s="238"/>
    </row>
    <row r="62" ht="19.5" customHeight="1">
      <c r="A62" s="291">
        <f t="shared" si="2"/>
        <v>46</v>
      </c>
      <c r="B62" s="88"/>
      <c r="C62" s="89"/>
      <c r="D62" s="90"/>
      <c r="E62" s="302" t="s">
        <v>446</v>
      </c>
      <c r="F62" s="332"/>
      <c r="G62" s="381"/>
      <c r="H62" s="33"/>
      <c r="I62" s="325">
        <v>1.0</v>
      </c>
      <c r="J62" s="325"/>
      <c r="K62" s="326"/>
      <c r="L62" s="326"/>
      <c r="M62" s="30"/>
      <c r="N62" s="238"/>
    </row>
    <row r="63" ht="19.5" customHeight="1">
      <c r="A63" s="291">
        <f t="shared" si="2"/>
        <v>47</v>
      </c>
      <c r="B63" s="88"/>
      <c r="C63" s="89"/>
      <c r="D63" s="90"/>
      <c r="E63" s="302" t="s">
        <v>1050</v>
      </c>
      <c r="F63" s="332"/>
      <c r="G63" s="381"/>
      <c r="H63" s="33"/>
      <c r="I63" s="325">
        <v>1.0</v>
      </c>
      <c r="J63" s="325"/>
      <c r="K63" s="326"/>
      <c r="L63" s="326"/>
      <c r="M63" s="30"/>
      <c r="N63" s="238"/>
    </row>
    <row r="64" ht="19.5" customHeight="1">
      <c r="A64" s="291">
        <f t="shared" si="2"/>
        <v>48</v>
      </c>
      <c r="B64" s="88"/>
      <c r="C64" s="89"/>
      <c r="D64" s="90"/>
      <c r="E64" s="302" t="s">
        <v>450</v>
      </c>
      <c r="F64" s="332"/>
      <c r="G64" s="381"/>
      <c r="H64" s="33"/>
      <c r="I64" s="325">
        <v>1.0</v>
      </c>
      <c r="J64" s="325"/>
      <c r="K64" s="326"/>
      <c r="L64" s="326"/>
      <c r="M64" s="30"/>
      <c r="N64" s="238"/>
    </row>
    <row r="65" ht="19.5" customHeight="1">
      <c r="A65" s="291">
        <f t="shared" si="2"/>
        <v>49</v>
      </c>
      <c r="B65" s="88"/>
      <c r="C65" s="89"/>
      <c r="D65" s="90"/>
      <c r="E65" s="302" t="s">
        <v>452</v>
      </c>
      <c r="F65" s="332"/>
      <c r="G65" s="381"/>
      <c r="H65" s="33"/>
      <c r="I65" s="325">
        <v>1.0</v>
      </c>
      <c r="J65" s="325"/>
      <c r="K65" s="326"/>
      <c r="L65" s="326"/>
      <c r="M65" s="30"/>
      <c r="N65" s="238"/>
    </row>
    <row r="66" ht="19.5" customHeight="1">
      <c r="A66" s="291">
        <f t="shared" si="2"/>
        <v>50</v>
      </c>
      <c r="B66" s="88"/>
      <c r="C66" s="89"/>
      <c r="D66" s="90"/>
      <c r="E66" s="302" t="s">
        <v>454</v>
      </c>
      <c r="F66" s="332"/>
      <c r="G66" s="381"/>
      <c r="H66" s="33"/>
      <c r="I66" s="325">
        <v>1.0</v>
      </c>
      <c r="J66" s="325"/>
      <c r="K66" s="326"/>
      <c r="L66" s="326"/>
      <c r="M66" s="30"/>
      <c r="N66" s="238"/>
    </row>
    <row r="67" ht="19.5" customHeight="1">
      <c r="A67" s="291">
        <f t="shared" si="2"/>
        <v>51</v>
      </c>
      <c r="B67" s="88"/>
      <c r="C67" s="89"/>
      <c r="D67" s="90"/>
      <c r="E67" s="302" t="s">
        <v>456</v>
      </c>
      <c r="F67" s="332"/>
      <c r="G67" s="381"/>
      <c r="H67" s="33"/>
      <c r="I67" s="325">
        <v>1.0</v>
      </c>
      <c r="J67" s="325"/>
      <c r="K67" s="326"/>
      <c r="L67" s="326"/>
      <c r="M67" s="30"/>
      <c r="N67" s="238"/>
    </row>
    <row r="68" ht="19.5" customHeight="1">
      <c r="A68" s="291">
        <f t="shared" si="2"/>
        <v>52</v>
      </c>
      <c r="B68" s="88"/>
      <c r="C68" s="89"/>
      <c r="D68" s="90"/>
      <c r="E68" s="302" t="s">
        <v>458</v>
      </c>
      <c r="F68" s="332"/>
      <c r="G68" s="381"/>
      <c r="H68" s="33"/>
      <c r="I68" s="325">
        <v>1.0</v>
      </c>
      <c r="J68" s="325"/>
      <c r="K68" s="326"/>
      <c r="L68" s="326"/>
      <c r="M68" s="30"/>
      <c r="N68" s="238"/>
    </row>
    <row r="69" ht="19.5" customHeight="1">
      <c r="A69" s="291">
        <f t="shared" si="2"/>
        <v>53</v>
      </c>
      <c r="B69" s="88"/>
      <c r="C69" s="89"/>
      <c r="D69" s="90"/>
      <c r="E69" s="302" t="s">
        <v>1051</v>
      </c>
      <c r="F69" s="332"/>
      <c r="G69" s="381"/>
      <c r="H69" s="33"/>
      <c r="I69" s="325">
        <v>1.0</v>
      </c>
      <c r="J69" s="325"/>
      <c r="K69" s="326"/>
      <c r="L69" s="326"/>
      <c r="M69" s="30"/>
      <c r="N69" s="238"/>
    </row>
    <row r="70" ht="19.5" customHeight="1">
      <c r="A70" s="291">
        <f t="shared" si="2"/>
        <v>54</v>
      </c>
      <c r="B70" s="88"/>
      <c r="C70" s="89"/>
      <c r="D70" s="90"/>
      <c r="E70" s="382" t="s">
        <v>462</v>
      </c>
      <c r="F70" s="383"/>
      <c r="G70" s="381"/>
      <c r="H70" s="33"/>
      <c r="I70" s="325">
        <v>1.0</v>
      </c>
      <c r="J70" s="325"/>
      <c r="K70" s="326"/>
      <c r="L70" s="326"/>
      <c r="M70" s="30"/>
      <c r="N70" s="238"/>
    </row>
    <row r="71" ht="19.5" customHeight="1">
      <c r="A71" s="291">
        <f t="shared" si="2"/>
        <v>55</v>
      </c>
      <c r="B71" s="88"/>
      <c r="C71" s="89"/>
      <c r="D71" s="90"/>
      <c r="E71" s="382" t="s">
        <v>464</v>
      </c>
      <c r="F71" s="383"/>
      <c r="G71" s="381"/>
      <c r="H71" s="33"/>
      <c r="I71" s="325">
        <v>1.0</v>
      </c>
      <c r="J71" s="325"/>
      <c r="K71" s="326"/>
      <c r="L71" s="326"/>
      <c r="M71" s="30"/>
      <c r="N71" s="238"/>
    </row>
    <row r="72" ht="19.5" customHeight="1">
      <c r="A72" s="291">
        <f t="shared" si="2"/>
        <v>56</v>
      </c>
      <c r="B72" s="88"/>
      <c r="C72" s="89"/>
      <c r="D72" s="90"/>
      <c r="E72" s="382" t="s">
        <v>466</v>
      </c>
      <c r="F72" s="383"/>
      <c r="G72" s="381"/>
      <c r="H72" s="33"/>
      <c r="I72" s="325">
        <v>1.0</v>
      </c>
      <c r="J72" s="325"/>
      <c r="K72" s="326"/>
      <c r="L72" s="326"/>
      <c r="M72" s="30"/>
      <c r="N72" s="238"/>
    </row>
    <row r="73" ht="19.5" customHeight="1">
      <c r="A73" s="291">
        <f t="shared" si="2"/>
        <v>57</v>
      </c>
      <c r="B73" s="88"/>
      <c r="C73" s="89"/>
      <c r="D73" s="90"/>
      <c r="E73" s="382" t="s">
        <v>469</v>
      </c>
      <c r="F73" s="383"/>
      <c r="G73" s="381"/>
      <c r="H73" s="33"/>
      <c r="I73" s="325">
        <v>1.0</v>
      </c>
      <c r="J73" s="325"/>
      <c r="K73" s="326"/>
      <c r="L73" s="326"/>
      <c r="M73" s="30"/>
      <c r="N73" s="238"/>
    </row>
    <row r="74" ht="19.5" customHeight="1">
      <c r="A74" s="291">
        <f t="shared" si="2"/>
        <v>58</v>
      </c>
      <c r="B74" s="88"/>
      <c r="C74" s="89"/>
      <c r="D74" s="90"/>
      <c r="E74" s="382" t="s">
        <v>472</v>
      </c>
      <c r="F74" s="383"/>
      <c r="G74" s="381"/>
      <c r="H74" s="33"/>
      <c r="I74" s="325">
        <v>1.0</v>
      </c>
      <c r="J74" s="325"/>
      <c r="K74" s="326"/>
      <c r="L74" s="326"/>
      <c r="M74" s="30"/>
      <c r="N74" s="238"/>
    </row>
    <row r="75" ht="19.5" customHeight="1">
      <c r="A75" s="291">
        <f t="shared" si="2"/>
        <v>59</v>
      </c>
      <c r="B75" s="88"/>
      <c r="C75" s="89"/>
      <c r="D75" s="90"/>
      <c r="E75" s="382" t="s">
        <v>474</v>
      </c>
      <c r="F75" s="383"/>
      <c r="G75" s="381"/>
      <c r="H75" s="33"/>
      <c r="I75" s="325">
        <v>1.0</v>
      </c>
      <c r="J75" s="325"/>
      <c r="K75" s="326"/>
      <c r="L75" s="326"/>
      <c r="M75" s="30"/>
      <c r="N75" s="238"/>
    </row>
    <row r="76" ht="19.5" customHeight="1">
      <c r="A76" s="291">
        <f t="shared" si="2"/>
        <v>60</v>
      </c>
      <c r="B76" s="88"/>
      <c r="C76" s="89"/>
      <c r="D76" s="90"/>
      <c r="E76" s="382" t="s">
        <v>476</v>
      </c>
      <c r="F76" s="383"/>
      <c r="G76" s="381"/>
      <c r="H76" s="33"/>
      <c r="I76" s="325">
        <v>1.0</v>
      </c>
      <c r="J76" s="325"/>
      <c r="K76" s="326"/>
      <c r="L76" s="326"/>
      <c r="M76" s="30"/>
      <c r="N76" s="238"/>
    </row>
    <row r="77" ht="19.5" customHeight="1">
      <c r="A77" s="291">
        <f t="shared" si="2"/>
        <v>61</v>
      </c>
      <c r="B77" s="88"/>
      <c r="C77" s="89"/>
      <c r="D77" s="90"/>
      <c r="E77" s="382" t="s">
        <v>479</v>
      </c>
      <c r="F77" s="383"/>
      <c r="G77" s="381"/>
      <c r="H77" s="33"/>
      <c r="I77" s="325">
        <v>1.0</v>
      </c>
      <c r="J77" s="325"/>
      <c r="K77" s="326"/>
      <c r="L77" s="326"/>
      <c r="M77" s="30"/>
      <c r="N77" s="238"/>
    </row>
    <row r="78" ht="19.5" customHeight="1">
      <c r="A78" s="291">
        <f t="shared" si="2"/>
        <v>62</v>
      </c>
      <c r="B78" s="88"/>
      <c r="C78" s="89"/>
      <c r="D78" s="90"/>
      <c r="E78" s="324" t="s">
        <v>85</v>
      </c>
      <c r="F78" s="65"/>
      <c r="G78" s="100"/>
      <c r="H78" s="33"/>
      <c r="I78" s="325">
        <v>1.0</v>
      </c>
      <c r="J78" s="326"/>
      <c r="K78" s="326"/>
      <c r="L78" s="325"/>
      <c r="M78" s="30"/>
      <c r="N78" s="238"/>
    </row>
    <row r="79" ht="19.5" customHeight="1">
      <c r="A79" s="291" t="str">
        <f t="shared" si="2"/>
        <v/>
      </c>
      <c r="B79" s="88"/>
      <c r="C79" s="89"/>
      <c r="D79" s="90" t="s">
        <v>1052</v>
      </c>
      <c r="E79" s="324"/>
      <c r="F79" s="65"/>
      <c r="G79" s="100"/>
      <c r="H79" s="33"/>
      <c r="I79" s="326"/>
      <c r="J79" s="326"/>
      <c r="K79" s="326"/>
      <c r="L79" s="326"/>
      <c r="M79" s="30"/>
      <c r="N79" s="238"/>
    </row>
    <row r="80" ht="19.5" customHeight="1">
      <c r="A80" s="291">
        <f t="shared" si="2"/>
        <v>63</v>
      </c>
      <c r="B80" s="88"/>
      <c r="C80" s="89"/>
      <c r="D80" s="90"/>
      <c r="E80" s="324" t="s">
        <v>1053</v>
      </c>
      <c r="F80" s="65"/>
      <c r="G80" s="100"/>
      <c r="H80" s="33"/>
      <c r="I80" s="326"/>
      <c r="J80" s="325">
        <v>1.0</v>
      </c>
      <c r="K80" s="326"/>
      <c r="L80" s="325"/>
      <c r="M80" s="30"/>
      <c r="N80" s="238"/>
    </row>
    <row r="81" ht="19.5" customHeight="1">
      <c r="A81" s="291">
        <f t="shared" si="2"/>
        <v>64</v>
      </c>
      <c r="B81" s="88"/>
      <c r="C81" s="89"/>
      <c r="D81" s="90"/>
      <c r="E81" s="324" t="s">
        <v>909</v>
      </c>
      <c r="F81" s="65"/>
      <c r="G81" s="100"/>
      <c r="H81" s="33"/>
      <c r="I81" s="326"/>
      <c r="J81" s="325">
        <v>1.0</v>
      </c>
      <c r="K81" s="326"/>
      <c r="L81" s="325"/>
      <c r="M81" s="30"/>
      <c r="N81" s="238"/>
    </row>
    <row r="82" ht="19.5" customHeight="1">
      <c r="A82" s="291">
        <f t="shared" si="2"/>
        <v>65</v>
      </c>
      <c r="B82" s="88"/>
      <c r="C82" s="89"/>
      <c r="D82" s="90"/>
      <c r="E82" s="324" t="s">
        <v>1054</v>
      </c>
      <c r="F82" s="65"/>
      <c r="G82" s="100"/>
      <c r="H82" s="33"/>
      <c r="I82" s="326"/>
      <c r="J82" s="326"/>
      <c r="K82" s="326"/>
      <c r="L82" s="325">
        <v>1.0</v>
      </c>
      <c r="M82" s="30"/>
      <c r="N82" s="238"/>
    </row>
    <row r="83" ht="19.5" customHeight="1">
      <c r="A83" s="291">
        <f t="shared" si="2"/>
        <v>66</v>
      </c>
      <c r="B83" s="88"/>
      <c r="C83" s="89"/>
      <c r="D83" s="90"/>
      <c r="E83" s="324" t="s">
        <v>1055</v>
      </c>
      <c r="F83" s="65"/>
      <c r="G83" s="100"/>
      <c r="H83" s="33"/>
      <c r="I83" s="326"/>
      <c r="J83" s="325">
        <v>1.0</v>
      </c>
      <c r="K83" s="326"/>
      <c r="L83" s="325"/>
      <c r="M83" s="30"/>
      <c r="N83" s="238"/>
    </row>
    <row r="84" ht="19.5" customHeight="1">
      <c r="A84" s="291">
        <f t="shared" si="2"/>
        <v>67</v>
      </c>
      <c r="B84" s="88"/>
      <c r="C84" s="89"/>
      <c r="D84" s="90"/>
      <c r="E84" s="324" t="s">
        <v>1056</v>
      </c>
      <c r="F84" s="65"/>
      <c r="G84" s="100"/>
      <c r="H84" s="33"/>
      <c r="I84" s="326"/>
      <c r="J84" s="325">
        <v>1.0</v>
      </c>
      <c r="K84" s="326"/>
      <c r="L84" s="325"/>
      <c r="M84" s="30"/>
      <c r="N84" s="238"/>
    </row>
    <row r="85" ht="19.5" customHeight="1">
      <c r="A85" s="291">
        <f t="shared" si="2"/>
        <v>68</v>
      </c>
      <c r="B85" s="88"/>
      <c r="C85" s="89"/>
      <c r="D85" s="90"/>
      <c r="E85" s="324" t="s">
        <v>1057</v>
      </c>
      <c r="F85" s="65"/>
      <c r="G85" s="53"/>
      <c r="H85" s="82"/>
      <c r="I85" s="326"/>
      <c r="J85" s="325">
        <v>1.0</v>
      </c>
      <c r="K85" s="326"/>
      <c r="L85" s="325"/>
      <c r="M85" s="30"/>
      <c r="N85" s="238"/>
    </row>
    <row r="86" ht="19.5" customHeight="1">
      <c r="A86" s="384" t="s">
        <v>1058</v>
      </c>
      <c r="B86" s="385"/>
      <c r="C86" s="386"/>
      <c r="D86" s="349"/>
      <c r="E86" s="350"/>
      <c r="F86" s="351"/>
      <c r="G86" s="387"/>
      <c r="H86" s="351"/>
      <c r="I86" s="388"/>
      <c r="J86" s="388"/>
      <c r="K86" s="388"/>
      <c r="L86" s="388"/>
      <c r="M86" s="389"/>
      <c r="N86" s="280"/>
    </row>
    <row r="87" ht="19.5" customHeight="1">
      <c r="A87" s="291" t="str">
        <f t="shared" ref="A87:A140" si="3">IF(ISBLANK(E87),"",COUNTA($E$6:E87))</f>
        <v/>
      </c>
      <c r="B87" s="361"/>
      <c r="C87" s="297"/>
      <c r="D87" s="390" t="s">
        <v>1059</v>
      </c>
      <c r="E87" s="302"/>
      <c r="F87" s="332"/>
      <c r="G87" s="287"/>
      <c r="H87" s="295"/>
      <c r="I87" s="346"/>
      <c r="J87" s="346"/>
      <c r="K87" s="346"/>
      <c r="L87" s="346"/>
      <c r="M87" s="391"/>
      <c r="N87" s="290"/>
    </row>
    <row r="88" ht="19.5" customHeight="1">
      <c r="A88" s="291">
        <f t="shared" si="3"/>
        <v>69</v>
      </c>
      <c r="B88" s="88"/>
      <c r="C88" s="89"/>
      <c r="D88" s="90"/>
      <c r="E88" s="324" t="s">
        <v>1060</v>
      </c>
      <c r="F88" s="79"/>
      <c r="G88" s="53"/>
      <c r="H88" s="82"/>
      <c r="I88" s="325">
        <v>1.0</v>
      </c>
      <c r="J88" s="326"/>
      <c r="K88" s="326"/>
      <c r="L88" s="326"/>
      <c r="M88" s="30"/>
      <c r="N88" s="238"/>
    </row>
    <row r="89" ht="19.5" customHeight="1">
      <c r="A89" s="291">
        <f t="shared" si="3"/>
        <v>70</v>
      </c>
      <c r="B89" s="392"/>
      <c r="C89" s="301"/>
      <c r="D89" s="393"/>
      <c r="E89" s="324" t="s">
        <v>1061</v>
      </c>
      <c r="F89" s="65"/>
      <c r="G89" s="53"/>
      <c r="H89" s="33"/>
      <c r="I89" s="325">
        <v>1.0</v>
      </c>
      <c r="J89" s="325"/>
      <c r="K89" s="326"/>
      <c r="L89" s="326"/>
      <c r="M89" s="30"/>
      <c r="N89" s="238"/>
    </row>
    <row r="90" ht="19.5" customHeight="1">
      <c r="A90" s="291">
        <f t="shared" si="3"/>
        <v>71</v>
      </c>
      <c r="B90" s="392"/>
      <c r="C90" s="301"/>
      <c r="D90" s="393"/>
      <c r="E90" s="324" t="s">
        <v>1062</v>
      </c>
      <c r="F90" s="65"/>
      <c r="G90" s="53"/>
      <c r="H90" s="33"/>
      <c r="I90" s="325">
        <v>1.0</v>
      </c>
      <c r="J90" s="325"/>
      <c r="K90" s="326"/>
      <c r="L90" s="326"/>
      <c r="M90" s="30"/>
      <c r="N90" s="238"/>
    </row>
    <row r="91" ht="19.5" customHeight="1">
      <c r="A91" s="291">
        <f t="shared" si="3"/>
        <v>72</v>
      </c>
      <c r="B91" s="163"/>
      <c r="C91" s="394"/>
      <c r="D91" s="395"/>
      <c r="E91" s="305" t="s">
        <v>693</v>
      </c>
      <c r="F91" s="86"/>
      <c r="G91" s="53"/>
      <c r="H91" s="33"/>
      <c r="I91" s="325">
        <v>1.0</v>
      </c>
      <c r="J91" s="325"/>
      <c r="K91" s="326"/>
      <c r="L91" s="325"/>
      <c r="M91" s="30"/>
      <c r="N91" s="238"/>
    </row>
    <row r="92" ht="19.5" customHeight="1">
      <c r="A92" s="291">
        <f t="shared" si="3"/>
        <v>73</v>
      </c>
      <c r="B92" s="392"/>
      <c r="C92" s="301"/>
      <c r="D92" s="393"/>
      <c r="E92" s="324" t="s">
        <v>684</v>
      </c>
      <c r="F92" s="65"/>
      <c r="G92" s="53"/>
      <c r="H92" s="77"/>
      <c r="I92" s="325">
        <v>1.0</v>
      </c>
      <c r="J92" s="325"/>
      <c r="K92" s="326"/>
      <c r="L92" s="325"/>
      <c r="M92" s="30"/>
      <c r="N92" s="238"/>
    </row>
    <row r="93" ht="19.5" customHeight="1">
      <c r="A93" s="291">
        <f t="shared" si="3"/>
        <v>74</v>
      </c>
      <c r="B93" s="392"/>
      <c r="C93" s="301"/>
      <c r="D93" s="393"/>
      <c r="E93" s="396" t="s">
        <v>1063</v>
      </c>
      <c r="F93" s="65"/>
      <c r="G93" s="53"/>
      <c r="H93" s="33"/>
      <c r="I93" s="326"/>
      <c r="J93" s="325">
        <v>1.0</v>
      </c>
      <c r="K93" s="325"/>
      <c r="L93" s="325"/>
      <c r="M93" s="30"/>
      <c r="N93" s="238"/>
    </row>
    <row r="94" ht="19.5" customHeight="1">
      <c r="A94" s="291">
        <f t="shared" si="3"/>
        <v>75</v>
      </c>
      <c r="B94" s="392"/>
      <c r="C94" s="301"/>
      <c r="D94" s="393"/>
      <c r="E94" s="396" t="s">
        <v>1064</v>
      </c>
      <c r="F94" s="65"/>
      <c r="G94" s="53"/>
      <c r="H94" s="33"/>
      <c r="I94" s="326"/>
      <c r="J94" s="326"/>
      <c r="K94" s="326"/>
      <c r="L94" s="325">
        <v>1.0</v>
      </c>
      <c r="M94" s="30"/>
      <c r="N94" s="238"/>
    </row>
    <row r="95" ht="19.5" customHeight="1">
      <c r="A95" s="291">
        <f t="shared" si="3"/>
        <v>76</v>
      </c>
      <c r="B95" s="291" t="str">
        <f t="shared" ref="B95:D95" si="4">IF(ISBLANK(F95),"",COUNTA($E$6:F95))</f>
        <v/>
      </c>
      <c r="C95" s="291" t="str">
        <f t="shared" si="4"/>
        <v/>
      </c>
      <c r="D95" s="291" t="str">
        <f t="shared" si="4"/>
        <v/>
      </c>
      <c r="E95" s="324" t="s">
        <v>1065</v>
      </c>
      <c r="F95" s="65"/>
      <c r="G95" s="53"/>
      <c r="H95" s="33"/>
      <c r="I95" s="326"/>
      <c r="J95" s="326"/>
      <c r="K95" s="326"/>
      <c r="L95" s="325">
        <v>1.0</v>
      </c>
      <c r="M95" s="30"/>
      <c r="N95" s="238"/>
    </row>
    <row r="96" ht="19.5" customHeight="1">
      <c r="A96" s="291">
        <f t="shared" si="3"/>
        <v>77</v>
      </c>
      <c r="B96" s="392"/>
      <c r="C96" s="301"/>
      <c r="D96" s="393"/>
      <c r="E96" s="324" t="s">
        <v>951</v>
      </c>
      <c r="F96" s="65"/>
      <c r="G96" s="53"/>
      <c r="H96" s="33"/>
      <c r="I96" s="326"/>
      <c r="J96" s="325">
        <v>1.0</v>
      </c>
      <c r="K96" s="326"/>
      <c r="L96" s="325"/>
      <c r="M96" s="30"/>
      <c r="N96" s="238"/>
    </row>
    <row r="97" ht="19.5" customHeight="1">
      <c r="A97" s="291" t="str">
        <f t="shared" si="3"/>
        <v/>
      </c>
      <c r="B97" s="392"/>
      <c r="C97" s="301"/>
      <c r="D97" s="212" t="s">
        <v>1066</v>
      </c>
      <c r="E97" s="324"/>
      <c r="F97" s="65"/>
      <c r="G97" s="53"/>
      <c r="H97" s="33"/>
      <c r="I97" s="326"/>
      <c r="J97" s="326"/>
      <c r="K97" s="326"/>
      <c r="L97" s="326"/>
      <c r="M97" s="30"/>
      <c r="N97" s="238"/>
    </row>
    <row r="98" ht="19.5" customHeight="1">
      <c r="A98" s="291">
        <f t="shared" si="3"/>
        <v>78</v>
      </c>
      <c r="B98" s="392"/>
      <c r="C98" s="301"/>
      <c r="D98" s="393"/>
      <c r="E98" s="324" t="s">
        <v>1067</v>
      </c>
      <c r="F98" s="65"/>
      <c r="G98" s="53"/>
      <c r="H98" s="33"/>
      <c r="I98" s="325">
        <v>1.0</v>
      </c>
      <c r="J98" s="325"/>
      <c r="K98" s="325"/>
      <c r="L98" s="325"/>
      <c r="M98" s="87"/>
      <c r="N98" s="238"/>
    </row>
    <row r="99" ht="19.5" customHeight="1">
      <c r="A99" s="291">
        <f t="shared" si="3"/>
        <v>79</v>
      </c>
      <c r="B99" s="392"/>
      <c r="C99" s="301"/>
      <c r="D99" s="393"/>
      <c r="E99" s="324" t="s">
        <v>1068</v>
      </c>
      <c r="F99" s="65"/>
      <c r="G99" s="53"/>
      <c r="H99" s="33"/>
      <c r="I99" s="325">
        <v>1.0</v>
      </c>
      <c r="J99" s="325"/>
      <c r="K99" s="326"/>
      <c r="L99" s="325"/>
      <c r="M99" s="30"/>
      <c r="N99" s="238"/>
    </row>
    <row r="100" ht="19.5" customHeight="1">
      <c r="A100" s="291">
        <f t="shared" si="3"/>
        <v>80</v>
      </c>
      <c r="B100" s="392"/>
      <c r="C100" s="301"/>
      <c r="D100" s="393"/>
      <c r="E100" s="324" t="s">
        <v>1069</v>
      </c>
      <c r="F100" s="65"/>
      <c r="G100" s="53"/>
      <c r="H100" s="33"/>
      <c r="I100" s="325">
        <v>1.0</v>
      </c>
      <c r="J100" s="325"/>
      <c r="K100" s="326"/>
      <c r="L100" s="325"/>
      <c r="M100" s="30"/>
      <c r="N100" s="238"/>
    </row>
    <row r="101" ht="19.5" customHeight="1">
      <c r="A101" s="291">
        <f t="shared" si="3"/>
        <v>81</v>
      </c>
      <c r="B101" s="392"/>
      <c r="C101" s="301"/>
      <c r="D101" s="393"/>
      <c r="E101" s="324" t="s">
        <v>1070</v>
      </c>
      <c r="F101" s="65"/>
      <c r="G101" s="53"/>
      <c r="H101" s="33"/>
      <c r="I101" s="325">
        <v>1.0</v>
      </c>
      <c r="J101" s="325"/>
      <c r="K101" s="326"/>
      <c r="L101" s="325"/>
      <c r="M101" s="30"/>
      <c r="N101" s="238"/>
    </row>
    <row r="102" ht="19.5" customHeight="1">
      <c r="A102" s="291">
        <f t="shared" si="3"/>
        <v>82</v>
      </c>
      <c r="B102" s="392"/>
      <c r="C102" s="301"/>
      <c r="D102" s="393"/>
      <c r="E102" s="324" t="s">
        <v>1071</v>
      </c>
      <c r="F102" s="65"/>
      <c r="G102" s="53"/>
      <c r="H102" s="33"/>
      <c r="I102" s="325">
        <v>1.0</v>
      </c>
      <c r="J102" s="325"/>
      <c r="K102" s="326"/>
      <c r="L102" s="325"/>
      <c r="M102" s="30"/>
      <c r="N102" s="238"/>
    </row>
    <row r="103" ht="19.5" customHeight="1">
      <c r="A103" s="291">
        <f t="shared" si="3"/>
        <v>83</v>
      </c>
      <c r="B103" s="392"/>
      <c r="C103" s="301"/>
      <c r="D103" s="393"/>
      <c r="E103" s="324" t="s">
        <v>1072</v>
      </c>
      <c r="F103" s="65"/>
      <c r="G103" s="53"/>
      <c r="H103" s="33"/>
      <c r="I103" s="325">
        <v>1.0</v>
      </c>
      <c r="J103" s="325"/>
      <c r="K103" s="325"/>
      <c r="L103" s="325"/>
      <c r="M103" s="30"/>
      <c r="N103" s="238"/>
    </row>
    <row r="104" ht="19.5" customHeight="1">
      <c r="A104" s="291">
        <f t="shared" si="3"/>
        <v>84</v>
      </c>
      <c r="B104" s="392"/>
      <c r="C104" s="301"/>
      <c r="D104" s="393"/>
      <c r="E104" s="324" t="s">
        <v>1073</v>
      </c>
      <c r="F104" s="65"/>
      <c r="G104" s="53"/>
      <c r="H104" s="33"/>
      <c r="I104" s="325">
        <v>1.0</v>
      </c>
      <c r="J104" s="325"/>
      <c r="K104" s="326"/>
      <c r="L104" s="325"/>
      <c r="M104" s="30"/>
      <c r="N104" s="238"/>
    </row>
    <row r="105" ht="19.5" customHeight="1">
      <c r="A105" s="291">
        <f t="shared" si="3"/>
        <v>85</v>
      </c>
      <c r="B105" s="392"/>
      <c r="C105" s="301"/>
      <c r="D105" s="393"/>
      <c r="E105" s="324" t="s">
        <v>1074</v>
      </c>
      <c r="F105" s="65"/>
      <c r="G105" s="53"/>
      <c r="H105" s="33"/>
      <c r="I105" s="325">
        <v>1.0</v>
      </c>
      <c r="J105" s="325"/>
      <c r="K105" s="325"/>
      <c r="L105" s="325"/>
      <c r="M105" s="87"/>
      <c r="N105" s="238"/>
    </row>
    <row r="106" ht="19.5" customHeight="1">
      <c r="A106" s="291">
        <f t="shared" si="3"/>
        <v>86</v>
      </c>
      <c r="B106" s="392"/>
      <c r="C106" s="301"/>
      <c r="D106" s="393"/>
      <c r="E106" s="324" t="s">
        <v>699</v>
      </c>
      <c r="F106" s="65"/>
      <c r="G106" s="53"/>
      <c r="H106" s="33"/>
      <c r="I106" s="325">
        <v>1.0</v>
      </c>
      <c r="J106" s="325"/>
      <c r="K106" s="325"/>
      <c r="L106" s="326"/>
      <c r="M106" s="87"/>
      <c r="N106" s="238"/>
    </row>
    <row r="107" ht="19.5" customHeight="1">
      <c r="A107" s="291">
        <f t="shared" si="3"/>
        <v>87</v>
      </c>
      <c r="B107" s="392"/>
      <c r="C107" s="301"/>
      <c r="D107" s="393"/>
      <c r="E107" s="324" t="s">
        <v>702</v>
      </c>
      <c r="F107" s="65"/>
      <c r="G107" s="53"/>
      <c r="H107" s="33"/>
      <c r="I107" s="325">
        <v>1.0</v>
      </c>
      <c r="J107" s="325"/>
      <c r="K107" s="325"/>
      <c r="L107" s="326"/>
      <c r="M107" s="87"/>
      <c r="N107" s="238"/>
    </row>
    <row r="108" ht="19.5" customHeight="1">
      <c r="A108" s="291">
        <f t="shared" si="3"/>
        <v>88</v>
      </c>
      <c r="B108" s="392"/>
      <c r="C108" s="301"/>
      <c r="D108" s="393"/>
      <c r="E108" s="324" t="s">
        <v>1075</v>
      </c>
      <c r="F108" s="65"/>
      <c r="G108" s="53"/>
      <c r="H108" s="33"/>
      <c r="I108" s="325">
        <v>1.0</v>
      </c>
      <c r="J108" s="325"/>
      <c r="K108" s="325"/>
      <c r="L108" s="326"/>
      <c r="M108" s="87"/>
      <c r="N108" s="238"/>
    </row>
    <row r="109" ht="19.5" customHeight="1">
      <c r="A109" s="291">
        <f t="shared" si="3"/>
        <v>89</v>
      </c>
      <c r="B109" s="392"/>
      <c r="C109" s="301"/>
      <c r="D109" s="393"/>
      <c r="E109" s="324" t="s">
        <v>1076</v>
      </c>
      <c r="F109" s="65"/>
      <c r="G109" s="53"/>
      <c r="H109" s="33"/>
      <c r="I109" s="325">
        <v>1.0</v>
      </c>
      <c r="J109" s="325"/>
      <c r="K109" s="325"/>
      <c r="L109" s="326"/>
      <c r="M109" s="87"/>
      <c r="N109" s="238"/>
    </row>
    <row r="110" ht="19.5" customHeight="1">
      <c r="A110" s="291">
        <f t="shared" si="3"/>
        <v>90</v>
      </c>
      <c r="B110" s="392"/>
      <c r="C110" s="301"/>
      <c r="D110" s="393"/>
      <c r="E110" s="324" t="s">
        <v>1077</v>
      </c>
      <c r="F110" s="65"/>
      <c r="G110" s="53"/>
      <c r="H110" s="33"/>
      <c r="I110" s="397">
        <v>1.0</v>
      </c>
      <c r="J110" s="398"/>
      <c r="K110" s="398"/>
      <c r="L110" s="398"/>
      <c r="M110" s="36"/>
      <c r="N110" s="399"/>
    </row>
    <row r="111" ht="19.5" customHeight="1">
      <c r="A111" s="291">
        <f t="shared" si="3"/>
        <v>91</v>
      </c>
      <c r="B111" s="392"/>
      <c r="C111" s="301"/>
      <c r="D111" s="393"/>
      <c r="E111" s="302" t="s">
        <v>1078</v>
      </c>
      <c r="F111" s="295"/>
      <c r="G111" s="53"/>
      <c r="H111" s="33"/>
      <c r="I111" s="397">
        <v>1.0</v>
      </c>
      <c r="J111" s="398"/>
      <c r="K111" s="398"/>
      <c r="L111" s="398"/>
      <c r="M111" s="36"/>
      <c r="N111" s="399"/>
    </row>
    <row r="112" ht="19.5" customHeight="1">
      <c r="A112" s="291">
        <f t="shared" si="3"/>
        <v>92</v>
      </c>
      <c r="B112" s="392"/>
      <c r="C112" s="301"/>
      <c r="D112" s="393"/>
      <c r="E112" s="302" t="s">
        <v>1078</v>
      </c>
      <c r="F112" s="295"/>
      <c r="G112" s="53"/>
      <c r="H112" s="33"/>
      <c r="I112" s="400">
        <v>1.0</v>
      </c>
      <c r="J112" s="401"/>
      <c r="K112" s="401"/>
      <c r="L112" s="401"/>
      <c r="M112" s="92"/>
      <c r="N112" s="238"/>
    </row>
    <row r="113" ht="19.5" customHeight="1">
      <c r="A113" s="291">
        <f t="shared" si="3"/>
        <v>93</v>
      </c>
      <c r="B113" s="392"/>
      <c r="C113" s="301"/>
      <c r="D113" s="393"/>
      <c r="E113" s="302" t="s">
        <v>1079</v>
      </c>
      <c r="F113" s="295"/>
      <c r="G113" s="53"/>
      <c r="H113" s="33" t="s">
        <v>300</v>
      </c>
      <c r="I113" s="325">
        <v>1.0</v>
      </c>
      <c r="J113" s="326"/>
      <c r="K113" s="326"/>
      <c r="L113" s="326"/>
      <c r="M113" s="30"/>
      <c r="N113" s="238"/>
    </row>
    <row r="114" ht="19.5" customHeight="1">
      <c r="A114" s="291" t="str">
        <f t="shared" si="3"/>
        <v/>
      </c>
      <c r="B114" s="392"/>
      <c r="C114" s="301"/>
      <c r="D114" s="212" t="s">
        <v>1080</v>
      </c>
      <c r="E114" s="324"/>
      <c r="F114" s="65"/>
      <c r="G114" s="53"/>
      <c r="H114" s="33" t="s">
        <v>300</v>
      </c>
      <c r="I114" s="326"/>
      <c r="J114" s="326"/>
      <c r="K114" s="326"/>
      <c r="L114" s="326"/>
      <c r="M114" s="30"/>
      <c r="N114" s="238"/>
    </row>
    <row r="115" ht="19.5" customHeight="1">
      <c r="A115" s="291">
        <f t="shared" si="3"/>
        <v>94</v>
      </c>
      <c r="B115" s="392"/>
      <c r="C115" s="301"/>
      <c r="D115" s="393"/>
      <c r="E115" s="324" t="s">
        <v>1081</v>
      </c>
      <c r="F115" s="65"/>
      <c r="G115" s="53"/>
      <c r="H115" s="33" t="s">
        <v>300</v>
      </c>
      <c r="I115" s="325">
        <v>1.0</v>
      </c>
      <c r="J115" s="325"/>
      <c r="K115" s="326"/>
      <c r="L115" s="325"/>
      <c r="M115" s="30"/>
      <c r="N115" s="238"/>
    </row>
    <row r="116" ht="19.5" customHeight="1">
      <c r="A116" s="291">
        <f t="shared" si="3"/>
        <v>95</v>
      </c>
      <c r="B116" s="392"/>
      <c r="C116" s="301"/>
      <c r="D116" s="393"/>
      <c r="E116" s="324" t="s">
        <v>1082</v>
      </c>
      <c r="F116" s="65"/>
      <c r="G116" s="53"/>
      <c r="H116" s="33"/>
      <c r="I116" s="325">
        <v>1.0</v>
      </c>
      <c r="J116" s="325"/>
      <c r="K116" s="326"/>
      <c r="L116" s="325"/>
      <c r="M116" s="30"/>
      <c r="N116" s="238"/>
    </row>
    <row r="117" ht="19.5" customHeight="1">
      <c r="A117" s="291">
        <f t="shared" si="3"/>
        <v>96</v>
      </c>
      <c r="B117" s="392"/>
      <c r="C117" s="301"/>
      <c r="D117" s="393"/>
      <c r="E117" s="324" t="s">
        <v>786</v>
      </c>
      <c r="F117" s="65"/>
      <c r="G117" s="53"/>
      <c r="H117" s="33"/>
      <c r="I117" s="325">
        <v>1.0</v>
      </c>
      <c r="J117" s="325"/>
      <c r="K117" s="326"/>
      <c r="L117" s="325"/>
      <c r="M117" s="30"/>
      <c r="N117" s="238"/>
    </row>
    <row r="118" ht="19.5" customHeight="1">
      <c r="A118" s="291">
        <f t="shared" si="3"/>
        <v>97</v>
      </c>
      <c r="B118" s="392"/>
      <c r="C118" s="301"/>
      <c r="D118" s="393"/>
      <c r="E118" s="324" t="s">
        <v>1083</v>
      </c>
      <c r="F118" s="65"/>
      <c r="G118" s="53"/>
      <c r="H118" s="33"/>
      <c r="I118" s="325"/>
      <c r="J118" s="325">
        <v>1.0</v>
      </c>
      <c r="K118" s="326"/>
      <c r="L118" s="325"/>
      <c r="M118" s="30"/>
      <c r="N118" s="238"/>
    </row>
    <row r="119" ht="19.5" customHeight="1">
      <c r="A119" s="291">
        <f t="shared" si="3"/>
        <v>98</v>
      </c>
      <c r="B119" s="392"/>
      <c r="C119" s="301"/>
      <c r="D119" s="393"/>
      <c r="E119" s="324" t="s">
        <v>1084</v>
      </c>
      <c r="F119" s="65"/>
      <c r="G119" s="53"/>
      <c r="H119" s="33"/>
      <c r="I119" s="325">
        <v>1.0</v>
      </c>
      <c r="J119" s="325"/>
      <c r="K119" s="326"/>
      <c r="L119" s="325"/>
      <c r="M119" s="30"/>
      <c r="N119" s="238"/>
    </row>
    <row r="120" ht="19.5" customHeight="1">
      <c r="A120" s="291">
        <f t="shared" si="3"/>
        <v>99</v>
      </c>
      <c r="B120" s="392"/>
      <c r="C120" s="301"/>
      <c r="D120" s="393"/>
      <c r="E120" s="324" t="s">
        <v>413</v>
      </c>
      <c r="F120" s="65"/>
      <c r="G120" s="53"/>
      <c r="H120" s="33"/>
      <c r="I120" s="325">
        <v>1.0</v>
      </c>
      <c r="J120" s="325"/>
      <c r="K120" s="326"/>
      <c r="L120" s="325"/>
      <c r="M120" s="30"/>
      <c r="N120" s="238"/>
    </row>
    <row r="121" ht="19.5" customHeight="1">
      <c r="A121" s="291">
        <f t="shared" si="3"/>
        <v>100</v>
      </c>
      <c r="B121" s="392"/>
      <c r="C121" s="301"/>
      <c r="D121" s="393"/>
      <c r="E121" s="324" t="s">
        <v>402</v>
      </c>
      <c r="F121" s="65"/>
      <c r="G121" s="53"/>
      <c r="H121" s="33"/>
      <c r="I121" s="325">
        <v>1.0</v>
      </c>
      <c r="J121" s="325"/>
      <c r="K121" s="326"/>
      <c r="L121" s="325"/>
      <c r="M121" s="87"/>
      <c r="N121" s="238"/>
    </row>
    <row r="122" ht="19.5" customHeight="1">
      <c r="A122" s="291">
        <f t="shared" si="3"/>
        <v>101</v>
      </c>
      <c r="B122" s="392"/>
      <c r="C122" s="301"/>
      <c r="D122" s="393"/>
      <c r="E122" s="324" t="s">
        <v>679</v>
      </c>
      <c r="F122" s="65"/>
      <c r="G122" s="53"/>
      <c r="H122" s="33"/>
      <c r="I122" s="325">
        <v>1.0</v>
      </c>
      <c r="J122" s="325"/>
      <c r="K122" s="326"/>
      <c r="L122" s="325"/>
      <c r="M122" s="30"/>
      <c r="N122" s="238"/>
    </row>
    <row r="123" ht="19.5" customHeight="1">
      <c r="A123" s="291" t="str">
        <f t="shared" si="3"/>
        <v/>
      </c>
      <c r="B123" s="392"/>
      <c r="C123" s="301"/>
      <c r="D123" s="212" t="s">
        <v>1085</v>
      </c>
      <c r="E123" s="324"/>
      <c r="F123" s="65"/>
      <c r="G123" s="53"/>
      <c r="H123" s="33"/>
      <c r="I123" s="326"/>
      <c r="J123" s="326"/>
      <c r="K123" s="326"/>
      <c r="L123" s="326"/>
      <c r="M123" s="30"/>
      <c r="N123" s="238"/>
    </row>
    <row r="124" ht="19.5" customHeight="1">
      <c r="A124" s="291">
        <f t="shared" si="3"/>
        <v>102</v>
      </c>
      <c r="B124" s="392"/>
      <c r="C124" s="301"/>
      <c r="D124" s="393"/>
      <c r="E124" s="324" t="s">
        <v>1086</v>
      </c>
      <c r="F124" s="65"/>
      <c r="G124" s="53"/>
      <c r="H124" s="33"/>
      <c r="I124" s="325">
        <v>1.0</v>
      </c>
      <c r="J124" s="325"/>
      <c r="K124" s="326"/>
      <c r="L124" s="325"/>
      <c r="M124" s="30"/>
      <c r="N124" s="238"/>
    </row>
    <row r="125" ht="19.5" customHeight="1">
      <c r="A125" s="291">
        <f t="shared" si="3"/>
        <v>103</v>
      </c>
      <c r="B125" s="392"/>
      <c r="C125" s="301"/>
      <c r="D125" s="393"/>
      <c r="E125" s="324" t="s">
        <v>1087</v>
      </c>
      <c r="F125" s="65"/>
      <c r="G125" s="53"/>
      <c r="H125" s="33" t="s">
        <v>300</v>
      </c>
      <c r="I125" s="325">
        <v>1.0</v>
      </c>
      <c r="J125" s="325"/>
      <c r="K125" s="326"/>
      <c r="L125" s="325"/>
      <c r="M125" s="30"/>
      <c r="N125" s="238"/>
    </row>
    <row r="126" ht="19.5" customHeight="1">
      <c r="A126" s="291">
        <f t="shared" si="3"/>
        <v>104</v>
      </c>
      <c r="B126" s="392"/>
      <c r="C126" s="301"/>
      <c r="D126" s="393"/>
      <c r="E126" s="324" t="s">
        <v>718</v>
      </c>
      <c r="F126" s="65"/>
      <c r="G126" s="53"/>
      <c r="H126" s="33"/>
      <c r="I126" s="325">
        <v>1.0</v>
      </c>
      <c r="J126" s="325"/>
      <c r="K126" s="326"/>
      <c r="L126" s="325"/>
      <c r="M126" s="30"/>
      <c r="N126" s="238"/>
    </row>
    <row r="127" ht="19.5" customHeight="1">
      <c r="A127" s="291">
        <f t="shared" si="3"/>
        <v>105</v>
      </c>
      <c r="B127" s="392"/>
      <c r="C127" s="301"/>
      <c r="D127" s="393"/>
      <c r="E127" s="324" t="s">
        <v>733</v>
      </c>
      <c r="F127" s="65"/>
      <c r="G127" s="53"/>
      <c r="H127" s="33"/>
      <c r="I127" s="325">
        <v>1.0</v>
      </c>
      <c r="J127" s="325"/>
      <c r="K127" s="326"/>
      <c r="L127" s="325"/>
      <c r="M127" s="30"/>
      <c r="N127" s="238"/>
    </row>
    <row r="128" ht="19.5" customHeight="1">
      <c r="A128" s="291">
        <f t="shared" si="3"/>
        <v>106</v>
      </c>
      <c r="B128" s="392"/>
      <c r="C128" s="301"/>
      <c r="D128" s="393"/>
      <c r="E128" s="324" t="s">
        <v>1088</v>
      </c>
      <c r="F128" s="65"/>
      <c r="G128" s="53"/>
      <c r="H128" s="33"/>
      <c r="I128" s="325">
        <v>1.0</v>
      </c>
      <c r="J128" s="325"/>
      <c r="K128" s="326"/>
      <c r="L128" s="325"/>
      <c r="M128" s="30"/>
      <c r="N128" s="238"/>
    </row>
    <row r="129" ht="19.5" customHeight="1">
      <c r="A129" s="291">
        <f t="shared" si="3"/>
        <v>107</v>
      </c>
      <c r="B129" s="392"/>
      <c r="C129" s="301"/>
      <c r="D129" s="393"/>
      <c r="E129" s="324" t="s">
        <v>1089</v>
      </c>
      <c r="F129" s="65"/>
      <c r="G129" s="53"/>
      <c r="H129" s="33"/>
      <c r="I129" s="325">
        <v>1.0</v>
      </c>
      <c r="J129" s="325"/>
      <c r="K129" s="326"/>
      <c r="L129" s="325"/>
      <c r="M129" s="30"/>
      <c r="N129" s="238"/>
    </row>
    <row r="130" ht="19.5" customHeight="1">
      <c r="A130" s="291">
        <f t="shared" si="3"/>
        <v>108</v>
      </c>
      <c r="B130" s="392"/>
      <c r="C130" s="301"/>
      <c r="D130" s="393"/>
      <c r="E130" s="324" t="s">
        <v>723</v>
      </c>
      <c r="F130" s="65"/>
      <c r="G130" s="53"/>
      <c r="H130" s="33"/>
      <c r="I130" s="325">
        <v>1.0</v>
      </c>
      <c r="J130" s="325"/>
      <c r="K130" s="326"/>
      <c r="L130" s="325"/>
      <c r="M130" s="30"/>
      <c r="N130" s="238"/>
    </row>
    <row r="131" ht="19.5" customHeight="1">
      <c r="A131" s="291">
        <f t="shared" si="3"/>
        <v>109</v>
      </c>
      <c r="B131" s="392"/>
      <c r="C131" s="301"/>
      <c r="D131" s="393"/>
      <c r="E131" s="324" t="s">
        <v>1090</v>
      </c>
      <c r="F131" s="65"/>
      <c r="G131" s="53"/>
      <c r="H131" s="33"/>
      <c r="I131" s="325">
        <v>1.0</v>
      </c>
      <c r="J131" s="325"/>
      <c r="K131" s="326"/>
      <c r="L131" s="325"/>
      <c r="M131" s="30"/>
      <c r="N131" s="238"/>
    </row>
    <row r="132" ht="19.5" customHeight="1">
      <c r="A132" s="291">
        <f t="shared" si="3"/>
        <v>110</v>
      </c>
      <c r="B132" s="392"/>
      <c r="C132" s="301"/>
      <c r="D132" s="393"/>
      <c r="E132" s="324" t="s">
        <v>1091</v>
      </c>
      <c r="F132" s="65"/>
      <c r="G132" s="53"/>
      <c r="H132" s="33"/>
      <c r="I132" s="325">
        <v>1.0</v>
      </c>
      <c r="J132" s="325"/>
      <c r="K132" s="326"/>
      <c r="L132" s="325"/>
      <c r="M132" s="30"/>
      <c r="N132" s="238"/>
    </row>
    <row r="133" ht="19.5" customHeight="1">
      <c r="A133" s="291">
        <f t="shared" si="3"/>
        <v>111</v>
      </c>
      <c r="B133" s="392"/>
      <c r="C133" s="301"/>
      <c r="D133" s="393"/>
      <c r="E133" s="324" t="s">
        <v>729</v>
      </c>
      <c r="F133" s="65"/>
      <c r="G133" s="53"/>
      <c r="H133" s="33"/>
      <c r="I133" s="325">
        <v>1.0</v>
      </c>
      <c r="J133" s="325"/>
      <c r="K133" s="326"/>
      <c r="L133" s="325"/>
      <c r="M133" s="30"/>
      <c r="N133" s="238"/>
    </row>
    <row r="134" ht="19.5" customHeight="1">
      <c r="A134" s="291">
        <f t="shared" si="3"/>
        <v>112</v>
      </c>
      <c r="B134" s="392"/>
      <c r="C134" s="301"/>
      <c r="D134" s="393"/>
      <c r="E134" s="324" t="s">
        <v>1092</v>
      </c>
      <c r="F134" s="65"/>
      <c r="G134" s="53"/>
      <c r="H134" s="33"/>
      <c r="I134" s="325">
        <v>1.0</v>
      </c>
      <c r="J134" s="325"/>
      <c r="K134" s="326"/>
      <c r="L134" s="325"/>
      <c r="M134" s="30"/>
      <c r="N134" s="238"/>
    </row>
    <row r="135" ht="19.5" customHeight="1">
      <c r="A135" s="291" t="str">
        <f t="shared" si="3"/>
        <v/>
      </c>
      <c r="B135" s="392"/>
      <c r="C135" s="301"/>
      <c r="D135" s="212" t="s">
        <v>1093</v>
      </c>
      <c r="E135" s="324"/>
      <c r="F135" s="65"/>
      <c r="G135" s="53"/>
      <c r="H135" s="33"/>
      <c r="I135" s="326"/>
      <c r="J135" s="326"/>
      <c r="K135" s="326"/>
      <c r="L135" s="326"/>
      <c r="M135" s="30"/>
      <c r="N135" s="238"/>
    </row>
    <row r="136" ht="19.5" customHeight="1">
      <c r="A136" s="291">
        <f t="shared" si="3"/>
        <v>113</v>
      </c>
      <c r="B136" s="392"/>
      <c r="C136" s="301"/>
      <c r="D136" s="393"/>
      <c r="E136" s="324" t="s">
        <v>905</v>
      </c>
      <c r="F136" s="65"/>
      <c r="G136" s="53"/>
      <c r="H136" s="33"/>
      <c r="I136" s="326"/>
      <c r="J136" s="325">
        <v>1.0</v>
      </c>
      <c r="K136" s="326"/>
      <c r="L136" s="325"/>
      <c r="M136" s="30"/>
      <c r="N136" s="238"/>
    </row>
    <row r="137" ht="19.5" customHeight="1">
      <c r="A137" s="291">
        <f t="shared" si="3"/>
        <v>114</v>
      </c>
      <c r="B137" s="392"/>
      <c r="C137" s="301"/>
      <c r="D137" s="393"/>
      <c r="E137" s="324" t="s">
        <v>1094</v>
      </c>
      <c r="F137" s="65"/>
      <c r="G137" s="53"/>
      <c r="H137" s="33"/>
      <c r="I137" s="326"/>
      <c r="J137" s="326"/>
      <c r="K137" s="326"/>
      <c r="L137" s="325">
        <v>1.0</v>
      </c>
      <c r="M137" s="30"/>
      <c r="N137" s="238"/>
    </row>
    <row r="138" ht="19.5" customHeight="1">
      <c r="A138" s="291">
        <f t="shared" si="3"/>
        <v>115</v>
      </c>
      <c r="B138" s="392"/>
      <c r="C138" s="301"/>
      <c r="D138" s="393"/>
      <c r="E138" s="324" t="s">
        <v>1095</v>
      </c>
      <c r="F138" s="65"/>
      <c r="G138" s="53"/>
      <c r="H138" s="33"/>
      <c r="I138" s="326"/>
      <c r="J138" s="326"/>
      <c r="K138" s="326"/>
      <c r="L138" s="325">
        <v>1.0</v>
      </c>
      <c r="M138" s="30"/>
      <c r="N138" s="238"/>
    </row>
    <row r="139" ht="19.5" customHeight="1">
      <c r="A139" s="291">
        <f t="shared" si="3"/>
        <v>116</v>
      </c>
      <c r="B139" s="392"/>
      <c r="C139" s="301"/>
      <c r="D139" s="393"/>
      <c r="E139" s="324" t="s">
        <v>1096</v>
      </c>
      <c r="F139" s="65"/>
      <c r="G139" s="53"/>
      <c r="H139" s="33"/>
      <c r="I139" s="325">
        <v>1.0</v>
      </c>
      <c r="J139" s="325"/>
      <c r="K139" s="326"/>
      <c r="L139" s="325"/>
      <c r="M139" s="30"/>
      <c r="N139" s="238"/>
    </row>
    <row r="140" ht="19.5" customHeight="1">
      <c r="A140" s="291">
        <f t="shared" si="3"/>
        <v>117</v>
      </c>
      <c r="B140" s="392"/>
      <c r="C140" s="301"/>
      <c r="D140" s="393"/>
      <c r="E140" s="324" t="s">
        <v>1097</v>
      </c>
      <c r="F140" s="65"/>
      <c r="G140" s="53"/>
      <c r="H140" s="33"/>
      <c r="I140" s="325">
        <v>1.0</v>
      </c>
      <c r="J140" s="325"/>
      <c r="K140" s="326"/>
      <c r="L140" s="325"/>
      <c r="M140" s="30"/>
      <c r="N140" s="238"/>
    </row>
    <row r="141" ht="19.5" customHeight="1">
      <c r="A141" s="384" t="s">
        <v>1098</v>
      </c>
      <c r="B141" s="385"/>
      <c r="C141" s="386"/>
      <c r="D141" s="349"/>
      <c r="E141" s="350"/>
      <c r="F141" s="351"/>
      <c r="G141" s="387"/>
      <c r="H141" s="351"/>
      <c r="I141" s="388"/>
      <c r="J141" s="388"/>
      <c r="K141" s="388"/>
      <c r="L141" s="388"/>
      <c r="M141" s="389"/>
      <c r="N141" s="280"/>
    </row>
    <row r="142" ht="19.5" customHeight="1">
      <c r="A142" s="291" t="str">
        <f t="shared" ref="A142:A151" si="5">IF(ISBLANK(E142),"",COUNTA($E$6:E142))</f>
        <v/>
      </c>
      <c r="B142" s="392"/>
      <c r="C142" s="301"/>
      <c r="D142" s="212" t="s">
        <v>189</v>
      </c>
      <c r="E142" s="324"/>
      <c r="F142" s="65"/>
      <c r="G142" s="53"/>
      <c r="H142" s="33"/>
      <c r="I142" s="326"/>
      <c r="J142" s="326"/>
      <c r="K142" s="326"/>
      <c r="L142" s="326"/>
      <c r="M142" s="30"/>
      <c r="N142" s="238"/>
    </row>
    <row r="143" ht="19.5" customHeight="1">
      <c r="A143" s="291">
        <f t="shared" si="5"/>
        <v>118</v>
      </c>
      <c r="B143" s="392"/>
      <c r="C143" s="301"/>
      <c r="D143" s="393"/>
      <c r="E143" s="324" t="s">
        <v>1099</v>
      </c>
      <c r="F143" s="65"/>
      <c r="G143" s="53"/>
      <c r="H143" s="33"/>
      <c r="I143" s="325">
        <v>1.0</v>
      </c>
      <c r="J143" s="326"/>
      <c r="K143" s="326"/>
      <c r="L143" s="326"/>
      <c r="M143" s="30"/>
      <c r="N143" s="238"/>
    </row>
    <row r="144" ht="19.5" customHeight="1">
      <c r="A144" s="291">
        <f t="shared" si="5"/>
        <v>119</v>
      </c>
      <c r="B144" s="392"/>
      <c r="C144" s="301"/>
      <c r="D144" s="393"/>
      <c r="E144" s="324" t="s">
        <v>1061</v>
      </c>
      <c r="F144" s="65"/>
      <c r="G144" s="53"/>
      <c r="H144" s="33"/>
      <c r="I144" s="325">
        <v>1.0</v>
      </c>
      <c r="J144" s="326"/>
      <c r="K144" s="326"/>
      <c r="L144" s="326"/>
      <c r="M144" s="30"/>
      <c r="N144" s="238"/>
    </row>
    <row r="145" ht="19.5" customHeight="1">
      <c r="A145" s="291">
        <f t="shared" si="5"/>
        <v>120</v>
      </c>
      <c r="B145" s="392"/>
      <c r="C145" s="301"/>
      <c r="D145" s="393"/>
      <c r="E145" s="324" t="s">
        <v>250</v>
      </c>
      <c r="F145" s="65"/>
      <c r="G145" s="53"/>
      <c r="H145" s="33"/>
      <c r="I145" s="325">
        <v>1.0</v>
      </c>
      <c r="J145" s="326"/>
      <c r="K145" s="326"/>
      <c r="L145" s="326"/>
      <c r="M145" s="30"/>
      <c r="N145" s="238"/>
    </row>
    <row r="146" ht="19.5" customHeight="1">
      <c r="A146" s="291">
        <f t="shared" si="5"/>
        <v>121</v>
      </c>
      <c r="B146" s="392"/>
      <c r="C146" s="301"/>
      <c r="D146" s="393"/>
      <c r="E146" s="402" t="s">
        <v>1100</v>
      </c>
      <c r="F146" s="65"/>
      <c r="G146" s="53"/>
      <c r="H146" s="33"/>
      <c r="I146" s="325">
        <v>1.0</v>
      </c>
      <c r="J146" s="326"/>
      <c r="K146" s="326"/>
      <c r="L146" s="326"/>
      <c r="M146" s="30"/>
      <c r="N146" s="238"/>
    </row>
    <row r="147" ht="19.5" customHeight="1">
      <c r="A147" s="291">
        <f t="shared" si="5"/>
        <v>122</v>
      </c>
      <c r="B147" s="392"/>
      <c r="C147" s="301"/>
      <c r="D147" s="393"/>
      <c r="E147" s="402" t="s">
        <v>1101</v>
      </c>
      <c r="F147" s="65"/>
      <c r="G147" s="53"/>
      <c r="H147" s="33"/>
      <c r="I147" s="325">
        <v>1.0</v>
      </c>
      <c r="J147" s="326"/>
      <c r="K147" s="326"/>
      <c r="L147" s="326"/>
      <c r="M147" s="30"/>
      <c r="N147" s="238"/>
    </row>
    <row r="148" ht="19.5" customHeight="1">
      <c r="A148" s="291">
        <f t="shared" si="5"/>
        <v>123</v>
      </c>
      <c r="B148" s="392"/>
      <c r="C148" s="301"/>
      <c r="D148" s="393"/>
      <c r="E148" s="402" t="s">
        <v>1102</v>
      </c>
      <c r="F148" s="65"/>
      <c r="G148" s="53"/>
      <c r="H148" s="33" t="s">
        <v>701</v>
      </c>
      <c r="I148" s="397">
        <v>1.0</v>
      </c>
      <c r="J148" s="398"/>
      <c r="K148" s="398"/>
      <c r="L148" s="398"/>
      <c r="M148" s="36"/>
      <c r="N148" s="399"/>
    </row>
    <row r="149" ht="19.5" customHeight="1">
      <c r="A149" s="291">
        <f t="shared" si="5"/>
        <v>124</v>
      </c>
      <c r="B149" s="88"/>
      <c r="C149" s="89"/>
      <c r="D149" s="90"/>
      <c r="E149" s="403" t="s">
        <v>1103</v>
      </c>
      <c r="F149" s="65"/>
      <c r="G149" s="53"/>
      <c r="H149" s="33"/>
      <c r="I149" s="325">
        <v>1.0</v>
      </c>
      <c r="J149" s="325"/>
      <c r="K149" s="326"/>
      <c r="L149" s="325"/>
      <c r="M149" s="30"/>
      <c r="N149" s="238"/>
    </row>
    <row r="150" ht="19.5" customHeight="1">
      <c r="A150" s="291">
        <f t="shared" si="5"/>
        <v>125</v>
      </c>
      <c r="B150" s="88"/>
      <c r="C150" s="89"/>
      <c r="D150" s="90"/>
      <c r="E150" s="403" t="s">
        <v>1104</v>
      </c>
      <c r="F150" s="65"/>
      <c r="G150" s="53"/>
      <c r="H150" s="77"/>
      <c r="I150" s="325"/>
      <c r="J150" s="325"/>
      <c r="K150" s="325"/>
      <c r="L150" s="325">
        <v>1.0</v>
      </c>
      <c r="M150" s="87"/>
      <c r="N150" s="113"/>
    </row>
    <row r="151" ht="19.5" customHeight="1">
      <c r="A151" s="291">
        <f t="shared" si="5"/>
        <v>126</v>
      </c>
      <c r="B151" s="88"/>
      <c r="C151" s="89"/>
      <c r="D151" s="90"/>
      <c r="E151" s="403" t="s">
        <v>1105</v>
      </c>
      <c r="F151" s="65"/>
      <c r="G151" s="53"/>
      <c r="H151" s="82"/>
      <c r="I151" s="326"/>
      <c r="J151" s="326"/>
      <c r="K151" s="326"/>
      <c r="L151" s="325">
        <v>1.0</v>
      </c>
      <c r="M151" s="30"/>
      <c r="N151" s="238"/>
    </row>
    <row r="152" ht="19.5" customHeight="1">
      <c r="A152" s="291">
        <f>IF(ISBLANK(#REF!),"",COUNTA($E$6:E151))</f>
        <v>126</v>
      </c>
      <c r="B152" s="88"/>
      <c r="C152" s="89"/>
      <c r="D152" s="316"/>
      <c r="E152" s="404" t="s">
        <v>1106</v>
      </c>
      <c r="F152" s="77"/>
      <c r="G152" s="76"/>
      <c r="H152" s="82"/>
      <c r="I152" s="325">
        <v>1.0</v>
      </c>
      <c r="J152" s="325"/>
      <c r="K152" s="326"/>
      <c r="L152" s="325"/>
      <c r="M152" s="30"/>
      <c r="N152" s="238"/>
    </row>
    <row r="153" ht="19.5" customHeight="1">
      <c r="A153" s="291">
        <f>IF(ISBLANK(#REF!),"",COUNTA($E$6:E153))</f>
        <v>128</v>
      </c>
      <c r="B153" s="88"/>
      <c r="C153" s="89"/>
      <c r="D153" s="90"/>
      <c r="E153" s="404" t="s">
        <v>1107</v>
      </c>
      <c r="F153" s="79"/>
      <c r="G153" s="53"/>
      <c r="H153" s="405"/>
      <c r="I153" s="400">
        <v>1.0</v>
      </c>
      <c r="J153" s="400"/>
      <c r="K153" s="401"/>
      <c r="L153" s="400"/>
      <c r="M153" s="30"/>
      <c r="N153" s="238"/>
    </row>
    <row r="154" ht="19.5" customHeight="1">
      <c r="A154" s="291">
        <f t="shared" ref="A154:A195" si="6">IF(ISBLANK(E154),"",COUNTA($E$6:E154))</f>
        <v>129</v>
      </c>
      <c r="B154" s="392"/>
      <c r="C154" s="301"/>
      <c r="D154" s="393"/>
      <c r="E154" s="324" t="s">
        <v>1108</v>
      </c>
      <c r="F154" s="65"/>
      <c r="G154" s="53"/>
      <c r="H154" s="33"/>
      <c r="I154" s="325">
        <v>1.0</v>
      </c>
      <c r="J154" s="325"/>
      <c r="K154" s="326"/>
      <c r="L154" s="326"/>
      <c r="M154" s="30"/>
      <c r="N154" s="238"/>
    </row>
    <row r="155" ht="19.5" customHeight="1">
      <c r="A155" s="291">
        <f t="shared" si="6"/>
        <v>130</v>
      </c>
      <c r="B155" s="392"/>
      <c r="C155" s="301"/>
      <c r="D155" s="393"/>
      <c r="E155" s="324" t="s">
        <v>1109</v>
      </c>
      <c r="F155" s="65"/>
      <c r="G155" s="53"/>
      <c r="H155" s="33"/>
      <c r="I155" s="325">
        <v>1.0</v>
      </c>
      <c r="J155" s="325"/>
      <c r="K155" s="326"/>
      <c r="L155" s="325"/>
      <c r="M155" s="30"/>
      <c r="N155" s="238"/>
    </row>
    <row r="156" ht="19.5" customHeight="1">
      <c r="A156" s="291">
        <f t="shared" si="6"/>
        <v>131</v>
      </c>
      <c r="B156" s="392"/>
      <c r="C156" s="301"/>
      <c r="D156" s="393"/>
      <c r="E156" s="324" t="s">
        <v>1110</v>
      </c>
      <c r="F156" s="65"/>
      <c r="G156" s="53"/>
      <c r="H156" s="33"/>
      <c r="I156" s="325">
        <v>1.0</v>
      </c>
      <c r="J156" s="325"/>
      <c r="K156" s="326"/>
      <c r="L156" s="326"/>
      <c r="M156" s="30"/>
      <c r="N156" s="238"/>
    </row>
    <row r="157" ht="19.5" customHeight="1">
      <c r="A157" s="291">
        <f t="shared" si="6"/>
        <v>132</v>
      </c>
      <c r="B157" s="392"/>
      <c r="C157" s="301"/>
      <c r="D157" s="393"/>
      <c r="E157" s="324" t="s">
        <v>256</v>
      </c>
      <c r="F157" s="65"/>
      <c r="G157" s="53"/>
      <c r="H157" s="33"/>
      <c r="I157" s="325">
        <v>1.0</v>
      </c>
      <c r="J157" s="325"/>
      <c r="K157" s="325"/>
      <c r="L157" s="326"/>
      <c r="M157" s="87"/>
      <c r="N157" s="238"/>
    </row>
    <row r="158" ht="19.5" customHeight="1">
      <c r="A158" s="291">
        <f t="shared" si="6"/>
        <v>133</v>
      </c>
      <c r="B158" s="88"/>
      <c r="C158" s="89"/>
      <c r="D158" s="90"/>
      <c r="E158" s="404" t="s">
        <v>1111</v>
      </c>
      <c r="F158" s="65"/>
      <c r="G158" s="53"/>
      <c r="H158" s="33"/>
      <c r="I158" s="325">
        <v>1.0</v>
      </c>
      <c r="J158" s="325"/>
      <c r="K158" s="326"/>
      <c r="L158" s="325"/>
      <c r="M158" s="30"/>
      <c r="N158" s="238"/>
    </row>
    <row r="159" ht="19.5" customHeight="1">
      <c r="A159" s="291">
        <f t="shared" si="6"/>
        <v>134</v>
      </c>
      <c r="B159" s="88"/>
      <c r="C159" s="89"/>
      <c r="D159" s="90"/>
      <c r="E159" s="324" t="s">
        <v>1112</v>
      </c>
      <c r="F159" s="65"/>
      <c r="G159" s="53"/>
      <c r="H159" s="33"/>
      <c r="I159" s="326"/>
      <c r="J159" s="326"/>
      <c r="K159" s="326"/>
      <c r="L159" s="325">
        <v>1.0</v>
      </c>
      <c r="M159" s="30"/>
      <c r="N159" s="238"/>
    </row>
    <row r="160" ht="19.5" customHeight="1">
      <c r="A160" s="291">
        <f t="shared" si="6"/>
        <v>135</v>
      </c>
      <c r="B160" s="88"/>
      <c r="C160" s="89"/>
      <c r="D160" s="90"/>
      <c r="E160" s="324" t="s">
        <v>482</v>
      </c>
      <c r="F160" s="65"/>
      <c r="G160" s="53"/>
      <c r="H160" s="33"/>
      <c r="I160" s="325">
        <v>1.0</v>
      </c>
      <c r="J160" s="325"/>
      <c r="K160" s="326"/>
      <c r="L160" s="326"/>
      <c r="M160" s="30"/>
      <c r="N160" s="238"/>
    </row>
    <row r="161" ht="19.5" customHeight="1">
      <c r="A161" s="291" t="str">
        <f t="shared" si="6"/>
        <v/>
      </c>
      <c r="B161" s="392"/>
      <c r="C161" s="301"/>
      <c r="D161" s="212" t="s">
        <v>1113</v>
      </c>
      <c r="E161" s="324"/>
      <c r="F161" s="65"/>
      <c r="G161" s="53"/>
      <c r="H161" s="406"/>
      <c r="I161" s="326"/>
      <c r="J161" s="326"/>
      <c r="K161" s="326"/>
      <c r="L161" s="326"/>
      <c r="M161" s="30"/>
      <c r="N161" s="238"/>
    </row>
    <row r="162" ht="19.5" customHeight="1">
      <c r="A162" s="291">
        <f t="shared" si="6"/>
        <v>136</v>
      </c>
      <c r="B162" s="392"/>
      <c r="C162" s="301"/>
      <c r="D162" s="407"/>
      <c r="E162" s="324" t="s">
        <v>1114</v>
      </c>
      <c r="F162" s="65"/>
      <c r="G162" s="53"/>
      <c r="H162" s="33"/>
      <c r="I162" s="325">
        <v>1.0</v>
      </c>
      <c r="J162" s="325"/>
      <c r="K162" s="326"/>
      <c r="L162" s="326"/>
      <c r="M162" s="30"/>
      <c r="N162" s="238"/>
    </row>
    <row r="163" ht="19.5" customHeight="1">
      <c r="A163" s="291">
        <f t="shared" si="6"/>
        <v>137</v>
      </c>
      <c r="B163" s="88"/>
      <c r="C163" s="89"/>
      <c r="D163" s="90"/>
      <c r="E163" s="324" t="s">
        <v>1115</v>
      </c>
      <c r="F163" s="65"/>
      <c r="G163" s="53"/>
      <c r="H163" s="82"/>
      <c r="I163" s="325">
        <v>1.0</v>
      </c>
      <c r="J163" s="325"/>
      <c r="K163" s="326"/>
      <c r="L163" s="326"/>
      <c r="M163" s="30"/>
      <c r="N163" s="238"/>
    </row>
    <row r="164" ht="19.5" customHeight="1">
      <c r="A164" s="291">
        <f t="shared" si="6"/>
        <v>138</v>
      </c>
      <c r="B164" s="392"/>
      <c r="C164" s="301"/>
      <c r="D164" s="407"/>
      <c r="E164" s="324" t="s">
        <v>1116</v>
      </c>
      <c r="F164" s="65"/>
      <c r="G164" s="53"/>
      <c r="H164" s="33"/>
      <c r="I164" s="325">
        <v>1.0</v>
      </c>
      <c r="J164" s="325"/>
      <c r="K164" s="326"/>
      <c r="L164" s="326"/>
      <c r="M164" s="30"/>
      <c r="N164" s="238"/>
    </row>
    <row r="165" ht="19.5" customHeight="1">
      <c r="A165" s="291">
        <f t="shared" si="6"/>
        <v>139</v>
      </c>
      <c r="B165" s="88"/>
      <c r="C165" s="89"/>
      <c r="D165" s="90"/>
      <c r="E165" s="324" t="s">
        <v>1117</v>
      </c>
      <c r="F165" s="65"/>
      <c r="G165" s="53"/>
      <c r="H165" s="33"/>
      <c r="I165" s="325">
        <v>1.0</v>
      </c>
      <c r="J165" s="325"/>
      <c r="K165" s="325"/>
      <c r="L165" s="326"/>
      <c r="M165" s="87"/>
      <c r="N165" s="238"/>
    </row>
    <row r="166" ht="19.5" customHeight="1">
      <c r="A166" s="291">
        <f t="shared" si="6"/>
        <v>140</v>
      </c>
      <c r="B166" s="88"/>
      <c r="C166" s="89"/>
      <c r="D166" s="90"/>
      <c r="E166" s="324" t="s">
        <v>1118</v>
      </c>
      <c r="F166" s="65"/>
      <c r="G166" s="53"/>
      <c r="H166" s="33"/>
      <c r="I166" s="325">
        <v>1.0</v>
      </c>
      <c r="J166" s="326"/>
      <c r="K166" s="326"/>
      <c r="L166" s="326"/>
      <c r="M166" s="30"/>
      <c r="N166" s="238"/>
    </row>
    <row r="167" ht="19.5" customHeight="1">
      <c r="A167" s="291">
        <f t="shared" si="6"/>
        <v>141</v>
      </c>
      <c r="B167" s="88"/>
      <c r="C167" s="89"/>
      <c r="D167" s="90"/>
      <c r="E167" s="408" t="s">
        <v>1119</v>
      </c>
      <c r="F167" s="65"/>
      <c r="G167" s="53"/>
      <c r="H167" s="77"/>
      <c r="I167" s="325">
        <v>1.0</v>
      </c>
      <c r="J167" s="326"/>
      <c r="K167" s="326"/>
      <c r="L167" s="326"/>
      <c r="M167" s="30"/>
      <c r="N167" s="238"/>
    </row>
    <row r="168" ht="19.5" customHeight="1">
      <c r="A168" s="291">
        <f t="shared" si="6"/>
        <v>142</v>
      </c>
      <c r="B168" s="361"/>
      <c r="C168" s="297"/>
      <c r="D168" s="390"/>
      <c r="E168" s="408" t="s">
        <v>1120</v>
      </c>
      <c r="F168" s="409"/>
      <c r="G168" s="410"/>
      <c r="H168" s="323"/>
      <c r="I168" s="296">
        <v>1.0</v>
      </c>
      <c r="J168" s="296"/>
      <c r="K168" s="296"/>
      <c r="L168" s="296"/>
      <c r="M168" s="294"/>
      <c r="N168" s="335"/>
    </row>
    <row r="169" ht="19.5" customHeight="1">
      <c r="A169" s="291">
        <f t="shared" si="6"/>
        <v>143</v>
      </c>
      <c r="B169" s="411"/>
      <c r="C169" s="228"/>
      <c r="D169" s="412"/>
      <c r="E169" s="408" t="s">
        <v>1121</v>
      </c>
      <c r="F169" s="332"/>
      <c r="G169" s="410"/>
      <c r="H169" s="295"/>
      <c r="I169" s="296">
        <v>1.0</v>
      </c>
      <c r="J169" s="296"/>
      <c r="K169" s="296"/>
      <c r="L169" s="296"/>
      <c r="M169" s="413"/>
      <c r="N169" s="335"/>
    </row>
    <row r="170" ht="19.5" customHeight="1">
      <c r="A170" s="291">
        <f t="shared" si="6"/>
        <v>144</v>
      </c>
      <c r="B170" s="411"/>
      <c r="C170" s="228"/>
      <c r="D170" s="412"/>
      <c r="E170" s="408" t="s">
        <v>1122</v>
      </c>
      <c r="F170" s="332"/>
      <c r="G170" s="410"/>
      <c r="H170" s="295"/>
      <c r="I170" s="296">
        <v>1.0</v>
      </c>
      <c r="J170" s="296"/>
      <c r="K170" s="296"/>
      <c r="L170" s="296"/>
      <c r="M170" s="413"/>
      <c r="N170" s="335"/>
    </row>
    <row r="171" ht="19.5" customHeight="1">
      <c r="A171" s="291">
        <f t="shared" si="6"/>
        <v>145</v>
      </c>
      <c r="B171" s="411"/>
      <c r="C171" s="228"/>
      <c r="D171" s="412"/>
      <c r="E171" s="408" t="s">
        <v>1123</v>
      </c>
      <c r="F171" s="332"/>
      <c r="G171" s="410"/>
      <c r="H171" s="295"/>
      <c r="I171" s="296">
        <v>1.0</v>
      </c>
      <c r="J171" s="337"/>
      <c r="K171" s="337"/>
      <c r="L171" s="296"/>
      <c r="M171" s="413"/>
      <c r="N171" s="335"/>
    </row>
    <row r="172" ht="19.5" customHeight="1">
      <c r="A172" s="291">
        <f t="shared" si="6"/>
        <v>146</v>
      </c>
      <c r="B172" s="411"/>
      <c r="C172" s="228"/>
      <c r="D172" s="412"/>
      <c r="E172" s="408" t="s">
        <v>1124</v>
      </c>
      <c r="F172" s="332"/>
      <c r="G172" s="410"/>
      <c r="H172" s="295"/>
      <c r="I172" s="296">
        <v>1.0</v>
      </c>
      <c r="J172" s="337"/>
      <c r="K172" s="337"/>
      <c r="L172" s="337"/>
      <c r="M172" s="413"/>
      <c r="N172" s="335"/>
    </row>
    <row r="173" ht="19.5" customHeight="1">
      <c r="A173" s="291">
        <f t="shared" si="6"/>
        <v>147</v>
      </c>
      <c r="B173" s="411"/>
      <c r="C173" s="228"/>
      <c r="D173" s="412"/>
      <c r="E173" s="408" t="s">
        <v>1125</v>
      </c>
      <c r="F173" s="332"/>
      <c r="G173" s="410"/>
      <c r="H173" s="295"/>
      <c r="I173" s="296">
        <v>1.0</v>
      </c>
      <c r="J173" s="296"/>
      <c r="K173" s="296"/>
      <c r="L173" s="296"/>
      <c r="M173" s="294"/>
      <c r="N173" s="335"/>
    </row>
    <row r="174" ht="19.5" customHeight="1">
      <c r="A174" s="291">
        <f t="shared" si="6"/>
        <v>148</v>
      </c>
      <c r="B174" s="411"/>
      <c r="C174" s="228"/>
      <c r="D174" s="412"/>
      <c r="E174" s="414" t="s">
        <v>1126</v>
      </c>
      <c r="F174" s="332"/>
      <c r="G174" s="410"/>
      <c r="H174" s="295"/>
      <c r="I174" s="296">
        <v>1.0</v>
      </c>
      <c r="J174" s="296"/>
      <c r="K174" s="296"/>
      <c r="L174" s="296"/>
      <c r="M174" s="294"/>
      <c r="N174" s="335"/>
    </row>
    <row r="175" ht="19.5" customHeight="1">
      <c r="A175" s="291">
        <f t="shared" si="6"/>
        <v>149</v>
      </c>
      <c r="B175" s="411"/>
      <c r="C175" s="228"/>
      <c r="D175" s="412"/>
      <c r="E175" s="414" t="s">
        <v>1127</v>
      </c>
      <c r="F175" s="332"/>
      <c r="G175" s="410"/>
      <c r="H175" s="295"/>
      <c r="I175" s="337"/>
      <c r="J175" s="337"/>
      <c r="K175" s="296"/>
      <c r="L175" s="296">
        <v>1.0</v>
      </c>
      <c r="M175" s="413"/>
      <c r="N175" s="335"/>
    </row>
    <row r="176" ht="19.5" customHeight="1">
      <c r="A176" s="291">
        <f t="shared" si="6"/>
        <v>150</v>
      </c>
      <c r="B176" s="411"/>
      <c r="C176" s="228"/>
      <c r="D176" s="412"/>
      <c r="E176" s="414" t="s">
        <v>1128</v>
      </c>
      <c r="F176" s="332"/>
      <c r="G176" s="410"/>
      <c r="H176" s="295"/>
      <c r="I176" s="296">
        <v>1.0</v>
      </c>
      <c r="J176" s="296"/>
      <c r="K176" s="296"/>
      <c r="L176" s="296"/>
      <c r="M176" s="413"/>
      <c r="N176" s="335"/>
    </row>
    <row r="177" ht="19.5" customHeight="1">
      <c r="A177" s="291">
        <f t="shared" si="6"/>
        <v>151</v>
      </c>
      <c r="B177" s="411"/>
      <c r="C177" s="228"/>
      <c r="D177" s="412"/>
      <c r="E177" s="302" t="s">
        <v>1129</v>
      </c>
      <c r="F177" s="332"/>
      <c r="G177" s="410"/>
      <c r="H177" s="295"/>
      <c r="I177" s="296">
        <v>1.0</v>
      </c>
      <c r="J177" s="337"/>
      <c r="K177" s="296"/>
      <c r="L177" s="296"/>
      <c r="M177" s="413"/>
      <c r="N177" s="335"/>
    </row>
    <row r="178" ht="19.5" customHeight="1">
      <c r="A178" s="291">
        <f t="shared" si="6"/>
        <v>152</v>
      </c>
      <c r="B178" s="411"/>
      <c r="C178" s="228"/>
      <c r="D178" s="412"/>
      <c r="E178" s="415" t="s">
        <v>1130</v>
      </c>
      <c r="F178" s="332"/>
      <c r="G178" s="410"/>
      <c r="H178" s="295"/>
      <c r="I178" s="296">
        <v>1.0</v>
      </c>
      <c r="J178" s="296"/>
      <c r="K178" s="337"/>
      <c r="L178" s="337"/>
      <c r="M178" s="413"/>
      <c r="N178" s="335"/>
    </row>
    <row r="179" ht="19.5" customHeight="1">
      <c r="A179" s="291">
        <f t="shared" si="6"/>
        <v>153</v>
      </c>
      <c r="B179" s="411"/>
      <c r="C179" s="228"/>
      <c r="D179" s="412"/>
      <c r="E179" s="415" t="s">
        <v>1131</v>
      </c>
      <c r="F179" s="332"/>
      <c r="G179" s="410"/>
      <c r="H179" s="295"/>
      <c r="I179" s="296">
        <v>1.0</v>
      </c>
      <c r="J179" s="296"/>
      <c r="K179" s="337"/>
      <c r="L179" s="337"/>
      <c r="M179" s="413"/>
      <c r="N179" s="335"/>
    </row>
    <row r="180" ht="19.5" customHeight="1">
      <c r="A180" s="291">
        <f t="shared" si="6"/>
        <v>154</v>
      </c>
      <c r="B180" s="411"/>
      <c r="C180" s="228"/>
      <c r="D180" s="412"/>
      <c r="E180" s="415" t="s">
        <v>1132</v>
      </c>
      <c r="F180" s="332"/>
      <c r="G180" s="410"/>
      <c r="H180" s="295"/>
      <c r="I180" s="296">
        <v>1.0</v>
      </c>
      <c r="J180" s="296"/>
      <c r="K180" s="337"/>
      <c r="L180" s="337"/>
      <c r="M180" s="413"/>
      <c r="N180" s="335"/>
    </row>
    <row r="181" ht="19.5" customHeight="1">
      <c r="A181" s="291">
        <f t="shared" si="6"/>
        <v>155</v>
      </c>
      <c r="B181" s="411"/>
      <c r="C181" s="228"/>
      <c r="D181" s="412"/>
      <c r="E181" s="302" t="s">
        <v>1133</v>
      </c>
      <c r="F181" s="332"/>
      <c r="G181" s="410"/>
      <c r="H181" s="295"/>
      <c r="I181" s="296">
        <v>1.0</v>
      </c>
      <c r="J181" s="296"/>
      <c r="K181" s="337"/>
      <c r="L181" s="337"/>
      <c r="M181" s="413"/>
      <c r="N181" s="335"/>
    </row>
    <row r="182" ht="19.5" customHeight="1">
      <c r="A182" s="291" t="str">
        <f t="shared" si="6"/>
        <v/>
      </c>
      <c r="B182" s="411"/>
      <c r="C182" s="228"/>
      <c r="D182" s="416" t="s">
        <v>1093</v>
      </c>
      <c r="E182" s="302"/>
      <c r="F182" s="332"/>
      <c r="G182" s="410"/>
      <c r="H182" s="295"/>
      <c r="I182" s="337"/>
      <c r="J182" s="337"/>
      <c r="K182" s="337"/>
      <c r="L182" s="337"/>
      <c r="M182" s="413"/>
      <c r="N182" s="335"/>
    </row>
    <row r="183" ht="19.5" customHeight="1">
      <c r="A183" s="291">
        <f t="shared" si="6"/>
        <v>156</v>
      </c>
      <c r="B183" s="291"/>
      <c r="C183" s="338"/>
      <c r="D183" s="417"/>
      <c r="E183" s="302" t="s">
        <v>642</v>
      </c>
      <c r="F183" s="332"/>
      <c r="G183" s="410"/>
      <c r="H183" s="295"/>
      <c r="I183" s="296">
        <v>1.0</v>
      </c>
      <c r="J183" s="337"/>
      <c r="K183" s="296"/>
      <c r="L183" s="296"/>
      <c r="M183" s="294"/>
      <c r="N183" s="335"/>
    </row>
    <row r="184" ht="19.5" customHeight="1">
      <c r="A184" s="291">
        <f t="shared" si="6"/>
        <v>157</v>
      </c>
      <c r="B184" s="291"/>
      <c r="C184" s="338"/>
      <c r="D184" s="417"/>
      <c r="E184" s="302" t="s">
        <v>1134</v>
      </c>
      <c r="F184" s="332"/>
      <c r="G184" s="410"/>
      <c r="H184" s="295"/>
      <c r="I184" s="296">
        <v>1.0</v>
      </c>
      <c r="J184" s="296"/>
      <c r="K184" s="296"/>
      <c r="L184" s="296"/>
      <c r="M184" s="294"/>
      <c r="N184" s="335"/>
    </row>
    <row r="185" ht="19.5" customHeight="1">
      <c r="A185" s="291">
        <f t="shared" si="6"/>
        <v>158</v>
      </c>
      <c r="B185" s="291"/>
      <c r="C185" s="338"/>
      <c r="D185" s="417"/>
      <c r="E185" s="302" t="s">
        <v>361</v>
      </c>
      <c r="F185" s="332"/>
      <c r="G185" s="410"/>
      <c r="H185" s="295"/>
      <c r="I185" s="296">
        <v>1.0</v>
      </c>
      <c r="J185" s="296"/>
      <c r="K185" s="296"/>
      <c r="L185" s="296"/>
      <c r="M185" s="413"/>
      <c r="N185" s="335"/>
    </row>
    <row r="186" ht="19.5" customHeight="1">
      <c r="A186" s="291">
        <f t="shared" si="6"/>
        <v>159</v>
      </c>
      <c r="B186" s="291"/>
      <c r="C186" s="338"/>
      <c r="D186" s="417"/>
      <c r="E186" s="302" t="s">
        <v>1135</v>
      </c>
      <c r="F186" s="332"/>
      <c r="G186" s="410"/>
      <c r="H186" s="295"/>
      <c r="I186" s="296">
        <v>1.0</v>
      </c>
      <c r="J186" s="296"/>
      <c r="K186" s="337"/>
      <c r="L186" s="337"/>
      <c r="M186" s="413"/>
      <c r="N186" s="335"/>
    </row>
    <row r="187" ht="19.5" customHeight="1">
      <c r="A187" s="291">
        <f t="shared" si="6"/>
        <v>160</v>
      </c>
      <c r="B187" s="291"/>
      <c r="C187" s="338"/>
      <c r="D187" s="417"/>
      <c r="E187" s="302" t="s">
        <v>1136</v>
      </c>
      <c r="F187" s="332"/>
      <c r="G187" s="287"/>
      <c r="H187" s="295"/>
      <c r="I187" s="296">
        <v>1.0</v>
      </c>
      <c r="J187" s="337"/>
      <c r="K187" s="337"/>
      <c r="L187" s="296"/>
      <c r="M187" s="413"/>
      <c r="N187" s="335"/>
    </row>
    <row r="188" ht="19.5" customHeight="1">
      <c r="A188" s="291">
        <f t="shared" si="6"/>
        <v>161</v>
      </c>
      <c r="B188" s="291"/>
      <c r="C188" s="338"/>
      <c r="D188" s="417"/>
      <c r="E188" s="302" t="s">
        <v>1137</v>
      </c>
      <c r="F188" s="332"/>
      <c r="G188" s="287"/>
      <c r="H188" s="295"/>
      <c r="I188" s="337"/>
      <c r="J188" s="337"/>
      <c r="K188" s="296"/>
      <c r="L188" s="296">
        <v>1.0</v>
      </c>
      <c r="M188" s="294" t="s">
        <v>1006</v>
      </c>
      <c r="N188" s="335"/>
    </row>
    <row r="189" ht="19.5" customHeight="1">
      <c r="A189" s="291">
        <f t="shared" si="6"/>
        <v>162</v>
      </c>
      <c r="B189" s="88"/>
      <c r="C189" s="89"/>
      <c r="D189" s="90"/>
      <c r="E189" s="324" t="s">
        <v>1138</v>
      </c>
      <c r="F189" s="79"/>
      <c r="G189" s="53"/>
      <c r="H189" s="82"/>
      <c r="I189" s="325">
        <v>1.0</v>
      </c>
      <c r="J189" s="325"/>
      <c r="K189" s="325"/>
      <c r="L189" s="326"/>
      <c r="M189" s="87"/>
      <c r="N189" s="238"/>
    </row>
    <row r="190" ht="19.5" customHeight="1">
      <c r="A190" s="291">
        <f t="shared" si="6"/>
        <v>163</v>
      </c>
      <c r="B190" s="88"/>
      <c r="C190" s="89"/>
      <c r="D190" s="90"/>
      <c r="E190" s="324" t="s">
        <v>771</v>
      </c>
      <c r="F190" s="79"/>
      <c r="G190" s="53"/>
      <c r="H190" s="82"/>
      <c r="I190" s="325">
        <v>1.0</v>
      </c>
      <c r="J190" s="325"/>
      <c r="K190" s="325"/>
      <c r="L190" s="326"/>
      <c r="M190" s="87"/>
      <c r="N190" s="238"/>
    </row>
    <row r="191" ht="19.5" customHeight="1">
      <c r="A191" s="291">
        <f t="shared" si="6"/>
        <v>164</v>
      </c>
      <c r="B191" s="88"/>
      <c r="C191" s="89"/>
      <c r="D191" s="90"/>
      <c r="E191" s="324" t="s">
        <v>1139</v>
      </c>
      <c r="F191" s="79"/>
      <c r="G191" s="53"/>
      <c r="H191" s="82"/>
      <c r="I191" s="325"/>
      <c r="J191" s="325">
        <v>1.0</v>
      </c>
      <c r="K191" s="325"/>
      <c r="L191" s="326"/>
      <c r="M191" s="87"/>
      <c r="N191" s="238"/>
    </row>
    <row r="192" ht="19.5" customHeight="1">
      <c r="A192" s="291">
        <f t="shared" si="6"/>
        <v>165</v>
      </c>
      <c r="B192" s="88"/>
      <c r="C192" s="89"/>
      <c r="D192" s="90"/>
      <c r="E192" s="324" t="s">
        <v>860</v>
      </c>
      <c r="F192" s="79"/>
      <c r="G192" s="53"/>
      <c r="H192" s="82"/>
      <c r="I192" s="325">
        <v>1.0</v>
      </c>
      <c r="J192" s="325"/>
      <c r="K192" s="326"/>
      <c r="L192" s="326"/>
      <c r="M192" s="30"/>
      <c r="N192" s="238"/>
    </row>
    <row r="193" ht="19.5" customHeight="1">
      <c r="A193" s="291">
        <f t="shared" si="6"/>
        <v>166</v>
      </c>
      <c r="B193" s="88"/>
      <c r="C193" s="89"/>
      <c r="D193" s="90"/>
      <c r="E193" s="324" t="s">
        <v>1140</v>
      </c>
      <c r="F193" s="79"/>
      <c r="G193" s="53"/>
      <c r="H193" s="82"/>
      <c r="I193" s="325">
        <v>1.0</v>
      </c>
      <c r="J193" s="325"/>
      <c r="K193" s="325"/>
      <c r="L193" s="325"/>
      <c r="M193" s="87"/>
      <c r="N193" s="238"/>
    </row>
    <row r="194" ht="19.5" customHeight="1">
      <c r="A194" s="291">
        <f t="shared" si="6"/>
        <v>167</v>
      </c>
      <c r="B194" s="88"/>
      <c r="C194" s="89"/>
      <c r="D194" s="90"/>
      <c r="E194" s="324" t="s">
        <v>1141</v>
      </c>
      <c r="F194" s="79"/>
      <c r="G194" s="53"/>
      <c r="H194" s="82"/>
      <c r="I194" s="325">
        <v>1.0</v>
      </c>
      <c r="J194" s="325"/>
      <c r="K194" s="326"/>
      <c r="L194" s="326"/>
      <c r="M194" s="30"/>
      <c r="N194" s="238"/>
    </row>
    <row r="195" ht="19.5" customHeight="1">
      <c r="A195" s="291">
        <f t="shared" si="6"/>
        <v>168</v>
      </c>
      <c r="B195" s="88"/>
      <c r="C195" s="89"/>
      <c r="D195" s="90"/>
      <c r="E195" s="324" t="s">
        <v>1142</v>
      </c>
      <c r="F195" s="79"/>
      <c r="G195" s="53"/>
      <c r="H195" s="82"/>
      <c r="I195" s="325">
        <v>1.0</v>
      </c>
      <c r="J195" s="325"/>
      <c r="K195" s="326"/>
      <c r="L195" s="326"/>
      <c r="M195" s="30"/>
      <c r="N195" s="238"/>
    </row>
    <row r="196" ht="19.5" customHeight="1">
      <c r="A196" s="291"/>
      <c r="B196" s="88"/>
      <c r="C196" s="89"/>
      <c r="D196" s="90" t="s">
        <v>741</v>
      </c>
      <c r="E196" s="418"/>
      <c r="F196" s="79"/>
      <c r="G196" s="53"/>
      <c r="H196" s="82"/>
      <c r="I196" s="326"/>
      <c r="J196" s="326"/>
      <c r="K196" s="326"/>
      <c r="L196" s="326"/>
      <c r="M196" s="30"/>
      <c r="N196" s="238"/>
    </row>
    <row r="197" ht="19.5" customHeight="1">
      <c r="A197" s="291">
        <f t="shared" ref="A197:A202" si="7">IF(ISBLANK(E197),"",COUNTA($E$6:E197))</f>
        <v>169</v>
      </c>
      <c r="B197" s="88"/>
      <c r="C197" s="89"/>
      <c r="D197" s="90"/>
      <c r="E197" s="404" t="s">
        <v>1143</v>
      </c>
      <c r="F197" s="79"/>
      <c r="G197" s="53"/>
      <c r="H197" s="82"/>
      <c r="I197" s="325">
        <v>1.0</v>
      </c>
      <c r="J197" s="325"/>
      <c r="K197" s="326"/>
      <c r="L197" s="325"/>
      <c r="M197" s="30"/>
      <c r="N197" s="238"/>
    </row>
    <row r="198" ht="19.5" customHeight="1">
      <c r="A198" s="291">
        <f t="shared" si="7"/>
        <v>170</v>
      </c>
      <c r="B198" s="88"/>
      <c r="C198" s="89"/>
      <c r="D198" s="90"/>
      <c r="E198" s="404" t="s">
        <v>1144</v>
      </c>
      <c r="F198" s="79"/>
      <c r="G198" s="53"/>
      <c r="H198" s="82"/>
      <c r="I198" s="325">
        <v>1.0</v>
      </c>
      <c r="J198" s="325"/>
      <c r="K198" s="326"/>
      <c r="L198" s="325"/>
      <c r="M198" s="30"/>
      <c r="N198" s="238"/>
    </row>
    <row r="199" ht="19.5" customHeight="1">
      <c r="A199" s="291">
        <f t="shared" si="7"/>
        <v>171</v>
      </c>
      <c r="B199" s="88"/>
      <c r="C199" s="89"/>
      <c r="D199" s="90"/>
      <c r="E199" s="404" t="s">
        <v>1145</v>
      </c>
      <c r="F199" s="79"/>
      <c r="G199" s="53"/>
      <c r="H199" s="82"/>
      <c r="I199" s="325">
        <v>1.0</v>
      </c>
      <c r="J199" s="325"/>
      <c r="K199" s="326"/>
      <c r="L199" s="325"/>
      <c r="M199" s="30"/>
      <c r="N199" s="238"/>
    </row>
    <row r="200" ht="19.5" customHeight="1">
      <c r="A200" s="291">
        <f t="shared" si="7"/>
        <v>172</v>
      </c>
      <c r="B200" s="88"/>
      <c r="C200" s="89"/>
      <c r="D200" s="90"/>
      <c r="E200" s="404" t="s">
        <v>1146</v>
      </c>
      <c r="F200" s="79"/>
      <c r="G200" s="53"/>
      <c r="H200" s="82"/>
      <c r="I200" s="325">
        <v>1.0</v>
      </c>
      <c r="J200" s="325"/>
      <c r="K200" s="326"/>
      <c r="L200" s="325"/>
      <c r="M200" s="30"/>
      <c r="N200" s="238"/>
    </row>
    <row r="201" ht="19.5" customHeight="1">
      <c r="A201" s="291">
        <f t="shared" si="7"/>
        <v>173</v>
      </c>
      <c r="B201" s="88"/>
      <c r="C201" s="89"/>
      <c r="D201" s="90"/>
      <c r="E201" s="404" t="s">
        <v>1147</v>
      </c>
      <c r="F201" s="79"/>
      <c r="G201" s="53"/>
      <c r="H201" s="82"/>
      <c r="I201" s="325">
        <v>1.0</v>
      </c>
      <c r="J201" s="325"/>
      <c r="K201" s="326"/>
      <c r="L201" s="325"/>
      <c r="M201" s="30"/>
      <c r="N201" s="238"/>
    </row>
    <row r="202" ht="19.5" customHeight="1">
      <c r="A202" s="291">
        <f t="shared" si="7"/>
        <v>174</v>
      </c>
      <c r="B202" s="88"/>
      <c r="C202" s="89"/>
      <c r="D202" s="90"/>
      <c r="E202" s="404" t="s">
        <v>748</v>
      </c>
      <c r="F202" s="79"/>
      <c r="G202" s="53"/>
      <c r="H202" s="82"/>
      <c r="I202" s="325">
        <v>1.0</v>
      </c>
      <c r="J202" s="325"/>
      <c r="K202" s="326"/>
      <c r="L202" s="325"/>
      <c r="M202" s="30"/>
      <c r="N202" s="238"/>
    </row>
    <row r="203" ht="19.5" customHeight="1">
      <c r="A203" s="291"/>
      <c r="B203" s="88"/>
      <c r="C203" s="89"/>
      <c r="D203" s="90" t="s">
        <v>1148</v>
      </c>
      <c r="E203" s="418"/>
      <c r="F203" s="79"/>
      <c r="G203" s="53"/>
      <c r="H203" s="82"/>
      <c r="I203" s="326"/>
      <c r="J203" s="326"/>
      <c r="K203" s="326"/>
      <c r="L203" s="326"/>
      <c r="M203" s="30"/>
      <c r="N203" s="238"/>
    </row>
    <row r="204" ht="19.5" customHeight="1">
      <c r="A204" s="291">
        <f t="shared" ref="A204:A220" si="8">IF(ISBLANK(E204),"",COUNTA($E$6:E204))</f>
        <v>175</v>
      </c>
      <c r="B204" s="88"/>
      <c r="C204" s="89"/>
      <c r="D204" s="90"/>
      <c r="E204" s="404" t="s">
        <v>1149</v>
      </c>
      <c r="F204" s="79"/>
      <c r="G204" s="53"/>
      <c r="H204" s="82"/>
      <c r="I204" s="325">
        <v>1.0</v>
      </c>
      <c r="J204" s="325"/>
      <c r="K204" s="326"/>
      <c r="L204" s="325"/>
      <c r="M204" s="30"/>
      <c r="N204" s="238"/>
    </row>
    <row r="205" ht="19.5" customHeight="1">
      <c r="A205" s="291">
        <f t="shared" si="8"/>
        <v>176</v>
      </c>
      <c r="B205" s="88"/>
      <c r="C205" s="89"/>
      <c r="D205" s="90"/>
      <c r="E205" s="404" t="s">
        <v>1150</v>
      </c>
      <c r="F205" s="79"/>
      <c r="G205" s="53"/>
      <c r="H205" s="82"/>
      <c r="I205" s="325">
        <v>1.0</v>
      </c>
      <c r="J205" s="325"/>
      <c r="K205" s="326"/>
      <c r="L205" s="325"/>
      <c r="M205" s="30"/>
      <c r="N205" s="238"/>
    </row>
    <row r="206" ht="19.5" customHeight="1">
      <c r="A206" s="291">
        <f t="shared" si="8"/>
        <v>177</v>
      </c>
      <c r="B206" s="88"/>
      <c r="C206" s="89"/>
      <c r="D206" s="90"/>
      <c r="E206" s="404" t="s">
        <v>1151</v>
      </c>
      <c r="F206" s="79"/>
      <c r="G206" s="53"/>
      <c r="H206" s="82"/>
      <c r="I206" s="325">
        <v>1.0</v>
      </c>
      <c r="J206" s="325"/>
      <c r="K206" s="326"/>
      <c r="L206" s="325"/>
      <c r="M206" s="30"/>
      <c r="N206" s="238"/>
    </row>
    <row r="207" ht="19.5" customHeight="1">
      <c r="A207" s="291">
        <f t="shared" si="8"/>
        <v>178</v>
      </c>
      <c r="B207" s="88"/>
      <c r="C207" s="89"/>
      <c r="D207" s="90"/>
      <c r="E207" s="404" t="s">
        <v>1152</v>
      </c>
      <c r="F207" s="79"/>
      <c r="G207" s="53"/>
      <c r="H207" s="82"/>
      <c r="I207" s="325">
        <v>1.0</v>
      </c>
      <c r="J207" s="325"/>
      <c r="K207" s="326"/>
      <c r="L207" s="325"/>
      <c r="M207" s="30"/>
      <c r="N207" s="238"/>
    </row>
    <row r="208" ht="19.5" customHeight="1">
      <c r="A208" s="291">
        <f t="shared" si="8"/>
        <v>179</v>
      </c>
      <c r="B208" s="88"/>
      <c r="C208" s="89"/>
      <c r="D208" s="90"/>
      <c r="E208" s="404" t="s">
        <v>1153</v>
      </c>
      <c r="F208" s="79"/>
      <c r="G208" s="53"/>
      <c r="H208" s="82"/>
      <c r="I208" s="325">
        <v>1.0</v>
      </c>
      <c r="J208" s="325"/>
      <c r="K208" s="326"/>
      <c r="L208" s="325"/>
      <c r="M208" s="30"/>
      <c r="N208" s="238"/>
    </row>
    <row r="209" ht="19.5" customHeight="1">
      <c r="A209" s="291">
        <f t="shared" si="8"/>
        <v>180</v>
      </c>
      <c r="B209" s="88"/>
      <c r="C209" s="89"/>
      <c r="D209" s="90"/>
      <c r="E209" s="404" t="s">
        <v>1154</v>
      </c>
      <c r="F209" s="79"/>
      <c r="G209" s="53"/>
      <c r="H209" s="82"/>
      <c r="I209" s="325">
        <v>1.0</v>
      </c>
      <c r="J209" s="325"/>
      <c r="K209" s="326"/>
      <c r="L209" s="325"/>
      <c r="M209" s="30"/>
      <c r="N209" s="238"/>
    </row>
    <row r="210" ht="19.5" customHeight="1">
      <c r="A210" s="291">
        <f t="shared" si="8"/>
        <v>181</v>
      </c>
      <c r="B210" s="88"/>
      <c r="C210" s="89"/>
      <c r="D210" s="90"/>
      <c r="E210" s="404" t="s">
        <v>1155</v>
      </c>
      <c r="F210" s="79"/>
      <c r="G210" s="53"/>
      <c r="H210" s="82"/>
      <c r="I210" s="325">
        <v>1.0</v>
      </c>
      <c r="J210" s="325"/>
      <c r="K210" s="326"/>
      <c r="L210" s="325"/>
      <c r="M210" s="30"/>
      <c r="N210" s="238"/>
    </row>
    <row r="211" ht="19.5" customHeight="1">
      <c r="A211" s="291">
        <f t="shared" si="8"/>
        <v>182</v>
      </c>
      <c r="B211" s="88"/>
      <c r="C211" s="89"/>
      <c r="D211" s="90"/>
      <c r="E211" s="404" t="s">
        <v>733</v>
      </c>
      <c r="F211" s="79"/>
      <c r="G211" s="53"/>
      <c r="H211" s="82"/>
      <c r="I211" s="325">
        <v>1.0</v>
      </c>
      <c r="J211" s="325"/>
      <c r="K211" s="326"/>
      <c r="L211" s="325"/>
      <c r="M211" s="30"/>
      <c r="N211" s="238"/>
    </row>
    <row r="212" ht="19.5" customHeight="1">
      <c r="A212" s="291">
        <f t="shared" si="8"/>
        <v>183</v>
      </c>
      <c r="B212" s="88"/>
      <c r="C212" s="89"/>
      <c r="D212" s="90"/>
      <c r="E212" s="404" t="s">
        <v>1156</v>
      </c>
      <c r="F212" s="79"/>
      <c r="G212" s="53"/>
      <c r="H212" s="82"/>
      <c r="I212" s="325">
        <v>1.0</v>
      </c>
      <c r="J212" s="325"/>
      <c r="K212" s="326"/>
      <c r="L212" s="325"/>
      <c r="M212" s="30"/>
      <c r="N212" s="238"/>
    </row>
    <row r="213" ht="19.5" customHeight="1">
      <c r="A213" s="291">
        <f t="shared" si="8"/>
        <v>184</v>
      </c>
      <c r="B213" s="88"/>
      <c r="C213" s="89"/>
      <c r="D213" s="90"/>
      <c r="E213" s="404" t="s">
        <v>1157</v>
      </c>
      <c r="F213" s="79"/>
      <c r="G213" s="53"/>
      <c r="H213" s="82"/>
      <c r="I213" s="325">
        <v>1.0</v>
      </c>
      <c r="J213" s="325"/>
      <c r="K213" s="326"/>
      <c r="L213" s="325"/>
      <c r="M213" s="30"/>
      <c r="N213" s="238"/>
    </row>
    <row r="214" ht="19.5" customHeight="1">
      <c r="A214" s="291" t="str">
        <f t="shared" si="8"/>
        <v/>
      </c>
      <c r="B214" s="88"/>
      <c r="C214" s="89"/>
      <c r="D214" s="90" t="s">
        <v>620</v>
      </c>
      <c r="E214" s="418"/>
      <c r="F214" s="79"/>
      <c r="G214" s="53"/>
      <c r="H214" s="82"/>
      <c r="I214" s="326"/>
      <c r="J214" s="326"/>
      <c r="K214" s="326"/>
      <c r="L214" s="326"/>
      <c r="M214" s="30"/>
      <c r="N214" s="238"/>
    </row>
    <row r="215" ht="19.5" customHeight="1">
      <c r="A215" s="291">
        <f t="shared" si="8"/>
        <v>185</v>
      </c>
      <c r="B215" s="88"/>
      <c r="C215" s="89"/>
      <c r="D215" s="90"/>
      <c r="E215" s="404" t="s">
        <v>1158</v>
      </c>
      <c r="F215" s="79"/>
      <c r="G215" s="53"/>
      <c r="H215" s="82"/>
      <c r="I215" s="325">
        <v>1.0</v>
      </c>
      <c r="J215" s="325"/>
      <c r="K215" s="326"/>
      <c r="L215" s="325"/>
      <c r="M215" s="30"/>
      <c r="N215" s="238"/>
    </row>
    <row r="216" ht="19.5" customHeight="1">
      <c r="A216" s="291">
        <f t="shared" si="8"/>
        <v>186</v>
      </c>
      <c r="B216" s="88"/>
      <c r="C216" s="89"/>
      <c r="D216" s="90"/>
      <c r="E216" s="404" t="s">
        <v>1159</v>
      </c>
      <c r="F216" s="79"/>
      <c r="G216" s="53"/>
      <c r="H216" s="82"/>
      <c r="I216" s="325">
        <v>1.0</v>
      </c>
      <c r="J216" s="325"/>
      <c r="K216" s="326"/>
      <c r="L216" s="325"/>
      <c r="M216" s="30"/>
      <c r="N216" s="238"/>
    </row>
    <row r="217" ht="19.5" customHeight="1">
      <c r="A217" s="291">
        <f t="shared" si="8"/>
        <v>187</v>
      </c>
      <c r="B217" s="88"/>
      <c r="C217" s="89"/>
      <c r="D217" s="90"/>
      <c r="E217" s="404" t="s">
        <v>1160</v>
      </c>
      <c r="F217" s="79"/>
      <c r="G217" s="53"/>
      <c r="H217" s="82"/>
      <c r="I217" s="325">
        <v>1.0</v>
      </c>
      <c r="J217" s="325"/>
      <c r="K217" s="326"/>
      <c r="L217" s="325"/>
      <c r="M217" s="30"/>
      <c r="N217" s="238"/>
    </row>
    <row r="218" ht="19.5" customHeight="1">
      <c r="A218" s="291">
        <f t="shared" si="8"/>
        <v>188</v>
      </c>
      <c r="B218" s="88"/>
      <c r="C218" s="89"/>
      <c r="D218" s="90"/>
      <c r="E218" s="404" t="s">
        <v>1161</v>
      </c>
      <c r="F218" s="79"/>
      <c r="G218" s="53"/>
      <c r="H218" s="82"/>
      <c r="I218" s="325">
        <v>1.0</v>
      </c>
      <c r="J218" s="325"/>
      <c r="K218" s="326"/>
      <c r="L218" s="325"/>
      <c r="M218" s="30"/>
      <c r="N218" s="238"/>
    </row>
    <row r="219" ht="19.5" customHeight="1">
      <c r="A219" s="291">
        <f t="shared" si="8"/>
        <v>189</v>
      </c>
      <c r="B219" s="88"/>
      <c r="C219" s="89"/>
      <c r="D219" s="90"/>
      <c r="E219" s="404" t="s">
        <v>1162</v>
      </c>
      <c r="F219" s="79"/>
      <c r="G219" s="53"/>
      <c r="H219" s="82"/>
      <c r="I219" s="325">
        <v>1.0</v>
      </c>
      <c r="J219" s="325"/>
      <c r="K219" s="326"/>
      <c r="L219" s="325"/>
      <c r="M219" s="30"/>
      <c r="N219" s="238"/>
    </row>
    <row r="220" ht="19.5" customHeight="1">
      <c r="A220" s="291">
        <f t="shared" si="8"/>
        <v>190</v>
      </c>
      <c r="B220" s="88"/>
      <c r="C220" s="89"/>
      <c r="D220" s="90"/>
      <c r="E220" s="404" t="s">
        <v>1163</v>
      </c>
      <c r="F220" s="79"/>
      <c r="G220" s="53"/>
      <c r="H220" s="82"/>
      <c r="I220" s="325">
        <v>1.0</v>
      </c>
      <c r="J220" s="325"/>
      <c r="K220" s="326"/>
      <c r="L220" s="325"/>
      <c r="M220" s="30"/>
      <c r="N220" s="238"/>
    </row>
    <row r="221" ht="19.5" customHeight="1">
      <c r="A221" s="384" t="s">
        <v>1164</v>
      </c>
      <c r="B221" s="385"/>
      <c r="C221" s="386"/>
      <c r="D221" s="349"/>
      <c r="E221" s="350"/>
      <c r="F221" s="351"/>
      <c r="G221" s="387"/>
      <c r="H221" s="351"/>
      <c r="I221" s="388"/>
      <c r="J221" s="388"/>
      <c r="K221" s="388"/>
      <c r="L221" s="388"/>
      <c r="M221" s="389"/>
      <c r="N221" s="280"/>
    </row>
    <row r="222" ht="19.5" customHeight="1">
      <c r="A222" s="291" t="str">
        <f t="shared" ref="A222:A230" si="9">IF(ISBLANK(E222),"",COUNTA($E$6:E222))</f>
        <v/>
      </c>
      <c r="B222" s="392"/>
      <c r="C222" s="301"/>
      <c r="D222" s="212" t="s">
        <v>1165</v>
      </c>
      <c r="E222" s="418"/>
      <c r="F222" s="79"/>
      <c r="G222" s="53"/>
      <c r="H222" s="82"/>
      <c r="I222" s="326"/>
      <c r="J222" s="326"/>
      <c r="K222" s="326"/>
      <c r="L222" s="326"/>
      <c r="M222" s="30"/>
      <c r="N222" s="238"/>
    </row>
    <row r="223" ht="19.5" customHeight="1">
      <c r="A223" s="291">
        <f t="shared" si="9"/>
        <v>191</v>
      </c>
      <c r="B223" s="392"/>
      <c r="C223" s="301"/>
      <c r="D223" s="407"/>
      <c r="E223" s="324" t="s">
        <v>1166</v>
      </c>
      <c r="F223" s="65"/>
      <c r="G223" s="53" t="s">
        <v>1167</v>
      </c>
      <c r="H223" s="82"/>
      <c r="I223" s="325">
        <v>1.0</v>
      </c>
      <c r="J223" s="326"/>
      <c r="K223" s="326"/>
      <c r="L223" s="325"/>
      <c r="M223" s="30"/>
      <c r="N223" s="238"/>
    </row>
    <row r="224" ht="19.5" customHeight="1">
      <c r="A224" s="291">
        <f t="shared" si="9"/>
        <v>192</v>
      </c>
      <c r="B224" s="392"/>
      <c r="C224" s="301"/>
      <c r="D224" s="407"/>
      <c r="E224" s="324" t="s">
        <v>1168</v>
      </c>
      <c r="F224" s="65"/>
      <c r="G224" s="53"/>
      <c r="H224" s="82"/>
      <c r="I224" s="325">
        <v>1.0</v>
      </c>
      <c r="J224" s="325"/>
      <c r="K224" s="326"/>
      <c r="L224" s="326"/>
      <c r="M224" s="30"/>
      <c r="N224" s="238"/>
    </row>
    <row r="225" ht="19.5" customHeight="1">
      <c r="A225" s="291" t="str">
        <f t="shared" si="9"/>
        <v/>
      </c>
      <c r="B225" s="392"/>
      <c r="C225" s="301"/>
      <c r="D225" s="212" t="s">
        <v>1169</v>
      </c>
      <c r="E225" s="418"/>
      <c r="F225" s="79"/>
      <c r="G225" s="53"/>
      <c r="H225" s="82"/>
      <c r="I225" s="326"/>
      <c r="J225" s="326"/>
      <c r="K225" s="326"/>
      <c r="L225" s="326"/>
      <c r="M225" s="30"/>
      <c r="N225" s="238"/>
    </row>
    <row r="226" ht="19.5" customHeight="1">
      <c r="A226" s="291">
        <f t="shared" si="9"/>
        <v>193</v>
      </c>
      <c r="B226" s="392"/>
      <c r="C226" s="301"/>
      <c r="D226" s="407"/>
      <c r="E226" s="324" t="s">
        <v>1170</v>
      </c>
      <c r="F226" s="65"/>
      <c r="G226" s="53"/>
      <c r="H226" s="82"/>
      <c r="I226" s="325">
        <v>1.0</v>
      </c>
      <c r="J226" s="325"/>
      <c r="K226" s="326"/>
      <c r="L226" s="326"/>
      <c r="M226" s="30"/>
      <c r="N226" s="238"/>
    </row>
    <row r="227" ht="19.5" customHeight="1">
      <c r="A227" s="291">
        <f t="shared" si="9"/>
        <v>194</v>
      </c>
      <c r="B227" s="392"/>
      <c r="C227" s="301"/>
      <c r="D227" s="407"/>
      <c r="E227" s="324" t="s">
        <v>1171</v>
      </c>
      <c r="F227" s="65"/>
      <c r="G227" s="53" t="s">
        <v>1172</v>
      </c>
      <c r="H227" s="82"/>
      <c r="I227" s="326"/>
      <c r="J227" s="325">
        <v>1.0</v>
      </c>
      <c r="K227" s="325"/>
      <c r="L227" s="325"/>
      <c r="M227" s="87"/>
      <c r="N227" s="238"/>
    </row>
    <row r="228" ht="19.5" customHeight="1">
      <c r="A228" s="291">
        <f t="shared" si="9"/>
        <v>195</v>
      </c>
      <c r="B228" s="392"/>
      <c r="C228" s="301"/>
      <c r="D228" s="407"/>
      <c r="E228" s="324" t="s">
        <v>1173</v>
      </c>
      <c r="F228" s="65"/>
      <c r="G228" s="53"/>
      <c r="H228" s="82"/>
      <c r="I228" s="325">
        <v>1.0</v>
      </c>
      <c r="J228" s="325"/>
      <c r="K228" s="326"/>
      <c r="L228" s="325"/>
      <c r="M228" s="30"/>
      <c r="N228" s="238"/>
    </row>
    <row r="229" ht="19.5" customHeight="1">
      <c r="A229" s="291" t="str">
        <f t="shared" si="9"/>
        <v/>
      </c>
      <c r="B229" s="392"/>
      <c r="C229" s="301"/>
      <c r="D229" s="212" t="s">
        <v>1174</v>
      </c>
      <c r="E229" s="418"/>
      <c r="F229" s="79"/>
      <c r="G229" s="53"/>
      <c r="H229" s="82"/>
      <c r="I229" s="326"/>
      <c r="J229" s="326"/>
      <c r="K229" s="326"/>
      <c r="L229" s="326"/>
      <c r="M229" s="30"/>
      <c r="N229" s="238"/>
    </row>
    <row r="230" ht="19.5" customHeight="1">
      <c r="A230" s="291">
        <f t="shared" si="9"/>
        <v>196</v>
      </c>
      <c r="B230" s="392"/>
      <c r="C230" s="301"/>
      <c r="D230" s="407"/>
      <c r="E230" s="324" t="s">
        <v>1175</v>
      </c>
      <c r="F230" s="65"/>
      <c r="G230" s="53"/>
      <c r="H230" s="82"/>
      <c r="I230" s="326"/>
      <c r="J230" s="326"/>
      <c r="K230" s="326"/>
      <c r="L230" s="325">
        <v>1.0</v>
      </c>
      <c r="M230" s="30"/>
      <c r="N230" s="238"/>
    </row>
    <row r="231" ht="19.5" customHeight="1">
      <c r="A231" s="18"/>
      <c r="B231" s="392"/>
      <c r="C231" s="301"/>
      <c r="D231" s="407"/>
      <c r="E231" s="418"/>
      <c r="F231" s="79"/>
      <c r="G231" s="53"/>
      <c r="H231" s="82"/>
      <c r="I231" s="326"/>
      <c r="J231" s="326"/>
      <c r="K231" s="326"/>
      <c r="L231" s="326"/>
      <c r="M231" s="30"/>
      <c r="N231" s="238"/>
    </row>
    <row r="232">
      <c r="A232" s="254"/>
      <c r="B232" s="255"/>
      <c r="C232" s="256"/>
      <c r="D232" s="257"/>
      <c r="E232" s="419"/>
      <c r="F232" s="258"/>
      <c r="G232" s="259"/>
      <c r="H232" s="258"/>
      <c r="I232" s="420"/>
      <c r="J232" s="420"/>
      <c r="K232" s="421"/>
      <c r="L232" s="421"/>
      <c r="M232" s="255"/>
      <c r="N232" s="258"/>
    </row>
    <row r="233" ht="21.0" customHeight="1">
      <c r="A233" s="422"/>
      <c r="B233" s="423"/>
      <c r="C233" s="424"/>
      <c r="D233" s="425"/>
      <c r="E233" s="426"/>
      <c r="F233" s="427" t="s">
        <v>1176</v>
      </c>
      <c r="G233" s="428"/>
      <c r="H233" s="429"/>
      <c r="I233" s="425">
        <f>COUNTA(E6:E699)</f>
        <v>196</v>
      </c>
      <c r="J233" s="425"/>
      <c r="K233" s="428"/>
      <c r="L233" s="428"/>
      <c r="M233" s="423"/>
      <c r="N233" s="430"/>
    </row>
    <row r="234" ht="21.0" customHeight="1">
      <c r="A234" s="422"/>
      <c r="B234" s="423"/>
      <c r="C234" s="424"/>
      <c r="D234" s="425"/>
      <c r="E234" s="426"/>
      <c r="F234" s="427" t="s">
        <v>1177</v>
      </c>
      <c r="H234" s="429"/>
      <c r="I234" s="425">
        <f>COUNT(I6:I231)</f>
        <v>167</v>
      </c>
      <c r="J234" s="431">
        <f t="shared" ref="J234:J237" si="10">I234/$I$233</f>
        <v>0.8520408163</v>
      </c>
      <c r="K234" s="428"/>
      <c r="L234" s="428"/>
      <c r="M234" s="423"/>
      <c r="N234" s="430"/>
    </row>
    <row r="235" ht="21.0" customHeight="1">
      <c r="A235" s="422"/>
      <c r="B235" s="423"/>
      <c r="C235" s="424"/>
      <c r="D235" s="425"/>
      <c r="E235" s="426"/>
      <c r="F235" s="427" t="s">
        <v>1178</v>
      </c>
      <c r="H235" s="429"/>
      <c r="I235" s="425">
        <f>COUNT(J6:J231)</f>
        <v>13</v>
      </c>
      <c r="J235" s="431">
        <f t="shared" si="10"/>
        <v>0.06632653061</v>
      </c>
      <c r="K235" s="428"/>
      <c r="L235" s="428"/>
      <c r="M235" s="423"/>
      <c r="N235" s="430"/>
    </row>
    <row r="236" ht="21.0" customHeight="1">
      <c r="A236" s="422"/>
      <c r="B236" s="423"/>
      <c r="C236" s="424"/>
      <c r="D236" s="425"/>
      <c r="E236" s="426"/>
      <c r="F236" s="427" t="s">
        <v>1179</v>
      </c>
      <c r="H236" s="429"/>
      <c r="I236" s="425">
        <f>COUNT(K6:K231)</f>
        <v>1</v>
      </c>
      <c r="J236" s="431">
        <f t="shared" si="10"/>
        <v>0.005102040816</v>
      </c>
      <c r="K236" s="428"/>
      <c r="L236" s="428"/>
      <c r="M236" s="423"/>
      <c r="N236" s="430"/>
    </row>
    <row r="237" ht="21.0" customHeight="1">
      <c r="A237" s="422"/>
      <c r="B237" s="423"/>
      <c r="C237" s="424"/>
      <c r="D237" s="425"/>
      <c r="E237" s="426"/>
      <c r="F237" s="427" t="s">
        <v>1180</v>
      </c>
      <c r="H237" s="429"/>
      <c r="I237" s="425">
        <f>COUNT(L6:L231)</f>
        <v>12</v>
      </c>
      <c r="J237" s="431">
        <f t="shared" si="10"/>
        <v>0.0612244898</v>
      </c>
      <c r="K237" s="428"/>
      <c r="L237" s="428"/>
      <c r="M237" s="423"/>
      <c r="N237" s="430"/>
    </row>
    <row r="238" ht="21.0" customHeight="1">
      <c r="A238" s="422"/>
      <c r="B238" s="423"/>
      <c r="C238" s="424"/>
      <c r="D238" s="425"/>
      <c r="E238" s="426"/>
      <c r="F238" s="432"/>
      <c r="G238" s="428"/>
      <c r="H238" s="429"/>
      <c r="I238" s="425"/>
      <c r="J238" s="425"/>
      <c r="K238" s="428"/>
      <c r="L238" s="428"/>
      <c r="M238" s="423"/>
      <c r="N238" s="430"/>
    </row>
    <row r="239">
      <c r="A239" s="433"/>
      <c r="B239" s="434"/>
      <c r="C239" s="435"/>
      <c r="D239" s="436"/>
      <c r="E239" s="437"/>
      <c r="F239" s="438"/>
      <c r="G239" s="439"/>
      <c r="H239" s="238"/>
      <c r="I239" s="439"/>
      <c r="J239" s="439"/>
      <c r="K239" s="439"/>
      <c r="L239" s="439"/>
      <c r="M239" s="434"/>
      <c r="N239" s="258"/>
    </row>
    <row r="240">
      <c r="A240" s="433"/>
      <c r="B240" s="434"/>
      <c r="C240" s="435"/>
      <c r="D240" s="436"/>
      <c r="E240" s="437"/>
      <c r="F240" s="438"/>
      <c r="G240" s="439"/>
      <c r="H240" s="238"/>
      <c r="I240" s="439"/>
      <c r="J240" s="439"/>
      <c r="K240" s="439"/>
      <c r="L240" s="439"/>
      <c r="M240" s="434"/>
      <c r="N240" s="258"/>
    </row>
    <row r="241">
      <c r="A241" s="433"/>
      <c r="B241" s="434"/>
      <c r="C241" s="435"/>
      <c r="D241" s="436"/>
      <c r="E241" s="437"/>
      <c r="F241" s="438"/>
      <c r="G241" s="439"/>
      <c r="H241" s="238"/>
      <c r="I241" s="439"/>
      <c r="J241" s="439"/>
      <c r="K241" s="439"/>
      <c r="L241" s="439"/>
      <c r="M241" s="434"/>
      <c r="N241" s="258"/>
    </row>
    <row r="242">
      <c r="A242" s="433"/>
      <c r="B242" s="434"/>
      <c r="C242" s="435"/>
      <c r="D242" s="436"/>
      <c r="E242" s="437"/>
      <c r="F242" s="438"/>
      <c r="G242" s="439"/>
      <c r="H242" s="238"/>
      <c r="I242" s="439"/>
      <c r="J242" s="439"/>
      <c r="K242" s="439"/>
      <c r="L242" s="439"/>
      <c r="M242" s="434"/>
      <c r="N242" s="258"/>
    </row>
    <row r="243">
      <c r="A243" s="433"/>
      <c r="B243" s="434"/>
      <c r="C243" s="435"/>
      <c r="D243" s="436"/>
      <c r="E243" s="437"/>
      <c r="F243" s="438"/>
      <c r="G243" s="439"/>
      <c r="H243" s="238"/>
      <c r="I243" s="439"/>
      <c r="J243" s="439"/>
      <c r="K243" s="439"/>
      <c r="L243" s="439"/>
      <c r="M243" s="434"/>
      <c r="N243" s="258"/>
    </row>
    <row r="244">
      <c r="A244" s="433"/>
      <c r="B244" s="434"/>
      <c r="C244" s="435"/>
      <c r="D244" s="436"/>
      <c r="E244" s="437"/>
      <c r="F244" s="438"/>
      <c r="G244" s="439"/>
      <c r="H244" s="238"/>
      <c r="I244" s="440"/>
      <c r="J244" s="440"/>
      <c r="K244" s="440"/>
      <c r="L244" s="440"/>
      <c r="M244" s="434"/>
      <c r="N244" s="258"/>
    </row>
    <row r="245">
      <c r="A245" s="433"/>
      <c r="B245" s="434"/>
      <c r="C245" s="435"/>
      <c r="D245" s="436"/>
      <c r="E245" s="437"/>
      <c r="F245" s="238"/>
      <c r="G245" s="439"/>
      <c r="H245" s="238"/>
      <c r="I245" s="440"/>
      <c r="J245" s="440"/>
      <c r="K245" s="440"/>
      <c r="L245" s="440"/>
      <c r="M245" s="434"/>
      <c r="N245" s="258"/>
    </row>
    <row r="246">
      <c r="A246" s="433"/>
      <c r="B246" s="434"/>
      <c r="C246" s="435"/>
      <c r="D246" s="436"/>
      <c r="E246" s="437"/>
      <c r="F246" s="238"/>
      <c r="G246" s="439"/>
      <c r="H246" s="238"/>
      <c r="I246" s="440"/>
      <c r="J246" s="440"/>
      <c r="K246" s="440"/>
      <c r="L246" s="440"/>
      <c r="M246" s="434"/>
      <c r="N246" s="258"/>
    </row>
    <row r="247">
      <c r="A247" s="433"/>
      <c r="B247" s="434"/>
      <c r="C247" s="435"/>
      <c r="D247" s="436"/>
      <c r="E247" s="437"/>
      <c r="F247" s="238"/>
      <c r="G247" s="439"/>
      <c r="H247" s="238"/>
      <c r="I247" s="440"/>
      <c r="J247" s="440"/>
      <c r="K247" s="440"/>
      <c r="L247" s="440"/>
      <c r="M247" s="434"/>
      <c r="N247" s="258"/>
    </row>
    <row r="248">
      <c r="A248" s="433"/>
      <c r="B248" s="434"/>
      <c r="C248" s="435"/>
      <c r="D248" s="436"/>
      <c r="E248" s="437"/>
      <c r="F248" s="238"/>
      <c r="G248" s="439"/>
      <c r="H248" s="238"/>
      <c r="I248" s="440"/>
      <c r="J248" s="440"/>
      <c r="K248" s="440"/>
      <c r="L248" s="440"/>
      <c r="M248" s="434"/>
      <c r="N248" s="258"/>
    </row>
    <row r="249">
      <c r="A249" s="433"/>
      <c r="B249" s="434"/>
      <c r="C249" s="435"/>
      <c r="D249" s="436"/>
      <c r="E249" s="437"/>
      <c r="F249" s="238"/>
      <c r="G249" s="439"/>
      <c r="H249" s="238"/>
      <c r="I249" s="440"/>
      <c r="J249" s="440"/>
      <c r="K249" s="440"/>
      <c r="L249" s="440"/>
      <c r="M249" s="434"/>
      <c r="N249" s="258"/>
    </row>
    <row r="250">
      <c r="A250" s="254"/>
      <c r="B250" s="255"/>
      <c r="C250" s="256"/>
      <c r="D250" s="257"/>
      <c r="E250" s="419"/>
      <c r="F250" s="258"/>
      <c r="G250" s="259"/>
      <c r="H250" s="258"/>
      <c r="I250" s="421"/>
      <c r="J250" s="421"/>
      <c r="K250" s="421"/>
      <c r="L250" s="421"/>
      <c r="M250" s="255"/>
      <c r="N250" s="258"/>
    </row>
    <row r="251">
      <c r="A251" s="254"/>
      <c r="B251" s="255"/>
      <c r="C251" s="256"/>
      <c r="D251" s="257"/>
      <c r="E251" s="419"/>
      <c r="F251" s="258"/>
      <c r="G251" s="259"/>
      <c r="H251" s="258"/>
      <c r="I251" s="421"/>
      <c r="J251" s="421"/>
      <c r="K251" s="421"/>
      <c r="L251" s="421"/>
      <c r="M251" s="255"/>
      <c r="N251" s="258"/>
    </row>
    <row r="252">
      <c r="A252" s="254"/>
      <c r="B252" s="255"/>
      <c r="C252" s="256"/>
      <c r="D252" s="257"/>
      <c r="E252" s="419"/>
      <c r="F252" s="258"/>
      <c r="G252" s="259"/>
      <c r="H252" s="258"/>
      <c r="I252" s="421"/>
      <c r="J252" s="421"/>
      <c r="K252" s="421"/>
      <c r="L252" s="421"/>
      <c r="M252" s="255"/>
      <c r="N252" s="258"/>
    </row>
    <row r="253">
      <c r="A253" s="254"/>
      <c r="B253" s="255"/>
      <c r="C253" s="256"/>
      <c r="D253" s="257"/>
      <c r="E253" s="419"/>
      <c r="F253" s="258"/>
      <c r="G253" s="259"/>
      <c r="H253" s="258"/>
      <c r="I253" s="421"/>
      <c r="J253" s="421"/>
      <c r="K253" s="421"/>
      <c r="L253" s="421"/>
      <c r="M253" s="255"/>
      <c r="N253" s="258"/>
    </row>
    <row r="254">
      <c r="A254" s="254"/>
      <c r="B254" s="255"/>
      <c r="C254" s="256"/>
      <c r="D254" s="257"/>
      <c r="E254" s="419"/>
      <c r="F254" s="258"/>
      <c r="G254" s="259"/>
      <c r="H254" s="258"/>
      <c r="I254" s="421"/>
      <c r="J254" s="421"/>
      <c r="K254" s="421"/>
      <c r="L254" s="421"/>
      <c r="M254" s="255"/>
      <c r="N254" s="258"/>
    </row>
    <row r="255">
      <c r="A255" s="254"/>
      <c r="B255" s="255"/>
      <c r="C255" s="256"/>
      <c r="D255" s="257"/>
      <c r="E255" s="419"/>
      <c r="F255" s="258"/>
      <c r="G255" s="259"/>
      <c r="H255" s="258"/>
      <c r="I255" s="421"/>
      <c r="J255" s="421"/>
      <c r="K255" s="421"/>
      <c r="L255" s="421"/>
      <c r="M255" s="255"/>
      <c r="N255" s="258"/>
    </row>
    <row r="256">
      <c r="A256" s="254"/>
      <c r="B256" s="255"/>
      <c r="C256" s="256"/>
      <c r="D256" s="257"/>
      <c r="E256" s="419"/>
      <c r="F256" s="258"/>
      <c r="G256" s="259"/>
      <c r="H256" s="258"/>
      <c r="I256" s="421"/>
      <c r="J256" s="421"/>
      <c r="K256" s="421"/>
      <c r="L256" s="421"/>
      <c r="M256" s="255"/>
      <c r="N256" s="258"/>
    </row>
    <row r="257">
      <c r="A257" s="254"/>
      <c r="B257" s="255"/>
      <c r="C257" s="256"/>
      <c r="D257" s="257"/>
      <c r="E257" s="419"/>
      <c r="F257" s="258"/>
      <c r="G257" s="259"/>
      <c r="H257" s="258"/>
      <c r="I257" s="421"/>
      <c r="J257" s="421"/>
      <c r="K257" s="421"/>
      <c r="L257" s="421"/>
      <c r="M257" s="255"/>
      <c r="N257" s="258"/>
    </row>
    <row r="258">
      <c r="A258" s="254"/>
      <c r="B258" s="255"/>
      <c r="C258" s="256"/>
      <c r="D258" s="257"/>
      <c r="E258" s="419"/>
      <c r="F258" s="258"/>
      <c r="G258" s="259"/>
      <c r="H258" s="258"/>
      <c r="I258" s="421"/>
      <c r="J258" s="421"/>
      <c r="K258" s="421"/>
      <c r="L258" s="421"/>
      <c r="M258" s="255"/>
      <c r="N258" s="258"/>
    </row>
    <row r="259">
      <c r="A259" s="254"/>
      <c r="B259" s="255"/>
      <c r="C259" s="256"/>
      <c r="D259" s="257"/>
      <c r="E259" s="419"/>
      <c r="F259" s="258"/>
      <c r="G259" s="259"/>
      <c r="H259" s="258"/>
      <c r="I259" s="421"/>
      <c r="J259" s="421"/>
      <c r="K259" s="421"/>
      <c r="L259" s="421"/>
      <c r="M259" s="255"/>
      <c r="N259" s="258"/>
    </row>
    <row r="260">
      <c r="A260" s="254"/>
      <c r="B260" s="255"/>
      <c r="C260" s="256"/>
      <c r="D260" s="257"/>
      <c r="E260" s="419"/>
      <c r="F260" s="258"/>
      <c r="G260" s="259"/>
      <c r="H260" s="258"/>
      <c r="I260" s="421"/>
      <c r="J260" s="421"/>
      <c r="K260" s="421"/>
      <c r="L260" s="421"/>
      <c r="M260" s="255"/>
      <c r="N260" s="258"/>
    </row>
    <row r="261">
      <c r="A261" s="254"/>
      <c r="B261" s="255"/>
      <c r="C261" s="256"/>
      <c r="D261" s="257"/>
      <c r="E261" s="419"/>
      <c r="F261" s="258"/>
      <c r="G261" s="259"/>
      <c r="H261" s="258"/>
      <c r="I261" s="421"/>
      <c r="J261" s="421"/>
      <c r="K261" s="421"/>
      <c r="L261" s="421"/>
      <c r="M261" s="255"/>
      <c r="N261" s="258"/>
    </row>
    <row r="262">
      <c r="A262" s="254"/>
      <c r="B262" s="255"/>
      <c r="C262" s="256"/>
      <c r="D262" s="257"/>
      <c r="E262" s="419"/>
      <c r="F262" s="258"/>
      <c r="G262" s="259"/>
      <c r="H262" s="258"/>
      <c r="I262" s="421"/>
      <c r="J262" s="421"/>
      <c r="K262" s="421"/>
      <c r="L262" s="421"/>
      <c r="M262" s="255"/>
      <c r="N262" s="258"/>
    </row>
    <row r="263">
      <c r="A263" s="254"/>
      <c r="B263" s="255"/>
      <c r="C263" s="256"/>
      <c r="D263" s="257"/>
      <c r="E263" s="419"/>
      <c r="F263" s="258"/>
      <c r="G263" s="259"/>
      <c r="H263" s="258"/>
      <c r="I263" s="421"/>
      <c r="J263" s="421"/>
      <c r="K263" s="421"/>
      <c r="L263" s="421"/>
      <c r="M263" s="255"/>
      <c r="N263" s="258"/>
    </row>
    <row r="264">
      <c r="A264" s="254"/>
      <c r="B264" s="255"/>
      <c r="C264" s="256"/>
      <c r="D264" s="257"/>
      <c r="E264" s="419"/>
      <c r="F264" s="258"/>
      <c r="G264" s="259"/>
      <c r="H264" s="258"/>
      <c r="I264" s="421"/>
      <c r="J264" s="421"/>
      <c r="K264" s="421"/>
      <c r="L264" s="421"/>
      <c r="M264" s="255"/>
      <c r="N264" s="258"/>
    </row>
    <row r="265">
      <c r="A265" s="254"/>
      <c r="B265" s="255"/>
      <c r="C265" s="256"/>
      <c r="D265" s="257"/>
      <c r="E265" s="419"/>
      <c r="F265" s="258"/>
      <c r="G265" s="259"/>
      <c r="H265" s="258"/>
      <c r="I265" s="421"/>
      <c r="J265" s="421"/>
      <c r="K265" s="421"/>
      <c r="L265" s="421"/>
      <c r="M265" s="255"/>
      <c r="N265" s="258"/>
    </row>
    <row r="266">
      <c r="A266" s="254"/>
      <c r="B266" s="255"/>
      <c r="C266" s="256"/>
      <c r="D266" s="257"/>
      <c r="E266" s="419"/>
      <c r="F266" s="258"/>
      <c r="G266" s="259"/>
      <c r="H266" s="258"/>
      <c r="I266" s="421"/>
      <c r="J266" s="421"/>
      <c r="K266" s="421"/>
      <c r="L266" s="421"/>
      <c r="M266" s="255"/>
      <c r="N266" s="258"/>
    </row>
    <row r="267">
      <c r="A267" s="254"/>
      <c r="B267" s="255"/>
      <c r="C267" s="256"/>
      <c r="D267" s="257"/>
      <c r="E267" s="419"/>
      <c r="F267" s="258"/>
      <c r="G267" s="259"/>
      <c r="H267" s="258"/>
      <c r="I267" s="421"/>
      <c r="J267" s="421"/>
      <c r="K267" s="421"/>
      <c r="L267" s="421"/>
      <c r="M267" s="255"/>
      <c r="N267" s="258"/>
    </row>
    <row r="268">
      <c r="A268" s="254"/>
      <c r="B268" s="255"/>
      <c r="C268" s="256"/>
      <c r="D268" s="257"/>
      <c r="E268" s="419"/>
      <c r="F268" s="258"/>
      <c r="G268" s="259"/>
      <c r="H268" s="258"/>
      <c r="I268" s="421"/>
      <c r="J268" s="421"/>
      <c r="K268" s="421"/>
      <c r="L268" s="421"/>
      <c r="M268" s="255"/>
      <c r="N268" s="258"/>
    </row>
    <row r="269">
      <c r="A269" s="254"/>
      <c r="B269" s="255"/>
      <c r="C269" s="256"/>
      <c r="D269" s="257"/>
      <c r="E269" s="419"/>
      <c r="F269" s="258"/>
      <c r="G269" s="259"/>
      <c r="H269" s="258"/>
      <c r="I269" s="421"/>
      <c r="J269" s="421"/>
      <c r="K269" s="421"/>
      <c r="L269" s="421"/>
      <c r="M269" s="255"/>
      <c r="N269" s="258"/>
    </row>
    <row r="270">
      <c r="A270" s="254"/>
      <c r="B270" s="255"/>
      <c r="C270" s="256"/>
      <c r="D270" s="257"/>
      <c r="E270" s="419"/>
      <c r="F270" s="258"/>
      <c r="G270" s="259"/>
      <c r="H270" s="258"/>
      <c r="I270" s="421"/>
      <c r="J270" s="421"/>
      <c r="K270" s="421"/>
      <c r="L270" s="421"/>
      <c r="M270" s="255"/>
      <c r="N270" s="258"/>
    </row>
    <row r="271">
      <c r="A271" s="254"/>
      <c r="B271" s="255"/>
      <c r="C271" s="256"/>
      <c r="D271" s="257"/>
      <c r="E271" s="419"/>
      <c r="F271" s="258"/>
      <c r="G271" s="259"/>
      <c r="H271" s="258"/>
      <c r="I271" s="421"/>
      <c r="J271" s="421"/>
      <c r="K271" s="421"/>
      <c r="L271" s="421"/>
      <c r="M271" s="255"/>
      <c r="N271" s="258"/>
    </row>
    <row r="272">
      <c r="A272" s="254"/>
      <c r="B272" s="255"/>
      <c r="C272" s="256"/>
      <c r="D272" s="257"/>
      <c r="E272" s="419"/>
      <c r="F272" s="258"/>
      <c r="G272" s="259"/>
      <c r="H272" s="258"/>
      <c r="I272" s="421"/>
      <c r="J272" s="421"/>
      <c r="K272" s="421"/>
      <c r="L272" s="421"/>
      <c r="M272" s="255"/>
      <c r="N272" s="258"/>
    </row>
    <row r="273">
      <c r="A273" s="254"/>
      <c r="B273" s="255"/>
      <c r="C273" s="256"/>
      <c r="D273" s="257"/>
      <c r="E273" s="419"/>
      <c r="F273" s="258"/>
      <c r="G273" s="259"/>
      <c r="H273" s="258"/>
      <c r="I273" s="421"/>
      <c r="J273" s="421"/>
      <c r="K273" s="421"/>
      <c r="L273" s="421"/>
      <c r="M273" s="255"/>
      <c r="N273" s="258"/>
    </row>
    <row r="274">
      <c r="A274" s="254"/>
      <c r="B274" s="255"/>
      <c r="C274" s="256"/>
      <c r="D274" s="257"/>
      <c r="E274" s="419"/>
      <c r="F274" s="258"/>
      <c r="G274" s="259"/>
      <c r="H274" s="258"/>
      <c r="I274" s="421"/>
      <c r="J274" s="421"/>
      <c r="K274" s="421"/>
      <c r="L274" s="421"/>
      <c r="M274" s="255"/>
      <c r="N274" s="258"/>
    </row>
    <row r="275">
      <c r="A275" s="254"/>
      <c r="B275" s="255"/>
      <c r="C275" s="256"/>
      <c r="D275" s="257"/>
      <c r="E275" s="419"/>
      <c r="F275" s="258"/>
      <c r="G275" s="259"/>
      <c r="H275" s="258"/>
      <c r="I275" s="421"/>
      <c r="J275" s="421"/>
      <c r="K275" s="421"/>
      <c r="L275" s="421"/>
      <c r="M275" s="255"/>
      <c r="N275" s="258"/>
    </row>
    <row r="276">
      <c r="A276" s="254"/>
      <c r="B276" s="255"/>
      <c r="C276" s="256"/>
      <c r="D276" s="257"/>
      <c r="E276" s="419"/>
      <c r="F276" s="258"/>
      <c r="G276" s="259"/>
      <c r="H276" s="258"/>
      <c r="I276" s="421"/>
      <c r="J276" s="421"/>
      <c r="K276" s="421"/>
      <c r="L276" s="421"/>
      <c r="M276" s="255"/>
      <c r="N276" s="258"/>
    </row>
    <row r="277">
      <c r="A277" s="254"/>
      <c r="B277" s="255"/>
      <c r="C277" s="256"/>
      <c r="D277" s="257"/>
      <c r="E277" s="419"/>
      <c r="F277" s="258"/>
      <c r="G277" s="259"/>
      <c r="H277" s="258"/>
      <c r="I277" s="421"/>
      <c r="J277" s="421"/>
      <c r="K277" s="421"/>
      <c r="L277" s="421"/>
      <c r="M277" s="255"/>
      <c r="N277" s="258"/>
    </row>
    <row r="278">
      <c r="A278" s="254"/>
      <c r="B278" s="255"/>
      <c r="C278" s="256"/>
      <c r="D278" s="257"/>
      <c r="E278" s="419"/>
      <c r="F278" s="258"/>
      <c r="G278" s="259"/>
      <c r="H278" s="258"/>
      <c r="I278" s="421"/>
      <c r="J278" s="421"/>
      <c r="K278" s="421"/>
      <c r="L278" s="421"/>
      <c r="M278" s="255"/>
      <c r="N278" s="258"/>
    </row>
    <row r="279">
      <c r="A279" s="254"/>
      <c r="B279" s="255"/>
      <c r="C279" s="256"/>
      <c r="D279" s="257"/>
      <c r="E279" s="419"/>
      <c r="F279" s="258"/>
      <c r="G279" s="259"/>
      <c r="H279" s="258"/>
      <c r="I279" s="421"/>
      <c r="J279" s="421"/>
      <c r="K279" s="421"/>
      <c r="L279" s="421"/>
      <c r="M279" s="255"/>
      <c r="N279" s="258"/>
    </row>
    <row r="280">
      <c r="A280" s="254"/>
      <c r="B280" s="255"/>
      <c r="C280" s="256"/>
      <c r="D280" s="257"/>
      <c r="E280" s="419"/>
      <c r="F280" s="258"/>
      <c r="G280" s="259"/>
      <c r="H280" s="258"/>
      <c r="I280" s="421"/>
      <c r="J280" s="421"/>
      <c r="K280" s="421"/>
      <c r="L280" s="421"/>
      <c r="M280" s="255"/>
      <c r="N280" s="258"/>
    </row>
    <row r="281">
      <c r="A281" s="254"/>
      <c r="B281" s="255"/>
      <c r="C281" s="256"/>
      <c r="D281" s="257"/>
      <c r="E281" s="419"/>
      <c r="F281" s="258"/>
      <c r="G281" s="259"/>
      <c r="H281" s="258"/>
      <c r="I281" s="421"/>
      <c r="J281" s="421"/>
      <c r="K281" s="421"/>
      <c r="L281" s="421"/>
      <c r="M281" s="255"/>
      <c r="N281" s="258"/>
    </row>
    <row r="282">
      <c r="A282" s="254"/>
      <c r="B282" s="255"/>
      <c r="C282" s="256"/>
      <c r="D282" s="257"/>
      <c r="E282" s="419"/>
      <c r="F282" s="258"/>
      <c r="G282" s="259"/>
      <c r="H282" s="258"/>
      <c r="I282" s="421"/>
      <c r="J282" s="421"/>
      <c r="K282" s="421"/>
      <c r="L282" s="421"/>
      <c r="M282" s="255"/>
      <c r="N282" s="258"/>
    </row>
    <row r="283">
      <c r="A283" s="254"/>
      <c r="B283" s="255"/>
      <c r="C283" s="256"/>
      <c r="D283" s="257"/>
      <c r="E283" s="419"/>
      <c r="F283" s="258"/>
      <c r="G283" s="259"/>
      <c r="H283" s="258"/>
      <c r="I283" s="421"/>
      <c r="J283" s="421"/>
      <c r="K283" s="421"/>
      <c r="L283" s="421"/>
      <c r="M283" s="255"/>
      <c r="N283" s="258"/>
    </row>
    <row r="284">
      <c r="A284" s="254"/>
      <c r="B284" s="255"/>
      <c r="C284" s="256"/>
      <c r="D284" s="257"/>
      <c r="E284" s="419"/>
      <c r="F284" s="258"/>
      <c r="G284" s="259"/>
      <c r="H284" s="258"/>
      <c r="I284" s="421"/>
      <c r="J284" s="421"/>
      <c r="K284" s="421"/>
      <c r="L284" s="421"/>
      <c r="M284" s="255"/>
      <c r="N284" s="258"/>
    </row>
    <row r="285">
      <c r="A285" s="254"/>
      <c r="B285" s="255"/>
      <c r="C285" s="256"/>
      <c r="D285" s="257"/>
      <c r="E285" s="419"/>
      <c r="F285" s="258"/>
      <c r="G285" s="259"/>
      <c r="H285" s="258"/>
      <c r="I285" s="421"/>
      <c r="J285" s="421"/>
      <c r="K285" s="421"/>
      <c r="L285" s="421"/>
      <c r="M285" s="255"/>
      <c r="N285" s="258"/>
    </row>
    <row r="286">
      <c r="A286" s="254"/>
      <c r="B286" s="255"/>
      <c r="C286" s="256"/>
      <c r="D286" s="257"/>
      <c r="E286" s="419"/>
      <c r="F286" s="258"/>
      <c r="G286" s="259"/>
      <c r="H286" s="258"/>
      <c r="I286" s="421"/>
      <c r="J286" s="421"/>
      <c r="K286" s="421"/>
      <c r="L286" s="421"/>
      <c r="M286" s="255"/>
      <c r="N286" s="258"/>
    </row>
    <row r="287">
      <c r="A287" s="254"/>
      <c r="B287" s="255"/>
      <c r="C287" s="256"/>
      <c r="D287" s="257"/>
      <c r="E287" s="419"/>
      <c r="F287" s="258"/>
      <c r="G287" s="259"/>
      <c r="H287" s="258"/>
      <c r="I287" s="421"/>
      <c r="J287" s="421"/>
      <c r="K287" s="421"/>
      <c r="L287" s="421"/>
      <c r="M287" s="255"/>
      <c r="N287" s="258"/>
    </row>
    <row r="288">
      <c r="A288" s="254"/>
      <c r="B288" s="255"/>
      <c r="C288" s="256"/>
      <c r="D288" s="257"/>
      <c r="E288" s="419"/>
      <c r="F288" s="258"/>
      <c r="G288" s="259"/>
      <c r="H288" s="258"/>
      <c r="I288" s="421"/>
      <c r="J288" s="421"/>
      <c r="K288" s="421"/>
      <c r="L288" s="421"/>
      <c r="M288" s="255"/>
      <c r="N288" s="258"/>
    </row>
    <row r="289">
      <c r="A289" s="254"/>
      <c r="B289" s="255"/>
      <c r="C289" s="256"/>
      <c r="D289" s="257"/>
      <c r="E289" s="419"/>
      <c r="F289" s="258"/>
      <c r="G289" s="259"/>
      <c r="H289" s="258"/>
      <c r="I289" s="421"/>
      <c r="J289" s="421"/>
      <c r="K289" s="421"/>
      <c r="L289" s="421"/>
      <c r="M289" s="255"/>
      <c r="N289" s="258"/>
    </row>
    <row r="290">
      <c r="A290" s="254"/>
      <c r="B290" s="255"/>
      <c r="C290" s="256"/>
      <c r="D290" s="257"/>
      <c r="E290" s="419"/>
      <c r="F290" s="258"/>
      <c r="G290" s="259"/>
      <c r="H290" s="258"/>
      <c r="I290" s="421"/>
      <c r="J290" s="421"/>
      <c r="K290" s="421"/>
      <c r="L290" s="421"/>
      <c r="M290" s="255"/>
      <c r="N290" s="258"/>
    </row>
    <row r="291">
      <c r="A291" s="254"/>
      <c r="B291" s="255"/>
      <c r="C291" s="256"/>
      <c r="D291" s="257"/>
      <c r="E291" s="419"/>
      <c r="F291" s="258"/>
      <c r="G291" s="259"/>
      <c r="H291" s="258"/>
      <c r="I291" s="421"/>
      <c r="J291" s="421"/>
      <c r="K291" s="421"/>
      <c r="L291" s="421"/>
      <c r="M291" s="255"/>
      <c r="N291" s="258"/>
    </row>
    <row r="292">
      <c r="A292" s="254"/>
      <c r="B292" s="255"/>
      <c r="C292" s="256"/>
      <c r="D292" s="257"/>
      <c r="E292" s="419"/>
      <c r="F292" s="258"/>
      <c r="G292" s="259"/>
      <c r="H292" s="258"/>
      <c r="I292" s="421"/>
      <c r="J292" s="421"/>
      <c r="K292" s="421"/>
      <c r="L292" s="421"/>
      <c r="M292" s="255"/>
      <c r="N292" s="258"/>
    </row>
    <row r="293">
      <c r="A293" s="254"/>
      <c r="B293" s="255"/>
      <c r="C293" s="256"/>
      <c r="D293" s="257"/>
      <c r="E293" s="419"/>
      <c r="F293" s="258"/>
      <c r="G293" s="259"/>
      <c r="H293" s="258"/>
      <c r="I293" s="421"/>
      <c r="J293" s="421"/>
      <c r="K293" s="421"/>
      <c r="L293" s="421"/>
      <c r="M293" s="255"/>
      <c r="N293" s="258"/>
    </row>
    <row r="294">
      <c r="A294" s="254"/>
      <c r="B294" s="255"/>
      <c r="C294" s="256"/>
      <c r="D294" s="257"/>
      <c r="E294" s="419"/>
      <c r="F294" s="258"/>
      <c r="G294" s="259"/>
      <c r="H294" s="258"/>
      <c r="I294" s="421"/>
      <c r="J294" s="421"/>
      <c r="K294" s="421"/>
      <c r="L294" s="421"/>
      <c r="M294" s="255"/>
      <c r="N294" s="258"/>
    </row>
    <row r="295">
      <c r="A295" s="254"/>
      <c r="B295" s="255"/>
      <c r="C295" s="256"/>
      <c r="D295" s="257"/>
      <c r="E295" s="419"/>
      <c r="F295" s="258"/>
      <c r="G295" s="259"/>
      <c r="H295" s="258"/>
      <c r="I295" s="421"/>
      <c r="J295" s="421"/>
      <c r="K295" s="421"/>
      <c r="L295" s="421"/>
      <c r="M295" s="255"/>
      <c r="N295" s="258"/>
    </row>
    <row r="296">
      <c r="A296" s="254"/>
      <c r="B296" s="255"/>
      <c r="C296" s="256"/>
      <c r="D296" s="257"/>
      <c r="E296" s="419"/>
      <c r="F296" s="258"/>
      <c r="G296" s="259"/>
      <c r="H296" s="258"/>
      <c r="I296" s="421"/>
      <c r="J296" s="421"/>
      <c r="K296" s="421"/>
      <c r="L296" s="421"/>
      <c r="M296" s="255"/>
      <c r="N296" s="258"/>
    </row>
    <row r="297">
      <c r="A297" s="254"/>
      <c r="B297" s="255"/>
      <c r="C297" s="256"/>
      <c r="D297" s="257"/>
      <c r="E297" s="419"/>
      <c r="F297" s="258"/>
      <c r="G297" s="259"/>
      <c r="H297" s="258"/>
      <c r="I297" s="421"/>
      <c r="J297" s="421"/>
      <c r="K297" s="421"/>
      <c r="L297" s="421"/>
      <c r="M297" s="255"/>
      <c r="N297" s="258"/>
    </row>
    <row r="298">
      <c r="A298" s="254"/>
      <c r="B298" s="255"/>
      <c r="C298" s="256"/>
      <c r="D298" s="257"/>
      <c r="E298" s="419"/>
      <c r="F298" s="258"/>
      <c r="G298" s="259"/>
      <c r="H298" s="258"/>
      <c r="I298" s="421"/>
      <c r="J298" s="421"/>
      <c r="K298" s="421"/>
      <c r="L298" s="421"/>
      <c r="M298" s="255"/>
      <c r="N298" s="258"/>
    </row>
    <row r="299">
      <c r="A299" s="254"/>
      <c r="B299" s="255"/>
      <c r="C299" s="256"/>
      <c r="D299" s="257"/>
      <c r="E299" s="419"/>
      <c r="F299" s="258"/>
      <c r="G299" s="259"/>
      <c r="H299" s="258"/>
      <c r="I299" s="421"/>
      <c r="J299" s="421"/>
      <c r="K299" s="421"/>
      <c r="L299" s="421"/>
      <c r="M299" s="255"/>
      <c r="N299" s="258"/>
    </row>
    <row r="300">
      <c r="A300" s="254"/>
      <c r="B300" s="255"/>
      <c r="C300" s="256"/>
      <c r="D300" s="257"/>
      <c r="E300" s="419"/>
      <c r="F300" s="258"/>
      <c r="G300" s="259"/>
      <c r="H300" s="258"/>
      <c r="I300" s="421"/>
      <c r="J300" s="421"/>
      <c r="K300" s="421"/>
      <c r="L300" s="421"/>
      <c r="M300" s="255"/>
      <c r="N300" s="258"/>
    </row>
    <row r="301">
      <c r="A301" s="254"/>
      <c r="B301" s="255"/>
      <c r="C301" s="256"/>
      <c r="D301" s="257"/>
      <c r="E301" s="419"/>
      <c r="F301" s="258"/>
      <c r="G301" s="259"/>
      <c r="H301" s="258"/>
      <c r="I301" s="421"/>
      <c r="J301" s="421"/>
      <c r="K301" s="421"/>
      <c r="L301" s="421"/>
      <c r="M301" s="255"/>
      <c r="N301" s="258"/>
    </row>
    <row r="302">
      <c r="A302" s="254"/>
      <c r="B302" s="255"/>
      <c r="C302" s="256"/>
      <c r="D302" s="257"/>
      <c r="E302" s="419"/>
      <c r="F302" s="258"/>
      <c r="G302" s="259"/>
      <c r="H302" s="258"/>
      <c r="I302" s="421"/>
      <c r="J302" s="421"/>
      <c r="K302" s="421"/>
      <c r="L302" s="421"/>
      <c r="M302" s="255"/>
      <c r="N302" s="258"/>
    </row>
    <row r="303">
      <c r="A303" s="254"/>
      <c r="B303" s="255"/>
      <c r="C303" s="256"/>
      <c r="D303" s="257"/>
      <c r="E303" s="419"/>
      <c r="F303" s="258"/>
      <c r="G303" s="259"/>
      <c r="H303" s="258"/>
      <c r="I303" s="421"/>
      <c r="J303" s="421"/>
      <c r="K303" s="421"/>
      <c r="L303" s="421"/>
      <c r="M303" s="255"/>
      <c r="N303" s="258"/>
    </row>
    <row r="304">
      <c r="A304" s="254"/>
      <c r="B304" s="255"/>
      <c r="C304" s="256"/>
      <c r="D304" s="257"/>
      <c r="E304" s="419"/>
      <c r="F304" s="258"/>
      <c r="G304" s="259"/>
      <c r="H304" s="258"/>
      <c r="I304" s="421"/>
      <c r="J304" s="421"/>
      <c r="K304" s="421"/>
      <c r="L304" s="421"/>
      <c r="M304" s="255"/>
      <c r="N304" s="258"/>
    </row>
    <row r="305">
      <c r="A305" s="254"/>
      <c r="B305" s="255"/>
      <c r="C305" s="256"/>
      <c r="D305" s="257"/>
      <c r="E305" s="419"/>
      <c r="F305" s="258"/>
      <c r="G305" s="259"/>
      <c r="H305" s="258"/>
      <c r="I305" s="421"/>
      <c r="J305" s="421"/>
      <c r="K305" s="421"/>
      <c r="L305" s="421"/>
      <c r="M305" s="255"/>
      <c r="N305" s="258"/>
    </row>
    <row r="306">
      <c r="A306" s="254"/>
      <c r="B306" s="255"/>
      <c r="C306" s="256"/>
      <c r="D306" s="257"/>
      <c r="E306" s="419"/>
      <c r="F306" s="258"/>
      <c r="G306" s="259"/>
      <c r="H306" s="258"/>
      <c r="I306" s="421"/>
      <c r="J306" s="421"/>
      <c r="K306" s="421"/>
      <c r="L306" s="421"/>
      <c r="M306" s="255"/>
      <c r="N306" s="258"/>
    </row>
    <row r="307">
      <c r="A307" s="254"/>
      <c r="B307" s="255"/>
      <c r="C307" s="256"/>
      <c r="D307" s="257"/>
      <c r="E307" s="419"/>
      <c r="F307" s="258"/>
      <c r="G307" s="259"/>
      <c r="H307" s="258"/>
      <c r="I307" s="421"/>
      <c r="J307" s="421"/>
      <c r="K307" s="421"/>
      <c r="L307" s="421"/>
      <c r="M307" s="255"/>
      <c r="N307" s="258"/>
    </row>
    <row r="308">
      <c r="A308" s="254"/>
      <c r="B308" s="255"/>
      <c r="C308" s="256"/>
      <c r="D308" s="257"/>
      <c r="E308" s="419"/>
      <c r="F308" s="258"/>
      <c r="G308" s="259"/>
      <c r="H308" s="258"/>
      <c r="I308" s="421"/>
      <c r="J308" s="421"/>
      <c r="K308" s="421"/>
      <c r="L308" s="421"/>
      <c r="M308" s="255"/>
      <c r="N308" s="258"/>
    </row>
    <row r="309">
      <c r="A309" s="254"/>
      <c r="B309" s="255"/>
      <c r="C309" s="256"/>
      <c r="D309" s="257"/>
      <c r="E309" s="419"/>
      <c r="F309" s="258"/>
      <c r="G309" s="259"/>
      <c r="H309" s="258"/>
      <c r="I309" s="421"/>
      <c r="J309" s="421"/>
      <c r="K309" s="421"/>
      <c r="L309" s="421"/>
      <c r="M309" s="255"/>
      <c r="N309" s="258"/>
    </row>
    <row r="310">
      <c r="A310" s="254"/>
      <c r="B310" s="255"/>
      <c r="C310" s="256"/>
      <c r="D310" s="257"/>
      <c r="E310" s="419"/>
      <c r="F310" s="258"/>
      <c r="G310" s="259"/>
      <c r="H310" s="258"/>
      <c r="I310" s="421"/>
      <c r="J310" s="421"/>
      <c r="K310" s="421"/>
      <c r="L310" s="421"/>
      <c r="M310" s="255"/>
      <c r="N310" s="258"/>
    </row>
    <row r="311">
      <c r="A311" s="254"/>
      <c r="B311" s="255"/>
      <c r="C311" s="256"/>
      <c r="D311" s="257"/>
      <c r="E311" s="419"/>
      <c r="F311" s="258"/>
      <c r="G311" s="259"/>
      <c r="H311" s="258"/>
      <c r="I311" s="421"/>
      <c r="J311" s="421"/>
      <c r="K311" s="421"/>
      <c r="L311" s="421"/>
      <c r="M311" s="255"/>
      <c r="N311" s="258"/>
    </row>
    <row r="312">
      <c r="A312" s="254"/>
      <c r="B312" s="255"/>
      <c r="C312" s="256"/>
      <c r="D312" s="257"/>
      <c r="E312" s="419"/>
      <c r="F312" s="258"/>
      <c r="G312" s="259"/>
      <c r="H312" s="258"/>
      <c r="I312" s="421"/>
      <c r="J312" s="421"/>
      <c r="K312" s="421"/>
      <c r="L312" s="421"/>
      <c r="M312" s="255"/>
      <c r="N312" s="258"/>
    </row>
    <row r="313">
      <c r="A313" s="254"/>
      <c r="B313" s="255"/>
      <c r="C313" s="256"/>
      <c r="D313" s="257"/>
      <c r="E313" s="419"/>
      <c r="F313" s="258"/>
      <c r="G313" s="259"/>
      <c r="H313" s="258"/>
      <c r="I313" s="421"/>
      <c r="J313" s="421"/>
      <c r="K313" s="421"/>
      <c r="L313" s="421"/>
      <c r="M313" s="255"/>
      <c r="N313" s="258"/>
    </row>
    <row r="314">
      <c r="A314" s="254"/>
      <c r="B314" s="255"/>
      <c r="C314" s="256"/>
      <c r="D314" s="257"/>
      <c r="E314" s="419"/>
      <c r="F314" s="258"/>
      <c r="G314" s="259"/>
      <c r="H314" s="258"/>
      <c r="I314" s="421"/>
      <c r="J314" s="421"/>
      <c r="K314" s="421"/>
      <c r="L314" s="421"/>
      <c r="M314" s="255"/>
      <c r="N314" s="258"/>
    </row>
    <row r="315">
      <c r="A315" s="254"/>
      <c r="B315" s="255"/>
      <c r="C315" s="256"/>
      <c r="D315" s="257"/>
      <c r="E315" s="419"/>
      <c r="F315" s="258"/>
      <c r="G315" s="259"/>
      <c r="H315" s="258"/>
      <c r="I315" s="421"/>
      <c r="J315" s="421"/>
      <c r="K315" s="421"/>
      <c r="L315" s="421"/>
      <c r="M315" s="255"/>
      <c r="N315" s="258"/>
    </row>
    <row r="316">
      <c r="A316" s="254"/>
      <c r="B316" s="255"/>
      <c r="C316" s="256"/>
      <c r="D316" s="257"/>
      <c r="E316" s="419"/>
      <c r="F316" s="258"/>
      <c r="G316" s="259"/>
      <c r="H316" s="258"/>
      <c r="I316" s="421"/>
      <c r="J316" s="421"/>
      <c r="K316" s="421"/>
      <c r="L316" s="421"/>
      <c r="M316" s="255"/>
      <c r="N316" s="258"/>
    </row>
    <row r="317">
      <c r="A317" s="254"/>
      <c r="B317" s="255"/>
      <c r="C317" s="256"/>
      <c r="D317" s="257"/>
      <c r="E317" s="419"/>
      <c r="F317" s="258"/>
      <c r="G317" s="259"/>
      <c r="H317" s="258"/>
      <c r="I317" s="421"/>
      <c r="J317" s="421"/>
      <c r="K317" s="421"/>
      <c r="L317" s="421"/>
      <c r="M317" s="255"/>
      <c r="N317" s="258"/>
    </row>
    <row r="318">
      <c r="A318" s="254"/>
      <c r="B318" s="255"/>
      <c r="C318" s="256"/>
      <c r="D318" s="257"/>
      <c r="E318" s="419"/>
      <c r="F318" s="258"/>
      <c r="G318" s="259"/>
      <c r="H318" s="258"/>
      <c r="I318" s="421"/>
      <c r="J318" s="421"/>
      <c r="K318" s="421"/>
      <c r="L318" s="421"/>
      <c r="M318" s="255"/>
      <c r="N318" s="258"/>
    </row>
    <row r="319">
      <c r="A319" s="254"/>
      <c r="B319" s="255"/>
      <c r="C319" s="256"/>
      <c r="D319" s="257"/>
      <c r="E319" s="419"/>
      <c r="F319" s="258"/>
      <c r="G319" s="259"/>
      <c r="H319" s="258"/>
      <c r="I319" s="421"/>
      <c r="J319" s="421"/>
      <c r="K319" s="421"/>
      <c r="L319" s="421"/>
      <c r="M319" s="255"/>
      <c r="N319" s="258"/>
    </row>
    <row r="320">
      <c r="A320" s="254"/>
      <c r="B320" s="255"/>
      <c r="C320" s="256"/>
      <c r="D320" s="257"/>
      <c r="E320" s="419"/>
      <c r="F320" s="258"/>
      <c r="G320" s="259"/>
      <c r="H320" s="258"/>
      <c r="I320" s="421"/>
      <c r="J320" s="421"/>
      <c r="K320" s="421"/>
      <c r="L320" s="421"/>
      <c r="M320" s="255"/>
      <c r="N320" s="258"/>
    </row>
    <row r="321">
      <c r="A321" s="254"/>
      <c r="B321" s="255"/>
      <c r="C321" s="256"/>
      <c r="D321" s="257"/>
      <c r="E321" s="419"/>
      <c r="F321" s="258"/>
      <c r="G321" s="259"/>
      <c r="H321" s="258"/>
      <c r="I321" s="421"/>
      <c r="J321" s="421"/>
      <c r="K321" s="421"/>
      <c r="L321" s="421"/>
      <c r="M321" s="255"/>
      <c r="N321" s="258"/>
    </row>
    <row r="322">
      <c r="A322" s="254"/>
      <c r="B322" s="255"/>
      <c r="C322" s="256"/>
      <c r="D322" s="257"/>
      <c r="E322" s="419"/>
      <c r="F322" s="258"/>
      <c r="G322" s="259"/>
      <c r="H322" s="258"/>
      <c r="I322" s="421"/>
      <c r="J322" s="421"/>
      <c r="K322" s="421"/>
      <c r="L322" s="421"/>
      <c r="M322" s="255"/>
      <c r="N322" s="258"/>
    </row>
    <row r="323">
      <c r="A323" s="254"/>
      <c r="B323" s="255"/>
      <c r="C323" s="256"/>
      <c r="D323" s="257"/>
      <c r="E323" s="419"/>
      <c r="F323" s="258"/>
      <c r="G323" s="259"/>
      <c r="H323" s="258"/>
      <c r="I323" s="421"/>
      <c r="J323" s="421"/>
      <c r="K323" s="421"/>
      <c r="L323" s="421"/>
      <c r="M323" s="255"/>
      <c r="N323" s="258"/>
    </row>
    <row r="324">
      <c r="A324" s="254"/>
      <c r="B324" s="255"/>
      <c r="C324" s="256"/>
      <c r="D324" s="257"/>
      <c r="E324" s="419"/>
      <c r="F324" s="258"/>
      <c r="G324" s="259"/>
      <c r="H324" s="258"/>
      <c r="I324" s="421"/>
      <c r="J324" s="421"/>
      <c r="K324" s="421"/>
      <c r="L324" s="421"/>
      <c r="M324" s="255"/>
      <c r="N324" s="258"/>
    </row>
    <row r="325">
      <c r="A325" s="254"/>
      <c r="B325" s="255"/>
      <c r="C325" s="256"/>
      <c r="D325" s="257"/>
      <c r="E325" s="419"/>
      <c r="F325" s="258"/>
      <c r="G325" s="259"/>
      <c r="H325" s="258"/>
      <c r="I325" s="421"/>
      <c r="J325" s="421"/>
      <c r="K325" s="421"/>
      <c r="L325" s="421"/>
      <c r="M325" s="255"/>
      <c r="N325" s="258"/>
    </row>
    <row r="326">
      <c r="A326" s="254"/>
      <c r="B326" s="255"/>
      <c r="C326" s="256"/>
      <c r="D326" s="257"/>
      <c r="E326" s="419"/>
      <c r="F326" s="258"/>
      <c r="G326" s="259"/>
      <c r="H326" s="258"/>
      <c r="I326" s="421"/>
      <c r="J326" s="421"/>
      <c r="K326" s="421"/>
      <c r="L326" s="421"/>
      <c r="M326" s="255"/>
      <c r="N326" s="258"/>
    </row>
    <row r="327">
      <c r="A327" s="254"/>
      <c r="B327" s="255"/>
      <c r="C327" s="256"/>
      <c r="D327" s="257"/>
      <c r="E327" s="419"/>
      <c r="F327" s="258"/>
      <c r="G327" s="259"/>
      <c r="H327" s="258"/>
      <c r="I327" s="421"/>
      <c r="J327" s="421"/>
      <c r="K327" s="421"/>
      <c r="L327" s="421"/>
      <c r="M327" s="255"/>
      <c r="N327" s="258"/>
    </row>
    <row r="328">
      <c r="A328" s="254"/>
      <c r="B328" s="255"/>
      <c r="C328" s="256"/>
      <c r="D328" s="257"/>
      <c r="E328" s="419"/>
      <c r="F328" s="258"/>
      <c r="G328" s="259"/>
      <c r="H328" s="258"/>
      <c r="I328" s="421"/>
      <c r="J328" s="421"/>
      <c r="K328" s="421"/>
      <c r="L328" s="421"/>
      <c r="M328" s="255"/>
      <c r="N328" s="258"/>
    </row>
    <row r="329">
      <c r="A329" s="254"/>
      <c r="B329" s="255"/>
      <c r="C329" s="256"/>
      <c r="D329" s="257"/>
      <c r="E329" s="419"/>
      <c r="F329" s="258"/>
      <c r="G329" s="259"/>
      <c r="H329" s="258"/>
      <c r="I329" s="421"/>
      <c r="J329" s="421"/>
      <c r="K329" s="421"/>
      <c r="L329" s="421"/>
      <c r="M329" s="255"/>
      <c r="N329" s="258"/>
    </row>
    <row r="330">
      <c r="A330" s="254"/>
      <c r="B330" s="255"/>
      <c r="C330" s="256"/>
      <c r="D330" s="257"/>
      <c r="E330" s="419"/>
      <c r="F330" s="258"/>
      <c r="G330" s="259"/>
      <c r="H330" s="258"/>
      <c r="I330" s="421"/>
      <c r="J330" s="421"/>
      <c r="K330" s="421"/>
      <c r="L330" s="421"/>
      <c r="M330" s="255"/>
      <c r="N330" s="258"/>
    </row>
    <row r="331">
      <c r="A331" s="254"/>
      <c r="B331" s="255"/>
      <c r="C331" s="256"/>
      <c r="D331" s="257"/>
      <c r="E331" s="419"/>
      <c r="F331" s="258"/>
      <c r="G331" s="259"/>
      <c r="H331" s="258"/>
      <c r="I331" s="421"/>
      <c r="J331" s="421"/>
      <c r="K331" s="421"/>
      <c r="L331" s="421"/>
      <c r="M331" s="255"/>
      <c r="N331" s="258"/>
    </row>
    <row r="332">
      <c r="A332" s="254"/>
      <c r="B332" s="255"/>
      <c r="C332" s="256"/>
      <c r="D332" s="257"/>
      <c r="E332" s="419"/>
      <c r="F332" s="258"/>
      <c r="G332" s="259"/>
      <c r="H332" s="258"/>
      <c r="I332" s="421"/>
      <c r="J332" s="421"/>
      <c r="K332" s="421"/>
      <c r="L332" s="421"/>
      <c r="M332" s="255"/>
      <c r="N332" s="258"/>
    </row>
    <row r="333">
      <c r="A333" s="254"/>
      <c r="B333" s="255"/>
      <c r="C333" s="256"/>
      <c r="D333" s="257"/>
      <c r="E333" s="419"/>
      <c r="F333" s="258"/>
      <c r="G333" s="259"/>
      <c r="H333" s="258"/>
      <c r="I333" s="421"/>
      <c r="J333" s="421"/>
      <c r="K333" s="421"/>
      <c r="L333" s="421"/>
      <c r="M333" s="255"/>
      <c r="N333" s="258"/>
    </row>
    <row r="334">
      <c r="A334" s="254"/>
      <c r="B334" s="255"/>
      <c r="C334" s="256"/>
      <c r="D334" s="257"/>
      <c r="E334" s="419"/>
      <c r="F334" s="258"/>
      <c r="G334" s="259"/>
      <c r="H334" s="258"/>
      <c r="I334" s="421"/>
      <c r="J334" s="421"/>
      <c r="K334" s="421"/>
      <c r="L334" s="421"/>
      <c r="M334" s="255"/>
      <c r="N334" s="258"/>
    </row>
    <row r="335">
      <c r="A335" s="254"/>
      <c r="B335" s="255"/>
      <c r="C335" s="256"/>
      <c r="D335" s="257"/>
      <c r="E335" s="419"/>
      <c r="F335" s="258"/>
      <c r="G335" s="259"/>
      <c r="H335" s="258"/>
      <c r="I335" s="421"/>
      <c r="J335" s="421"/>
      <c r="K335" s="421"/>
      <c r="L335" s="421"/>
      <c r="M335" s="255"/>
      <c r="N335" s="258"/>
    </row>
    <row r="336">
      <c r="A336" s="254"/>
      <c r="B336" s="255"/>
      <c r="C336" s="256"/>
      <c r="D336" s="257"/>
      <c r="E336" s="419"/>
      <c r="F336" s="258"/>
      <c r="G336" s="259"/>
      <c r="H336" s="258"/>
      <c r="I336" s="421"/>
      <c r="J336" s="421"/>
      <c r="K336" s="421"/>
      <c r="L336" s="421"/>
      <c r="M336" s="255"/>
      <c r="N336" s="258"/>
    </row>
    <row r="337">
      <c r="A337" s="254"/>
      <c r="B337" s="255"/>
      <c r="C337" s="256"/>
      <c r="D337" s="257"/>
      <c r="E337" s="419"/>
      <c r="F337" s="258"/>
      <c r="G337" s="259"/>
      <c r="H337" s="258"/>
      <c r="I337" s="421"/>
      <c r="J337" s="421"/>
      <c r="K337" s="421"/>
      <c r="L337" s="421"/>
      <c r="M337" s="255"/>
      <c r="N337" s="258"/>
    </row>
    <row r="338">
      <c r="A338" s="254"/>
      <c r="B338" s="255"/>
      <c r="C338" s="256"/>
      <c r="D338" s="257"/>
      <c r="E338" s="419"/>
      <c r="F338" s="258"/>
      <c r="G338" s="259"/>
      <c r="H338" s="258"/>
      <c r="I338" s="421"/>
      <c r="J338" s="421"/>
      <c r="K338" s="421"/>
      <c r="L338" s="421"/>
      <c r="M338" s="255"/>
      <c r="N338" s="258"/>
    </row>
    <row r="339">
      <c r="A339" s="254"/>
      <c r="B339" s="255"/>
      <c r="C339" s="256"/>
      <c r="D339" s="257"/>
      <c r="E339" s="419"/>
      <c r="F339" s="258"/>
      <c r="G339" s="259"/>
      <c r="H339" s="258"/>
      <c r="I339" s="421"/>
      <c r="J339" s="421"/>
      <c r="K339" s="421"/>
      <c r="L339" s="421"/>
      <c r="M339" s="255"/>
      <c r="N339" s="258"/>
    </row>
    <row r="340">
      <c r="A340" s="254"/>
      <c r="B340" s="255"/>
      <c r="C340" s="256"/>
      <c r="D340" s="257"/>
      <c r="E340" s="419"/>
      <c r="F340" s="258"/>
      <c r="G340" s="259"/>
      <c r="H340" s="258"/>
      <c r="I340" s="421"/>
      <c r="J340" s="421"/>
      <c r="K340" s="421"/>
      <c r="L340" s="421"/>
      <c r="M340" s="255"/>
      <c r="N340" s="258"/>
    </row>
    <row r="341">
      <c r="A341" s="254"/>
      <c r="B341" s="255"/>
      <c r="C341" s="256"/>
      <c r="D341" s="257"/>
      <c r="E341" s="419"/>
      <c r="F341" s="258"/>
      <c r="G341" s="259"/>
      <c r="H341" s="258"/>
      <c r="I341" s="421"/>
      <c r="J341" s="421"/>
      <c r="K341" s="421"/>
      <c r="L341" s="421"/>
      <c r="M341" s="255"/>
      <c r="N341" s="258"/>
    </row>
    <row r="342">
      <c r="A342" s="254"/>
      <c r="B342" s="255"/>
      <c r="C342" s="256"/>
      <c r="D342" s="257"/>
      <c r="E342" s="419"/>
      <c r="F342" s="258"/>
      <c r="G342" s="259"/>
      <c r="H342" s="258"/>
      <c r="I342" s="421"/>
      <c r="J342" s="421"/>
      <c r="K342" s="421"/>
      <c r="L342" s="421"/>
      <c r="M342" s="255"/>
      <c r="N342" s="258"/>
    </row>
    <row r="343">
      <c r="A343" s="254"/>
      <c r="B343" s="255"/>
      <c r="C343" s="256"/>
      <c r="D343" s="257"/>
      <c r="E343" s="419"/>
      <c r="F343" s="258"/>
      <c r="G343" s="259"/>
      <c r="H343" s="258"/>
      <c r="I343" s="421"/>
      <c r="J343" s="421"/>
      <c r="K343" s="421"/>
      <c r="L343" s="421"/>
      <c r="M343" s="255"/>
      <c r="N343" s="258"/>
    </row>
    <row r="344">
      <c r="A344" s="254"/>
      <c r="B344" s="255"/>
      <c r="C344" s="256"/>
      <c r="D344" s="257"/>
      <c r="E344" s="419"/>
      <c r="F344" s="258"/>
      <c r="G344" s="259"/>
      <c r="H344" s="258"/>
      <c r="I344" s="421"/>
      <c r="J344" s="421"/>
      <c r="K344" s="421"/>
      <c r="L344" s="421"/>
      <c r="M344" s="255"/>
      <c r="N344" s="258"/>
    </row>
    <row r="345">
      <c r="A345" s="254"/>
      <c r="B345" s="255"/>
      <c r="C345" s="256"/>
      <c r="D345" s="257"/>
      <c r="E345" s="419"/>
      <c r="F345" s="258"/>
      <c r="G345" s="259"/>
      <c r="H345" s="258"/>
      <c r="I345" s="421"/>
      <c r="J345" s="421"/>
      <c r="K345" s="421"/>
      <c r="L345" s="421"/>
      <c r="M345" s="255"/>
      <c r="N345" s="258"/>
    </row>
    <row r="346">
      <c r="A346" s="254"/>
      <c r="B346" s="255"/>
      <c r="C346" s="256"/>
      <c r="D346" s="257"/>
      <c r="E346" s="419"/>
      <c r="F346" s="258"/>
      <c r="G346" s="259"/>
      <c r="H346" s="258"/>
      <c r="I346" s="421"/>
      <c r="J346" s="421"/>
      <c r="K346" s="421"/>
      <c r="L346" s="421"/>
      <c r="M346" s="255"/>
      <c r="N346" s="258"/>
    </row>
    <row r="347">
      <c r="A347" s="254"/>
      <c r="B347" s="255"/>
      <c r="C347" s="256"/>
      <c r="D347" s="257"/>
      <c r="E347" s="419"/>
      <c r="F347" s="258"/>
      <c r="G347" s="259"/>
      <c r="H347" s="258"/>
      <c r="I347" s="421"/>
      <c r="J347" s="421"/>
      <c r="K347" s="421"/>
      <c r="L347" s="421"/>
      <c r="M347" s="255"/>
      <c r="N347" s="258"/>
    </row>
    <row r="348">
      <c r="A348" s="254"/>
      <c r="B348" s="255"/>
      <c r="C348" s="256"/>
      <c r="D348" s="257"/>
      <c r="E348" s="419"/>
      <c r="F348" s="258"/>
      <c r="G348" s="259"/>
      <c r="H348" s="258"/>
      <c r="I348" s="421"/>
      <c r="J348" s="421"/>
      <c r="K348" s="421"/>
      <c r="L348" s="421"/>
      <c r="M348" s="255"/>
      <c r="N348" s="258"/>
    </row>
    <row r="349">
      <c r="A349" s="254"/>
      <c r="B349" s="255"/>
      <c r="C349" s="256"/>
      <c r="D349" s="257"/>
      <c r="E349" s="419"/>
      <c r="F349" s="258"/>
      <c r="G349" s="259"/>
      <c r="H349" s="258"/>
      <c r="I349" s="421"/>
      <c r="J349" s="421"/>
      <c r="K349" s="421"/>
      <c r="L349" s="421"/>
      <c r="M349" s="255"/>
      <c r="N349" s="258"/>
    </row>
    <row r="350">
      <c r="A350" s="254"/>
      <c r="B350" s="255"/>
      <c r="C350" s="256"/>
      <c r="D350" s="257"/>
      <c r="E350" s="419"/>
      <c r="F350" s="258"/>
      <c r="G350" s="259"/>
      <c r="H350" s="258"/>
      <c r="I350" s="421"/>
      <c r="J350" s="421"/>
      <c r="K350" s="421"/>
      <c r="L350" s="421"/>
      <c r="M350" s="255"/>
      <c r="N350" s="258"/>
    </row>
    <row r="351">
      <c r="A351" s="254"/>
      <c r="B351" s="255"/>
      <c r="C351" s="256"/>
      <c r="D351" s="257"/>
      <c r="E351" s="419"/>
      <c r="F351" s="258"/>
      <c r="G351" s="259"/>
      <c r="H351" s="258"/>
      <c r="I351" s="421"/>
      <c r="J351" s="421"/>
      <c r="K351" s="421"/>
      <c r="L351" s="421"/>
      <c r="M351" s="255"/>
      <c r="N351" s="258"/>
    </row>
    <row r="352">
      <c r="A352" s="254"/>
      <c r="B352" s="255"/>
      <c r="C352" s="256"/>
      <c r="D352" s="257"/>
      <c r="E352" s="419"/>
      <c r="F352" s="258"/>
      <c r="G352" s="259"/>
      <c r="H352" s="258"/>
      <c r="I352" s="421"/>
      <c r="J352" s="421"/>
      <c r="K352" s="421"/>
      <c r="L352" s="421"/>
      <c r="M352" s="255"/>
      <c r="N352" s="258"/>
    </row>
    <row r="353">
      <c r="A353" s="254"/>
      <c r="B353" s="255"/>
      <c r="C353" s="256"/>
      <c r="D353" s="257"/>
      <c r="E353" s="419"/>
      <c r="F353" s="258"/>
      <c r="G353" s="259"/>
      <c r="H353" s="258"/>
      <c r="I353" s="421"/>
      <c r="J353" s="421"/>
      <c r="K353" s="421"/>
      <c r="L353" s="421"/>
      <c r="M353" s="255"/>
      <c r="N353" s="258"/>
    </row>
    <row r="354">
      <c r="A354" s="254"/>
      <c r="B354" s="255"/>
      <c r="C354" s="256"/>
      <c r="D354" s="257"/>
      <c r="E354" s="419"/>
      <c r="F354" s="258"/>
      <c r="G354" s="259"/>
      <c r="H354" s="258"/>
      <c r="I354" s="421"/>
      <c r="J354" s="421"/>
      <c r="K354" s="421"/>
      <c r="L354" s="421"/>
      <c r="M354" s="255"/>
      <c r="N354" s="258"/>
    </row>
    <row r="355">
      <c r="A355" s="254"/>
      <c r="B355" s="255"/>
      <c r="C355" s="256"/>
      <c r="D355" s="257"/>
      <c r="E355" s="419"/>
      <c r="F355" s="258"/>
      <c r="G355" s="259"/>
      <c r="H355" s="258"/>
      <c r="I355" s="421"/>
      <c r="J355" s="421"/>
      <c r="K355" s="421"/>
      <c r="L355" s="421"/>
      <c r="M355" s="255"/>
      <c r="N355" s="258"/>
    </row>
    <row r="356">
      <c r="A356" s="254"/>
      <c r="B356" s="255"/>
      <c r="C356" s="256"/>
      <c r="D356" s="257"/>
      <c r="E356" s="419"/>
      <c r="F356" s="258"/>
      <c r="G356" s="259"/>
      <c r="H356" s="258"/>
      <c r="I356" s="421"/>
      <c r="J356" s="421"/>
      <c r="K356" s="421"/>
      <c r="L356" s="421"/>
      <c r="M356" s="255"/>
      <c r="N356" s="258"/>
    </row>
    <row r="357">
      <c r="A357" s="254"/>
      <c r="B357" s="255"/>
      <c r="C357" s="256"/>
      <c r="D357" s="257"/>
      <c r="E357" s="419"/>
      <c r="F357" s="258"/>
      <c r="G357" s="259"/>
      <c r="H357" s="258"/>
      <c r="I357" s="421"/>
      <c r="J357" s="421"/>
      <c r="K357" s="421"/>
      <c r="L357" s="421"/>
      <c r="M357" s="255"/>
      <c r="N357" s="258"/>
    </row>
    <row r="358">
      <c r="A358" s="254"/>
      <c r="B358" s="255"/>
      <c r="C358" s="256"/>
      <c r="D358" s="257"/>
      <c r="E358" s="419"/>
      <c r="F358" s="258"/>
      <c r="G358" s="259"/>
      <c r="H358" s="258"/>
      <c r="I358" s="421"/>
      <c r="J358" s="421"/>
      <c r="K358" s="421"/>
      <c r="L358" s="421"/>
      <c r="M358" s="255"/>
      <c r="N358" s="258"/>
    </row>
    <row r="359">
      <c r="A359" s="254"/>
      <c r="B359" s="255"/>
      <c r="C359" s="256"/>
      <c r="D359" s="257"/>
      <c r="E359" s="419"/>
      <c r="F359" s="258"/>
      <c r="G359" s="259"/>
      <c r="H359" s="258"/>
      <c r="I359" s="421"/>
      <c r="J359" s="421"/>
      <c r="K359" s="421"/>
      <c r="L359" s="421"/>
      <c r="M359" s="255"/>
      <c r="N359" s="258"/>
    </row>
    <row r="360">
      <c r="A360" s="254"/>
      <c r="B360" s="255"/>
      <c r="C360" s="256"/>
      <c r="D360" s="257"/>
      <c r="E360" s="419"/>
      <c r="F360" s="258"/>
      <c r="G360" s="259"/>
      <c r="H360" s="258"/>
      <c r="I360" s="421"/>
      <c r="J360" s="421"/>
      <c r="K360" s="421"/>
      <c r="L360" s="421"/>
      <c r="M360" s="255"/>
      <c r="N360" s="258"/>
    </row>
    <row r="361">
      <c r="A361" s="254"/>
      <c r="B361" s="255"/>
      <c r="C361" s="256"/>
      <c r="D361" s="257"/>
      <c r="E361" s="419"/>
      <c r="F361" s="258"/>
      <c r="G361" s="259"/>
      <c r="H361" s="258"/>
      <c r="I361" s="421"/>
      <c r="J361" s="421"/>
      <c r="K361" s="421"/>
      <c r="L361" s="421"/>
      <c r="M361" s="255"/>
      <c r="N361" s="258"/>
    </row>
    <row r="362">
      <c r="A362" s="254"/>
      <c r="B362" s="255"/>
      <c r="C362" s="256"/>
      <c r="D362" s="257"/>
      <c r="E362" s="419"/>
      <c r="F362" s="258"/>
      <c r="G362" s="259"/>
      <c r="H362" s="258"/>
      <c r="I362" s="421"/>
      <c r="J362" s="421"/>
      <c r="K362" s="421"/>
      <c r="L362" s="421"/>
      <c r="M362" s="255"/>
      <c r="N362" s="258"/>
    </row>
    <row r="363">
      <c r="A363" s="254"/>
      <c r="B363" s="255"/>
      <c r="C363" s="256"/>
      <c r="D363" s="257"/>
      <c r="E363" s="419"/>
      <c r="F363" s="258"/>
      <c r="G363" s="259"/>
      <c r="H363" s="258"/>
      <c r="I363" s="421"/>
      <c r="J363" s="421"/>
      <c r="K363" s="421"/>
      <c r="L363" s="421"/>
      <c r="M363" s="255"/>
      <c r="N363" s="258"/>
    </row>
    <row r="364">
      <c r="A364" s="254"/>
      <c r="B364" s="255"/>
      <c r="C364" s="256"/>
      <c r="D364" s="257"/>
      <c r="E364" s="419"/>
      <c r="F364" s="258"/>
      <c r="G364" s="259"/>
      <c r="H364" s="258"/>
      <c r="I364" s="421"/>
      <c r="J364" s="421"/>
      <c r="K364" s="421"/>
      <c r="L364" s="421"/>
      <c r="M364" s="255"/>
      <c r="N364" s="258"/>
    </row>
    <row r="365">
      <c r="A365" s="254"/>
      <c r="B365" s="255"/>
      <c r="C365" s="256"/>
      <c r="D365" s="257"/>
      <c r="E365" s="419"/>
      <c r="F365" s="258"/>
      <c r="G365" s="259"/>
      <c r="H365" s="258"/>
      <c r="I365" s="421"/>
      <c r="J365" s="421"/>
      <c r="K365" s="421"/>
      <c r="L365" s="421"/>
      <c r="M365" s="255"/>
      <c r="N365" s="258"/>
    </row>
    <row r="366">
      <c r="A366" s="254"/>
      <c r="B366" s="255"/>
      <c r="C366" s="256"/>
      <c r="D366" s="257"/>
      <c r="E366" s="419"/>
      <c r="F366" s="258"/>
      <c r="G366" s="259"/>
      <c r="H366" s="258"/>
      <c r="I366" s="421"/>
      <c r="J366" s="421"/>
      <c r="K366" s="421"/>
      <c r="L366" s="421"/>
      <c r="M366" s="255"/>
      <c r="N366" s="258"/>
    </row>
    <row r="367">
      <c r="A367" s="254"/>
      <c r="B367" s="255"/>
      <c r="C367" s="256"/>
      <c r="D367" s="257"/>
      <c r="E367" s="419"/>
      <c r="F367" s="258"/>
      <c r="G367" s="259"/>
      <c r="H367" s="258"/>
      <c r="I367" s="421"/>
      <c r="J367" s="421"/>
      <c r="K367" s="421"/>
      <c r="L367" s="421"/>
      <c r="M367" s="255"/>
      <c r="N367" s="258"/>
    </row>
    <row r="368">
      <c r="A368" s="254"/>
      <c r="B368" s="255"/>
      <c r="C368" s="256"/>
      <c r="D368" s="257"/>
      <c r="E368" s="419"/>
      <c r="F368" s="258"/>
      <c r="G368" s="259"/>
      <c r="H368" s="258"/>
      <c r="I368" s="421"/>
      <c r="J368" s="421"/>
      <c r="K368" s="421"/>
      <c r="L368" s="421"/>
      <c r="M368" s="255"/>
      <c r="N368" s="258"/>
    </row>
    <row r="369">
      <c r="A369" s="254"/>
      <c r="B369" s="255"/>
      <c r="C369" s="256"/>
      <c r="D369" s="257"/>
      <c r="E369" s="419"/>
      <c r="F369" s="258"/>
      <c r="G369" s="259"/>
      <c r="H369" s="258"/>
      <c r="I369" s="421"/>
      <c r="J369" s="421"/>
      <c r="K369" s="421"/>
      <c r="L369" s="421"/>
      <c r="M369" s="255"/>
      <c r="N369" s="258"/>
    </row>
    <row r="370">
      <c r="A370" s="254"/>
      <c r="B370" s="255"/>
      <c r="C370" s="256"/>
      <c r="D370" s="257"/>
      <c r="E370" s="419"/>
      <c r="F370" s="258"/>
      <c r="G370" s="259"/>
      <c r="H370" s="258"/>
      <c r="I370" s="421"/>
      <c r="J370" s="421"/>
      <c r="K370" s="421"/>
      <c r="L370" s="421"/>
      <c r="M370" s="255"/>
      <c r="N370" s="258"/>
    </row>
    <row r="371">
      <c r="A371" s="254"/>
      <c r="B371" s="255"/>
      <c r="C371" s="256"/>
      <c r="D371" s="257"/>
      <c r="E371" s="419"/>
      <c r="F371" s="258"/>
      <c r="G371" s="259"/>
      <c r="H371" s="258"/>
      <c r="I371" s="421"/>
      <c r="J371" s="421"/>
      <c r="K371" s="421"/>
      <c r="L371" s="421"/>
      <c r="M371" s="255"/>
      <c r="N371" s="258"/>
    </row>
    <row r="372">
      <c r="A372" s="254"/>
      <c r="B372" s="255"/>
      <c r="C372" s="256"/>
      <c r="D372" s="257"/>
      <c r="E372" s="419"/>
      <c r="F372" s="258"/>
      <c r="G372" s="259"/>
      <c r="H372" s="258"/>
      <c r="I372" s="421"/>
      <c r="J372" s="421"/>
      <c r="K372" s="421"/>
      <c r="L372" s="421"/>
      <c r="M372" s="255"/>
      <c r="N372" s="258"/>
    </row>
    <row r="373">
      <c r="A373" s="254"/>
      <c r="B373" s="255"/>
      <c r="C373" s="256"/>
      <c r="D373" s="257"/>
      <c r="E373" s="419"/>
      <c r="F373" s="258"/>
      <c r="G373" s="259"/>
      <c r="H373" s="258"/>
      <c r="I373" s="421"/>
      <c r="J373" s="421"/>
      <c r="K373" s="421"/>
      <c r="L373" s="421"/>
      <c r="M373" s="255"/>
      <c r="N373" s="258"/>
    </row>
    <row r="374">
      <c r="A374" s="254"/>
      <c r="B374" s="255"/>
      <c r="C374" s="256"/>
      <c r="D374" s="257"/>
      <c r="E374" s="419"/>
      <c r="F374" s="258"/>
      <c r="G374" s="259"/>
      <c r="H374" s="258"/>
      <c r="I374" s="421"/>
      <c r="J374" s="421"/>
      <c r="K374" s="421"/>
      <c r="L374" s="421"/>
      <c r="M374" s="255"/>
      <c r="N374" s="258"/>
    </row>
    <row r="375">
      <c r="A375" s="254"/>
      <c r="B375" s="255"/>
      <c r="C375" s="256"/>
      <c r="D375" s="257"/>
      <c r="E375" s="419"/>
      <c r="F375" s="258"/>
      <c r="G375" s="259"/>
      <c r="H375" s="258"/>
      <c r="I375" s="421"/>
      <c r="J375" s="421"/>
      <c r="K375" s="421"/>
      <c r="L375" s="421"/>
      <c r="M375" s="255"/>
      <c r="N375" s="258"/>
    </row>
    <row r="376">
      <c r="A376" s="254"/>
      <c r="B376" s="255"/>
      <c r="C376" s="256"/>
      <c r="D376" s="257"/>
      <c r="E376" s="419"/>
      <c r="F376" s="258"/>
      <c r="G376" s="259"/>
      <c r="H376" s="258"/>
      <c r="I376" s="421"/>
      <c r="J376" s="421"/>
      <c r="K376" s="421"/>
      <c r="L376" s="421"/>
      <c r="M376" s="255"/>
      <c r="N376" s="258"/>
    </row>
    <row r="377">
      <c r="A377" s="254"/>
      <c r="B377" s="255"/>
      <c r="C377" s="256"/>
      <c r="D377" s="257"/>
      <c r="E377" s="419"/>
      <c r="F377" s="258"/>
      <c r="G377" s="259"/>
      <c r="H377" s="258"/>
      <c r="I377" s="421"/>
      <c r="J377" s="421"/>
      <c r="K377" s="421"/>
      <c r="L377" s="421"/>
      <c r="M377" s="255"/>
      <c r="N377" s="258"/>
    </row>
    <row r="378">
      <c r="A378" s="254"/>
      <c r="B378" s="255"/>
      <c r="C378" s="256"/>
      <c r="D378" s="257"/>
      <c r="E378" s="419"/>
      <c r="F378" s="258"/>
      <c r="G378" s="259"/>
      <c r="H378" s="258"/>
      <c r="I378" s="421"/>
      <c r="J378" s="421"/>
      <c r="K378" s="421"/>
      <c r="L378" s="421"/>
      <c r="M378" s="255"/>
      <c r="N378" s="258"/>
    </row>
    <row r="379">
      <c r="A379" s="254"/>
      <c r="B379" s="255"/>
      <c r="C379" s="256"/>
      <c r="D379" s="257"/>
      <c r="E379" s="419"/>
      <c r="F379" s="258"/>
      <c r="G379" s="259"/>
      <c r="H379" s="258"/>
      <c r="I379" s="421"/>
      <c r="J379" s="421"/>
      <c r="K379" s="421"/>
      <c r="L379" s="421"/>
      <c r="M379" s="255"/>
      <c r="N379" s="258"/>
    </row>
    <row r="380">
      <c r="A380" s="254"/>
      <c r="B380" s="255"/>
      <c r="C380" s="256"/>
      <c r="D380" s="257"/>
      <c r="E380" s="419"/>
      <c r="F380" s="258"/>
      <c r="G380" s="259"/>
      <c r="H380" s="258"/>
      <c r="I380" s="421"/>
      <c r="J380" s="421"/>
      <c r="K380" s="421"/>
      <c r="L380" s="421"/>
      <c r="M380" s="255"/>
      <c r="N380" s="258"/>
    </row>
    <row r="381">
      <c r="A381" s="254"/>
      <c r="B381" s="255"/>
      <c r="C381" s="256"/>
      <c r="D381" s="257"/>
      <c r="E381" s="419"/>
      <c r="F381" s="258"/>
      <c r="G381" s="259"/>
      <c r="H381" s="258"/>
      <c r="I381" s="421"/>
      <c r="J381" s="421"/>
      <c r="K381" s="421"/>
      <c r="L381" s="421"/>
      <c r="M381" s="255"/>
      <c r="N381" s="258"/>
    </row>
    <row r="382">
      <c r="A382" s="254"/>
      <c r="B382" s="255"/>
      <c r="C382" s="256"/>
      <c r="D382" s="257"/>
      <c r="E382" s="419"/>
      <c r="F382" s="258"/>
      <c r="G382" s="259"/>
      <c r="H382" s="258"/>
      <c r="I382" s="421"/>
      <c r="J382" s="421"/>
      <c r="K382" s="421"/>
      <c r="L382" s="421"/>
      <c r="M382" s="255"/>
      <c r="N382" s="258"/>
    </row>
    <row r="383">
      <c r="A383" s="254"/>
      <c r="B383" s="255"/>
      <c r="C383" s="256"/>
      <c r="D383" s="257"/>
      <c r="E383" s="419"/>
      <c r="F383" s="258"/>
      <c r="G383" s="259"/>
      <c r="H383" s="258"/>
      <c r="I383" s="421"/>
      <c r="J383" s="421"/>
      <c r="K383" s="421"/>
      <c r="L383" s="421"/>
      <c r="M383" s="255"/>
      <c r="N383" s="258"/>
    </row>
    <row r="384">
      <c r="A384" s="254"/>
      <c r="B384" s="255"/>
      <c r="C384" s="256"/>
      <c r="D384" s="257"/>
      <c r="E384" s="419"/>
      <c r="F384" s="258"/>
      <c r="G384" s="259"/>
      <c r="H384" s="258"/>
      <c r="I384" s="421"/>
      <c r="J384" s="421"/>
      <c r="K384" s="421"/>
      <c r="L384" s="421"/>
      <c r="M384" s="255"/>
      <c r="N384" s="258"/>
    </row>
    <row r="385">
      <c r="A385" s="254"/>
      <c r="B385" s="255"/>
      <c r="C385" s="256"/>
      <c r="D385" s="257"/>
      <c r="E385" s="419"/>
      <c r="F385" s="258"/>
      <c r="G385" s="259"/>
      <c r="H385" s="258"/>
      <c r="I385" s="421"/>
      <c r="J385" s="421"/>
      <c r="K385" s="421"/>
      <c r="L385" s="421"/>
      <c r="M385" s="255"/>
      <c r="N385" s="258"/>
    </row>
    <row r="386">
      <c r="A386" s="254"/>
      <c r="B386" s="255"/>
      <c r="C386" s="256"/>
      <c r="D386" s="257"/>
      <c r="E386" s="419"/>
      <c r="F386" s="258"/>
      <c r="G386" s="259"/>
      <c r="H386" s="258"/>
      <c r="I386" s="421"/>
      <c r="J386" s="421"/>
      <c r="K386" s="421"/>
      <c r="L386" s="421"/>
      <c r="M386" s="255"/>
      <c r="N386" s="258"/>
    </row>
    <row r="387">
      <c r="A387" s="254"/>
      <c r="B387" s="255"/>
      <c r="C387" s="256"/>
      <c r="D387" s="257"/>
      <c r="E387" s="419"/>
      <c r="F387" s="258"/>
      <c r="G387" s="259"/>
      <c r="H387" s="258"/>
      <c r="I387" s="421"/>
      <c r="J387" s="421"/>
      <c r="K387" s="421"/>
      <c r="L387" s="421"/>
      <c r="M387" s="255"/>
      <c r="N387" s="258"/>
    </row>
    <row r="388">
      <c r="A388" s="254"/>
      <c r="B388" s="255"/>
      <c r="C388" s="256"/>
      <c r="D388" s="257"/>
      <c r="E388" s="419"/>
      <c r="F388" s="258"/>
      <c r="G388" s="259"/>
      <c r="H388" s="258"/>
      <c r="I388" s="421"/>
      <c r="J388" s="421"/>
      <c r="K388" s="421"/>
      <c r="L388" s="421"/>
      <c r="M388" s="255"/>
      <c r="N388" s="258"/>
    </row>
    <row r="389">
      <c r="A389" s="254"/>
      <c r="B389" s="255"/>
      <c r="C389" s="256"/>
      <c r="D389" s="257"/>
      <c r="E389" s="419"/>
      <c r="F389" s="258"/>
      <c r="G389" s="259"/>
      <c r="H389" s="258"/>
      <c r="I389" s="421"/>
      <c r="J389" s="421"/>
      <c r="K389" s="421"/>
      <c r="L389" s="421"/>
      <c r="M389" s="255"/>
      <c r="N389" s="258"/>
    </row>
    <row r="390">
      <c r="A390" s="254"/>
      <c r="B390" s="255"/>
      <c r="C390" s="256"/>
      <c r="D390" s="257"/>
      <c r="E390" s="419"/>
      <c r="F390" s="258"/>
      <c r="G390" s="259"/>
      <c r="H390" s="258"/>
      <c r="I390" s="421"/>
      <c r="J390" s="421"/>
      <c r="K390" s="421"/>
      <c r="L390" s="421"/>
      <c r="M390" s="255"/>
      <c r="N390" s="258"/>
    </row>
    <row r="391">
      <c r="A391" s="254"/>
      <c r="B391" s="255"/>
      <c r="C391" s="256"/>
      <c r="D391" s="257"/>
      <c r="E391" s="419"/>
      <c r="F391" s="258"/>
      <c r="G391" s="259"/>
      <c r="H391" s="258"/>
      <c r="I391" s="421"/>
      <c r="J391" s="421"/>
      <c r="K391" s="421"/>
      <c r="L391" s="421"/>
      <c r="M391" s="255"/>
      <c r="N391" s="258"/>
    </row>
    <row r="392">
      <c r="A392" s="254"/>
      <c r="B392" s="255"/>
      <c r="C392" s="256"/>
      <c r="D392" s="257"/>
      <c r="E392" s="419"/>
      <c r="F392" s="258"/>
      <c r="G392" s="259"/>
      <c r="H392" s="258"/>
      <c r="I392" s="421"/>
      <c r="J392" s="421"/>
      <c r="K392" s="421"/>
      <c r="L392" s="421"/>
      <c r="M392" s="255"/>
      <c r="N392" s="258"/>
    </row>
    <row r="393">
      <c r="A393" s="254"/>
      <c r="B393" s="255"/>
      <c r="C393" s="256"/>
      <c r="D393" s="257"/>
      <c r="E393" s="419"/>
      <c r="F393" s="258"/>
      <c r="G393" s="259"/>
      <c r="H393" s="258"/>
      <c r="I393" s="421"/>
      <c r="J393" s="421"/>
      <c r="K393" s="421"/>
      <c r="L393" s="421"/>
      <c r="M393" s="255"/>
      <c r="N393" s="258"/>
    </row>
    <row r="394">
      <c r="A394" s="254"/>
      <c r="B394" s="255"/>
      <c r="C394" s="256"/>
      <c r="D394" s="257"/>
      <c r="E394" s="419"/>
      <c r="F394" s="258"/>
      <c r="G394" s="259"/>
      <c r="H394" s="258"/>
      <c r="I394" s="421"/>
      <c r="J394" s="421"/>
      <c r="K394" s="421"/>
      <c r="L394" s="421"/>
      <c r="M394" s="255"/>
      <c r="N394" s="258"/>
    </row>
    <row r="395">
      <c r="A395" s="254"/>
      <c r="B395" s="255"/>
      <c r="C395" s="256"/>
      <c r="D395" s="257"/>
      <c r="E395" s="419"/>
      <c r="F395" s="258"/>
      <c r="G395" s="259"/>
      <c r="H395" s="258"/>
      <c r="I395" s="421"/>
      <c r="J395" s="421"/>
      <c r="K395" s="421"/>
      <c r="L395" s="421"/>
      <c r="M395" s="255"/>
      <c r="N395" s="258"/>
    </row>
    <row r="396">
      <c r="A396" s="254"/>
      <c r="B396" s="255"/>
      <c r="C396" s="256"/>
      <c r="D396" s="257"/>
      <c r="E396" s="419"/>
      <c r="F396" s="258"/>
      <c r="G396" s="259"/>
      <c r="H396" s="258"/>
      <c r="I396" s="421"/>
      <c r="J396" s="421"/>
      <c r="K396" s="421"/>
      <c r="L396" s="421"/>
      <c r="M396" s="255"/>
      <c r="N396" s="258"/>
    </row>
    <row r="397">
      <c r="A397" s="254"/>
      <c r="B397" s="255"/>
      <c r="C397" s="256"/>
      <c r="D397" s="257"/>
      <c r="E397" s="419"/>
      <c r="F397" s="258"/>
      <c r="G397" s="259"/>
      <c r="H397" s="258"/>
      <c r="I397" s="421"/>
      <c r="J397" s="421"/>
      <c r="K397" s="421"/>
      <c r="L397" s="421"/>
      <c r="M397" s="255"/>
      <c r="N397" s="258"/>
    </row>
    <row r="398">
      <c r="A398" s="254"/>
      <c r="B398" s="255"/>
      <c r="C398" s="256"/>
      <c r="D398" s="257"/>
      <c r="E398" s="419"/>
      <c r="F398" s="258"/>
      <c r="G398" s="259"/>
      <c r="H398" s="258"/>
      <c r="I398" s="421"/>
      <c r="J398" s="421"/>
      <c r="K398" s="421"/>
      <c r="L398" s="421"/>
      <c r="M398" s="255"/>
      <c r="N398" s="258"/>
    </row>
    <row r="399">
      <c r="A399" s="254"/>
      <c r="B399" s="255"/>
      <c r="C399" s="256"/>
      <c r="D399" s="257"/>
      <c r="E399" s="419"/>
      <c r="F399" s="258"/>
      <c r="G399" s="259"/>
      <c r="H399" s="258"/>
      <c r="I399" s="421"/>
      <c r="J399" s="421"/>
      <c r="K399" s="421"/>
      <c r="L399" s="421"/>
      <c r="M399" s="255"/>
      <c r="N399" s="258"/>
    </row>
    <row r="400">
      <c r="A400" s="254"/>
      <c r="B400" s="255"/>
      <c r="C400" s="256"/>
      <c r="D400" s="257"/>
      <c r="E400" s="419"/>
      <c r="F400" s="258"/>
      <c r="G400" s="259"/>
      <c r="H400" s="258"/>
      <c r="I400" s="421"/>
      <c r="J400" s="421"/>
      <c r="K400" s="421"/>
      <c r="L400" s="421"/>
      <c r="M400" s="255"/>
      <c r="N400" s="258"/>
    </row>
    <row r="401">
      <c r="A401" s="254"/>
      <c r="B401" s="255"/>
      <c r="C401" s="256"/>
      <c r="D401" s="257"/>
      <c r="E401" s="419"/>
      <c r="F401" s="258"/>
      <c r="G401" s="259"/>
      <c r="H401" s="258"/>
      <c r="I401" s="421"/>
      <c r="J401" s="421"/>
      <c r="K401" s="421"/>
      <c r="L401" s="421"/>
      <c r="M401" s="255"/>
      <c r="N401" s="258"/>
    </row>
    <row r="402">
      <c r="A402" s="254"/>
      <c r="B402" s="255"/>
      <c r="C402" s="256"/>
      <c r="D402" s="257"/>
      <c r="E402" s="419"/>
      <c r="F402" s="258"/>
      <c r="G402" s="259"/>
      <c r="H402" s="258"/>
      <c r="I402" s="421"/>
      <c r="J402" s="421"/>
      <c r="K402" s="421"/>
      <c r="L402" s="421"/>
      <c r="M402" s="255"/>
      <c r="N402" s="258"/>
    </row>
    <row r="403">
      <c r="A403" s="254"/>
      <c r="B403" s="255"/>
      <c r="C403" s="256"/>
      <c r="D403" s="257"/>
      <c r="E403" s="419"/>
      <c r="F403" s="258"/>
      <c r="G403" s="259"/>
      <c r="H403" s="258"/>
      <c r="I403" s="421"/>
      <c r="J403" s="421"/>
      <c r="K403" s="421"/>
      <c r="L403" s="421"/>
      <c r="M403" s="255"/>
      <c r="N403" s="258"/>
    </row>
    <row r="404">
      <c r="A404" s="254"/>
      <c r="B404" s="255"/>
      <c r="C404" s="256"/>
      <c r="D404" s="257"/>
      <c r="E404" s="419"/>
      <c r="F404" s="258"/>
      <c r="G404" s="259"/>
      <c r="H404" s="258"/>
      <c r="I404" s="421"/>
      <c r="J404" s="421"/>
      <c r="K404" s="421"/>
      <c r="L404" s="421"/>
      <c r="M404" s="255"/>
      <c r="N404" s="258"/>
    </row>
    <row r="405">
      <c r="A405" s="254"/>
      <c r="B405" s="255"/>
      <c r="C405" s="256"/>
      <c r="D405" s="257"/>
      <c r="E405" s="419"/>
      <c r="F405" s="258"/>
      <c r="G405" s="259"/>
      <c r="H405" s="258"/>
      <c r="I405" s="421"/>
      <c r="J405" s="421"/>
      <c r="K405" s="421"/>
      <c r="L405" s="421"/>
      <c r="M405" s="255"/>
      <c r="N405" s="258"/>
    </row>
    <row r="406">
      <c r="A406" s="254"/>
      <c r="B406" s="255"/>
      <c r="C406" s="256"/>
      <c r="D406" s="257"/>
      <c r="E406" s="419"/>
      <c r="F406" s="258"/>
      <c r="G406" s="259"/>
      <c r="H406" s="258"/>
      <c r="I406" s="421"/>
      <c r="J406" s="421"/>
      <c r="K406" s="421"/>
      <c r="L406" s="421"/>
      <c r="M406" s="255"/>
      <c r="N406" s="258"/>
    </row>
    <row r="407">
      <c r="A407" s="254"/>
      <c r="B407" s="255"/>
      <c r="C407" s="256"/>
      <c r="D407" s="257"/>
      <c r="E407" s="419"/>
      <c r="F407" s="258"/>
      <c r="G407" s="259"/>
      <c r="H407" s="258"/>
      <c r="I407" s="421"/>
      <c r="J407" s="421"/>
      <c r="K407" s="421"/>
      <c r="L407" s="421"/>
      <c r="M407" s="255"/>
      <c r="N407" s="258"/>
    </row>
    <row r="408">
      <c r="A408" s="254"/>
      <c r="B408" s="255"/>
      <c r="C408" s="256"/>
      <c r="D408" s="257"/>
      <c r="E408" s="419"/>
      <c r="F408" s="258"/>
      <c r="G408" s="259"/>
      <c r="H408" s="258"/>
      <c r="I408" s="421"/>
      <c r="J408" s="421"/>
      <c r="K408" s="421"/>
      <c r="L408" s="421"/>
      <c r="M408" s="255"/>
      <c r="N408" s="258"/>
    </row>
    <row r="409">
      <c r="A409" s="254"/>
      <c r="B409" s="255"/>
      <c r="C409" s="256"/>
      <c r="D409" s="257"/>
      <c r="E409" s="419"/>
      <c r="F409" s="258"/>
      <c r="G409" s="259"/>
      <c r="H409" s="258"/>
      <c r="I409" s="421"/>
      <c r="J409" s="421"/>
      <c r="K409" s="421"/>
      <c r="L409" s="421"/>
      <c r="M409" s="255"/>
      <c r="N409" s="258"/>
    </row>
    <row r="410">
      <c r="A410" s="254"/>
      <c r="B410" s="255"/>
      <c r="C410" s="256"/>
      <c r="D410" s="257"/>
      <c r="E410" s="419"/>
      <c r="F410" s="258"/>
      <c r="G410" s="259"/>
      <c r="H410" s="258"/>
      <c r="I410" s="421"/>
      <c r="J410" s="421"/>
      <c r="K410" s="421"/>
      <c r="L410" s="421"/>
      <c r="M410" s="255"/>
      <c r="N410" s="258"/>
    </row>
    <row r="411">
      <c r="A411" s="254"/>
      <c r="B411" s="255"/>
      <c r="C411" s="256"/>
      <c r="D411" s="257"/>
      <c r="E411" s="419"/>
      <c r="F411" s="258"/>
      <c r="G411" s="259"/>
      <c r="H411" s="258"/>
      <c r="I411" s="421"/>
      <c r="J411" s="421"/>
      <c r="K411" s="421"/>
      <c r="L411" s="421"/>
      <c r="M411" s="255"/>
      <c r="N411" s="258"/>
    </row>
    <row r="412">
      <c r="A412" s="254"/>
      <c r="B412" s="255"/>
      <c r="C412" s="256"/>
      <c r="D412" s="257"/>
      <c r="E412" s="419"/>
      <c r="F412" s="258"/>
      <c r="G412" s="259"/>
      <c r="H412" s="258"/>
      <c r="I412" s="421"/>
      <c r="J412" s="421"/>
      <c r="K412" s="421"/>
      <c r="L412" s="421"/>
      <c r="M412" s="255"/>
      <c r="N412" s="258"/>
    </row>
    <row r="413">
      <c r="A413" s="254"/>
      <c r="B413" s="255"/>
      <c r="C413" s="256"/>
      <c r="D413" s="257"/>
      <c r="E413" s="419"/>
      <c r="F413" s="258"/>
      <c r="G413" s="259"/>
      <c r="H413" s="258"/>
      <c r="I413" s="421"/>
      <c r="J413" s="421"/>
      <c r="K413" s="421"/>
      <c r="L413" s="421"/>
      <c r="M413" s="255"/>
      <c r="N413" s="258"/>
    </row>
    <row r="414">
      <c r="A414" s="254"/>
      <c r="B414" s="255"/>
      <c r="C414" s="256"/>
      <c r="D414" s="257"/>
      <c r="E414" s="419"/>
      <c r="F414" s="258"/>
      <c r="G414" s="259"/>
      <c r="H414" s="258"/>
      <c r="I414" s="421"/>
      <c r="J414" s="421"/>
      <c r="K414" s="421"/>
      <c r="L414" s="421"/>
      <c r="M414" s="255"/>
      <c r="N414" s="258"/>
    </row>
    <row r="415">
      <c r="A415" s="254"/>
      <c r="B415" s="255"/>
      <c r="C415" s="256"/>
      <c r="D415" s="257"/>
      <c r="E415" s="419"/>
      <c r="F415" s="258"/>
      <c r="G415" s="259"/>
      <c r="H415" s="258"/>
      <c r="I415" s="421"/>
      <c r="J415" s="421"/>
      <c r="K415" s="421"/>
      <c r="L415" s="421"/>
      <c r="M415" s="255"/>
      <c r="N415" s="258"/>
    </row>
    <row r="416">
      <c r="A416" s="254"/>
      <c r="B416" s="255"/>
      <c r="C416" s="256"/>
      <c r="D416" s="257"/>
      <c r="E416" s="419"/>
      <c r="F416" s="258"/>
      <c r="G416" s="259"/>
      <c r="H416" s="258"/>
      <c r="I416" s="421"/>
      <c r="J416" s="421"/>
      <c r="K416" s="421"/>
      <c r="L416" s="421"/>
      <c r="M416" s="255"/>
      <c r="N416" s="258"/>
    </row>
    <row r="417">
      <c r="A417" s="254"/>
      <c r="B417" s="255"/>
      <c r="C417" s="256"/>
      <c r="D417" s="257"/>
      <c r="E417" s="419"/>
      <c r="F417" s="258"/>
      <c r="G417" s="259"/>
      <c r="H417" s="258"/>
      <c r="I417" s="421"/>
      <c r="J417" s="421"/>
      <c r="K417" s="421"/>
      <c r="L417" s="421"/>
      <c r="M417" s="255"/>
      <c r="N417" s="258"/>
    </row>
    <row r="418">
      <c r="A418" s="254"/>
      <c r="B418" s="255"/>
      <c r="C418" s="256"/>
      <c r="D418" s="257"/>
      <c r="E418" s="419"/>
      <c r="F418" s="258"/>
      <c r="G418" s="259"/>
      <c r="H418" s="258"/>
      <c r="I418" s="421"/>
      <c r="J418" s="421"/>
      <c r="K418" s="421"/>
      <c r="L418" s="421"/>
      <c r="M418" s="255"/>
      <c r="N418" s="258"/>
    </row>
    <row r="419">
      <c r="A419" s="254"/>
      <c r="B419" s="255"/>
      <c r="C419" s="256"/>
      <c r="D419" s="257"/>
      <c r="E419" s="419"/>
      <c r="F419" s="258"/>
      <c r="G419" s="259"/>
      <c r="H419" s="258"/>
      <c r="I419" s="421"/>
      <c r="J419" s="421"/>
      <c r="K419" s="421"/>
      <c r="L419" s="421"/>
      <c r="M419" s="255"/>
      <c r="N419" s="258"/>
    </row>
    <row r="420">
      <c r="A420" s="254"/>
      <c r="B420" s="255"/>
      <c r="C420" s="256"/>
      <c r="D420" s="257"/>
      <c r="E420" s="419"/>
      <c r="F420" s="258"/>
      <c r="G420" s="259"/>
      <c r="H420" s="258"/>
      <c r="I420" s="421"/>
      <c r="J420" s="421"/>
      <c r="K420" s="421"/>
      <c r="L420" s="421"/>
      <c r="M420" s="255"/>
      <c r="N420" s="258"/>
    </row>
    <row r="421">
      <c r="A421" s="254"/>
      <c r="B421" s="255"/>
      <c r="C421" s="256"/>
      <c r="D421" s="257"/>
      <c r="E421" s="419"/>
      <c r="F421" s="258"/>
      <c r="G421" s="259"/>
      <c r="H421" s="258"/>
      <c r="I421" s="421"/>
      <c r="J421" s="421"/>
      <c r="K421" s="421"/>
      <c r="L421" s="421"/>
      <c r="M421" s="255"/>
      <c r="N421" s="258"/>
    </row>
    <row r="422">
      <c r="A422" s="254"/>
      <c r="B422" s="255"/>
      <c r="C422" s="256"/>
      <c r="D422" s="257"/>
      <c r="E422" s="419"/>
      <c r="F422" s="258"/>
      <c r="G422" s="259"/>
      <c r="H422" s="258"/>
      <c r="I422" s="421"/>
      <c r="J422" s="421"/>
      <c r="K422" s="421"/>
      <c r="L422" s="421"/>
      <c r="M422" s="255"/>
      <c r="N422" s="258"/>
    </row>
    <row r="423">
      <c r="A423" s="254"/>
      <c r="B423" s="255"/>
      <c r="C423" s="256"/>
      <c r="D423" s="257"/>
      <c r="E423" s="419"/>
      <c r="F423" s="258"/>
      <c r="G423" s="259"/>
      <c r="H423" s="258"/>
      <c r="I423" s="421"/>
      <c r="J423" s="421"/>
      <c r="K423" s="421"/>
      <c r="L423" s="421"/>
      <c r="M423" s="255"/>
      <c r="N423" s="258"/>
    </row>
    <row r="424">
      <c r="A424" s="254"/>
      <c r="B424" s="255"/>
      <c r="C424" s="256"/>
      <c r="D424" s="257"/>
      <c r="E424" s="419"/>
      <c r="F424" s="258"/>
      <c r="G424" s="259"/>
      <c r="H424" s="258"/>
      <c r="I424" s="421"/>
      <c r="J424" s="421"/>
      <c r="K424" s="421"/>
      <c r="L424" s="421"/>
      <c r="M424" s="255"/>
      <c r="N424" s="258"/>
    </row>
    <row r="425">
      <c r="A425" s="254"/>
      <c r="B425" s="255"/>
      <c r="C425" s="256"/>
      <c r="D425" s="257"/>
      <c r="E425" s="419"/>
      <c r="F425" s="258"/>
      <c r="G425" s="259"/>
      <c r="H425" s="258"/>
      <c r="I425" s="421"/>
      <c r="J425" s="421"/>
      <c r="K425" s="421"/>
      <c r="L425" s="421"/>
      <c r="M425" s="255"/>
      <c r="N425" s="258"/>
    </row>
    <row r="426">
      <c r="A426" s="254"/>
      <c r="B426" s="255"/>
      <c r="C426" s="256"/>
      <c r="D426" s="257"/>
      <c r="E426" s="419"/>
      <c r="F426" s="258"/>
      <c r="G426" s="259"/>
      <c r="H426" s="258"/>
      <c r="I426" s="421"/>
      <c r="J426" s="421"/>
      <c r="K426" s="421"/>
      <c r="L426" s="421"/>
      <c r="M426" s="255"/>
      <c r="N426" s="258"/>
    </row>
    <row r="427">
      <c r="A427" s="254"/>
      <c r="B427" s="255"/>
      <c r="C427" s="256"/>
      <c r="D427" s="257"/>
      <c r="E427" s="419"/>
      <c r="F427" s="258"/>
      <c r="G427" s="259"/>
      <c r="H427" s="258"/>
      <c r="I427" s="421"/>
      <c r="J427" s="421"/>
      <c r="K427" s="421"/>
      <c r="L427" s="421"/>
      <c r="M427" s="255"/>
      <c r="N427" s="258"/>
    </row>
    <row r="428">
      <c r="A428" s="254"/>
      <c r="B428" s="255"/>
      <c r="C428" s="256"/>
      <c r="D428" s="257"/>
      <c r="E428" s="419"/>
      <c r="F428" s="258"/>
      <c r="G428" s="259"/>
      <c r="H428" s="258"/>
      <c r="I428" s="421"/>
      <c r="J428" s="421"/>
      <c r="K428" s="421"/>
      <c r="L428" s="421"/>
      <c r="M428" s="255"/>
      <c r="N428" s="258"/>
    </row>
    <row r="429">
      <c r="A429" s="254"/>
      <c r="B429" s="255"/>
      <c r="C429" s="256"/>
      <c r="D429" s="257"/>
      <c r="E429" s="419"/>
      <c r="F429" s="258"/>
      <c r="G429" s="259"/>
      <c r="H429" s="258"/>
      <c r="I429" s="421"/>
      <c r="J429" s="421"/>
      <c r="K429" s="421"/>
      <c r="L429" s="421"/>
      <c r="M429" s="255"/>
      <c r="N429" s="258"/>
    </row>
    <row r="430">
      <c r="A430" s="254"/>
      <c r="B430" s="255"/>
      <c r="C430" s="256"/>
      <c r="D430" s="257"/>
      <c r="E430" s="419"/>
      <c r="F430" s="258"/>
      <c r="G430" s="259"/>
      <c r="H430" s="258"/>
      <c r="I430" s="421"/>
      <c r="J430" s="421"/>
      <c r="K430" s="421"/>
      <c r="L430" s="421"/>
      <c r="M430" s="255"/>
      <c r="N430" s="258"/>
    </row>
    <row r="431">
      <c r="A431" s="254"/>
      <c r="B431" s="255"/>
      <c r="C431" s="256"/>
      <c r="D431" s="257"/>
      <c r="E431" s="419"/>
      <c r="F431" s="258"/>
      <c r="G431" s="259"/>
      <c r="H431" s="258"/>
      <c r="I431" s="421"/>
      <c r="J431" s="421"/>
      <c r="K431" s="421"/>
      <c r="L431" s="421"/>
      <c r="M431" s="255"/>
      <c r="N431" s="258"/>
    </row>
    <row r="432">
      <c r="A432" s="254"/>
      <c r="B432" s="255"/>
      <c r="C432" s="256"/>
      <c r="D432" s="257"/>
      <c r="E432" s="419"/>
      <c r="F432" s="258"/>
      <c r="G432" s="259"/>
      <c r="H432" s="258"/>
      <c r="I432" s="421"/>
      <c r="J432" s="421"/>
      <c r="K432" s="421"/>
      <c r="L432" s="421"/>
      <c r="M432" s="255"/>
      <c r="N432" s="258"/>
    </row>
    <row r="433">
      <c r="A433" s="254"/>
      <c r="B433" s="255"/>
      <c r="C433" s="256"/>
      <c r="D433" s="257"/>
      <c r="E433" s="419"/>
      <c r="F433" s="258"/>
      <c r="G433" s="259"/>
      <c r="H433" s="258"/>
      <c r="I433" s="421"/>
      <c r="J433" s="421"/>
      <c r="K433" s="421"/>
      <c r="L433" s="421"/>
      <c r="M433" s="255"/>
      <c r="N433" s="258"/>
    </row>
    <row r="434">
      <c r="A434" s="254"/>
      <c r="B434" s="255"/>
      <c r="C434" s="256"/>
      <c r="D434" s="257"/>
      <c r="E434" s="419"/>
      <c r="F434" s="258"/>
      <c r="G434" s="259"/>
      <c r="H434" s="258"/>
      <c r="I434" s="421"/>
      <c r="J434" s="421"/>
      <c r="K434" s="421"/>
      <c r="L434" s="421"/>
      <c r="M434" s="255"/>
      <c r="N434" s="258"/>
    </row>
    <row r="435">
      <c r="A435" s="254"/>
      <c r="B435" s="255"/>
      <c r="C435" s="256"/>
      <c r="D435" s="257"/>
      <c r="E435" s="419"/>
      <c r="F435" s="258"/>
      <c r="G435" s="259"/>
      <c r="H435" s="258"/>
      <c r="I435" s="421"/>
      <c r="J435" s="421"/>
      <c r="K435" s="421"/>
      <c r="L435" s="421"/>
      <c r="M435" s="255"/>
      <c r="N435" s="258"/>
    </row>
    <row r="436">
      <c r="A436" s="254"/>
      <c r="B436" s="255"/>
      <c r="C436" s="256"/>
      <c r="D436" s="257"/>
      <c r="E436" s="419"/>
      <c r="F436" s="258"/>
      <c r="G436" s="259"/>
      <c r="H436" s="258"/>
      <c r="I436" s="421"/>
      <c r="J436" s="421"/>
      <c r="K436" s="421"/>
      <c r="L436" s="421"/>
      <c r="M436" s="255"/>
      <c r="N436" s="258"/>
    </row>
    <row r="437">
      <c r="A437" s="254"/>
      <c r="B437" s="255"/>
      <c r="C437" s="256"/>
      <c r="D437" s="257"/>
      <c r="E437" s="419"/>
      <c r="F437" s="258"/>
      <c r="G437" s="259"/>
      <c r="H437" s="258"/>
      <c r="I437" s="421"/>
      <c r="J437" s="421"/>
      <c r="K437" s="421"/>
      <c r="L437" s="421"/>
      <c r="M437" s="255"/>
      <c r="N437" s="258"/>
    </row>
    <row r="438">
      <c r="A438" s="254"/>
      <c r="B438" s="255"/>
      <c r="C438" s="256"/>
      <c r="D438" s="257"/>
      <c r="E438" s="419"/>
      <c r="F438" s="258"/>
      <c r="G438" s="259"/>
      <c r="H438" s="258"/>
      <c r="I438" s="421"/>
      <c r="J438" s="421"/>
      <c r="K438" s="421"/>
      <c r="L438" s="421"/>
      <c r="M438" s="255"/>
      <c r="N438" s="258"/>
    </row>
    <row r="439">
      <c r="A439" s="254"/>
      <c r="B439" s="255"/>
      <c r="C439" s="256"/>
      <c r="D439" s="257"/>
      <c r="E439" s="419"/>
      <c r="F439" s="258"/>
      <c r="G439" s="259"/>
      <c r="H439" s="258"/>
      <c r="I439" s="421"/>
      <c r="J439" s="421"/>
      <c r="K439" s="421"/>
      <c r="L439" s="421"/>
      <c r="M439" s="255"/>
      <c r="N439" s="258"/>
    </row>
    <row r="440">
      <c r="A440" s="254"/>
      <c r="B440" s="255"/>
      <c r="C440" s="256"/>
      <c r="D440" s="257"/>
      <c r="E440" s="419"/>
      <c r="F440" s="258"/>
      <c r="G440" s="259"/>
      <c r="H440" s="258"/>
      <c r="I440" s="421"/>
      <c r="J440" s="421"/>
      <c r="K440" s="421"/>
      <c r="L440" s="421"/>
      <c r="M440" s="255"/>
      <c r="N440" s="258"/>
    </row>
    <row r="441">
      <c r="A441" s="254"/>
      <c r="B441" s="255"/>
      <c r="C441" s="256"/>
      <c r="D441" s="257"/>
      <c r="E441" s="419"/>
      <c r="F441" s="258"/>
      <c r="G441" s="259"/>
      <c r="H441" s="258"/>
      <c r="I441" s="421"/>
      <c r="J441" s="421"/>
      <c r="K441" s="421"/>
      <c r="L441" s="421"/>
      <c r="M441" s="255"/>
      <c r="N441" s="258"/>
    </row>
    <row r="442">
      <c r="A442" s="254"/>
      <c r="B442" s="255"/>
      <c r="C442" s="256"/>
      <c r="D442" s="257"/>
      <c r="E442" s="419"/>
      <c r="F442" s="258"/>
      <c r="G442" s="259"/>
      <c r="H442" s="258"/>
      <c r="I442" s="421"/>
      <c r="J442" s="421"/>
      <c r="K442" s="421"/>
      <c r="L442" s="421"/>
      <c r="M442" s="255"/>
      <c r="N442" s="258"/>
    </row>
    <row r="443">
      <c r="A443" s="254"/>
      <c r="B443" s="255"/>
      <c r="C443" s="256"/>
      <c r="D443" s="257"/>
      <c r="E443" s="419"/>
      <c r="F443" s="258"/>
      <c r="G443" s="259"/>
      <c r="H443" s="258"/>
      <c r="I443" s="421"/>
      <c r="J443" s="421"/>
      <c r="K443" s="421"/>
      <c r="L443" s="421"/>
      <c r="M443" s="255"/>
      <c r="N443" s="258"/>
    </row>
    <row r="444">
      <c r="A444" s="254"/>
      <c r="B444" s="255"/>
      <c r="C444" s="256"/>
      <c r="D444" s="257"/>
      <c r="E444" s="419"/>
      <c r="F444" s="258"/>
      <c r="G444" s="259"/>
      <c r="H444" s="258"/>
      <c r="I444" s="421"/>
      <c r="J444" s="421"/>
      <c r="K444" s="421"/>
      <c r="L444" s="421"/>
      <c r="M444" s="255"/>
      <c r="N444" s="258"/>
    </row>
    <row r="445">
      <c r="A445" s="254"/>
      <c r="B445" s="255"/>
      <c r="C445" s="256"/>
      <c r="D445" s="257"/>
      <c r="E445" s="419"/>
      <c r="F445" s="258"/>
      <c r="G445" s="259"/>
      <c r="H445" s="258"/>
      <c r="I445" s="421"/>
      <c r="J445" s="421"/>
      <c r="K445" s="421"/>
      <c r="L445" s="421"/>
      <c r="M445" s="255"/>
      <c r="N445" s="258"/>
    </row>
    <row r="446">
      <c r="A446" s="254"/>
      <c r="B446" s="255"/>
      <c r="C446" s="256"/>
      <c r="D446" s="257"/>
      <c r="E446" s="419"/>
      <c r="F446" s="258"/>
      <c r="G446" s="259"/>
      <c r="H446" s="258"/>
      <c r="I446" s="421"/>
      <c r="J446" s="421"/>
      <c r="K446" s="421"/>
      <c r="L446" s="421"/>
      <c r="M446" s="255"/>
      <c r="N446" s="258"/>
    </row>
    <row r="447">
      <c r="A447" s="254"/>
      <c r="B447" s="255"/>
      <c r="C447" s="256"/>
      <c r="D447" s="257"/>
      <c r="E447" s="419"/>
      <c r="F447" s="258"/>
      <c r="G447" s="259"/>
      <c r="H447" s="258"/>
      <c r="I447" s="421"/>
      <c r="J447" s="421"/>
      <c r="K447" s="421"/>
      <c r="L447" s="421"/>
      <c r="M447" s="255"/>
      <c r="N447" s="258"/>
    </row>
    <row r="448">
      <c r="A448" s="254"/>
      <c r="B448" s="255"/>
      <c r="C448" s="256"/>
      <c r="D448" s="257"/>
      <c r="E448" s="419"/>
      <c r="F448" s="258"/>
      <c r="G448" s="259"/>
      <c r="H448" s="258"/>
      <c r="I448" s="421"/>
      <c r="J448" s="421"/>
      <c r="K448" s="421"/>
      <c r="L448" s="421"/>
      <c r="M448" s="255"/>
      <c r="N448" s="258"/>
    </row>
    <row r="449">
      <c r="A449" s="254"/>
      <c r="B449" s="255"/>
      <c r="C449" s="256"/>
      <c r="D449" s="257"/>
      <c r="E449" s="419"/>
      <c r="F449" s="258"/>
      <c r="G449" s="259"/>
      <c r="H449" s="258"/>
      <c r="I449" s="421"/>
      <c r="J449" s="421"/>
      <c r="K449" s="421"/>
      <c r="L449" s="421"/>
      <c r="M449" s="255"/>
      <c r="N449" s="258"/>
    </row>
    <row r="450">
      <c r="A450" s="254"/>
      <c r="B450" s="255"/>
      <c r="C450" s="256"/>
      <c r="D450" s="257"/>
      <c r="E450" s="419"/>
      <c r="F450" s="258"/>
      <c r="G450" s="259"/>
      <c r="H450" s="258"/>
      <c r="I450" s="421"/>
      <c r="J450" s="421"/>
      <c r="K450" s="421"/>
      <c r="L450" s="421"/>
      <c r="M450" s="255"/>
      <c r="N450" s="258"/>
    </row>
    <row r="451">
      <c r="A451" s="254"/>
      <c r="B451" s="255"/>
      <c r="C451" s="256"/>
      <c r="D451" s="257"/>
      <c r="E451" s="419"/>
      <c r="F451" s="258"/>
      <c r="G451" s="259"/>
      <c r="H451" s="258"/>
      <c r="I451" s="421"/>
      <c r="J451" s="421"/>
      <c r="K451" s="421"/>
      <c r="L451" s="421"/>
      <c r="M451" s="255"/>
      <c r="N451" s="258"/>
    </row>
    <row r="452">
      <c r="A452" s="254"/>
      <c r="B452" s="255"/>
      <c r="C452" s="256"/>
      <c r="D452" s="257"/>
      <c r="E452" s="419"/>
      <c r="F452" s="258"/>
      <c r="G452" s="259"/>
      <c r="H452" s="258"/>
      <c r="I452" s="421"/>
      <c r="J452" s="421"/>
      <c r="K452" s="421"/>
      <c r="L452" s="421"/>
      <c r="M452" s="255"/>
      <c r="N452" s="258"/>
    </row>
    <row r="453">
      <c r="A453" s="254"/>
      <c r="B453" s="255"/>
      <c r="C453" s="256"/>
      <c r="D453" s="257"/>
      <c r="E453" s="419"/>
      <c r="F453" s="258"/>
      <c r="G453" s="259"/>
      <c r="H453" s="258"/>
      <c r="I453" s="421"/>
      <c r="J453" s="421"/>
      <c r="K453" s="421"/>
      <c r="L453" s="421"/>
      <c r="M453" s="255"/>
      <c r="N453" s="258"/>
    </row>
    <row r="454">
      <c r="A454" s="254"/>
      <c r="B454" s="255"/>
      <c r="C454" s="256"/>
      <c r="D454" s="257"/>
      <c r="E454" s="419"/>
      <c r="F454" s="258"/>
      <c r="G454" s="259"/>
      <c r="H454" s="258"/>
      <c r="I454" s="421"/>
      <c r="J454" s="421"/>
      <c r="K454" s="421"/>
      <c r="L454" s="421"/>
      <c r="M454" s="255"/>
      <c r="N454" s="258"/>
    </row>
    <row r="455">
      <c r="A455" s="254"/>
      <c r="B455" s="255"/>
      <c r="C455" s="256"/>
      <c r="D455" s="257"/>
      <c r="E455" s="419"/>
      <c r="F455" s="258"/>
      <c r="G455" s="259"/>
      <c r="H455" s="258"/>
      <c r="I455" s="421"/>
      <c r="J455" s="421"/>
      <c r="K455" s="421"/>
      <c r="L455" s="421"/>
      <c r="M455" s="255"/>
      <c r="N455" s="258"/>
    </row>
    <row r="456">
      <c r="A456" s="254"/>
      <c r="B456" s="255"/>
      <c r="C456" s="256"/>
      <c r="D456" s="257"/>
      <c r="E456" s="419"/>
      <c r="F456" s="258"/>
      <c r="G456" s="259"/>
      <c r="H456" s="258"/>
      <c r="I456" s="421"/>
      <c r="J456" s="421"/>
      <c r="K456" s="421"/>
      <c r="L456" s="421"/>
      <c r="M456" s="255"/>
      <c r="N456" s="258"/>
    </row>
    <row r="457">
      <c r="A457" s="254"/>
      <c r="B457" s="255"/>
      <c r="C457" s="256"/>
      <c r="D457" s="257"/>
      <c r="E457" s="419"/>
      <c r="F457" s="258"/>
      <c r="G457" s="259"/>
      <c r="H457" s="258"/>
      <c r="I457" s="421"/>
      <c r="J457" s="421"/>
      <c r="K457" s="421"/>
      <c r="L457" s="421"/>
      <c r="M457" s="255"/>
      <c r="N457" s="258"/>
    </row>
    <row r="458">
      <c r="A458" s="254"/>
      <c r="B458" s="255"/>
      <c r="C458" s="256"/>
      <c r="D458" s="257"/>
      <c r="E458" s="419"/>
      <c r="F458" s="258"/>
      <c r="G458" s="259"/>
      <c r="H458" s="258"/>
      <c r="I458" s="421"/>
      <c r="J458" s="421"/>
      <c r="K458" s="421"/>
      <c r="L458" s="421"/>
      <c r="M458" s="255"/>
      <c r="N458" s="258"/>
    </row>
    <row r="459">
      <c r="A459" s="254"/>
      <c r="B459" s="255"/>
      <c r="C459" s="256"/>
      <c r="D459" s="257"/>
      <c r="E459" s="419"/>
      <c r="F459" s="258"/>
      <c r="G459" s="259"/>
      <c r="H459" s="258"/>
      <c r="I459" s="421"/>
      <c r="J459" s="421"/>
      <c r="K459" s="421"/>
      <c r="L459" s="421"/>
      <c r="M459" s="255"/>
      <c r="N459" s="258"/>
    </row>
    <row r="460">
      <c r="A460" s="254"/>
      <c r="B460" s="255"/>
      <c r="C460" s="256"/>
      <c r="D460" s="257"/>
      <c r="E460" s="419"/>
      <c r="F460" s="258"/>
      <c r="G460" s="259"/>
      <c r="H460" s="258"/>
      <c r="I460" s="421"/>
      <c r="J460" s="421"/>
      <c r="K460" s="421"/>
      <c r="L460" s="421"/>
      <c r="M460" s="255"/>
      <c r="N460" s="258"/>
    </row>
    <row r="461">
      <c r="A461" s="254"/>
      <c r="B461" s="255"/>
      <c r="C461" s="256"/>
      <c r="D461" s="257"/>
      <c r="E461" s="419"/>
      <c r="F461" s="258"/>
      <c r="G461" s="259"/>
      <c r="H461" s="258"/>
      <c r="I461" s="421"/>
      <c r="J461" s="421"/>
      <c r="K461" s="421"/>
      <c r="L461" s="421"/>
      <c r="M461" s="255"/>
      <c r="N461" s="258"/>
    </row>
    <row r="462">
      <c r="A462" s="254"/>
      <c r="B462" s="255"/>
      <c r="C462" s="256"/>
      <c r="D462" s="257"/>
      <c r="E462" s="419"/>
      <c r="F462" s="258"/>
      <c r="G462" s="259"/>
      <c r="H462" s="258"/>
      <c r="I462" s="421"/>
      <c r="J462" s="421"/>
      <c r="K462" s="421"/>
      <c r="L462" s="421"/>
      <c r="M462" s="255"/>
      <c r="N462" s="258"/>
    </row>
    <row r="463">
      <c r="A463" s="254"/>
      <c r="B463" s="255"/>
      <c r="C463" s="256"/>
      <c r="D463" s="257"/>
      <c r="E463" s="419"/>
      <c r="F463" s="258"/>
      <c r="G463" s="259"/>
      <c r="H463" s="258"/>
      <c r="I463" s="421"/>
      <c r="J463" s="421"/>
      <c r="K463" s="421"/>
      <c r="L463" s="421"/>
      <c r="M463" s="255"/>
      <c r="N463" s="258"/>
    </row>
    <row r="464">
      <c r="A464" s="254"/>
      <c r="B464" s="255"/>
      <c r="C464" s="256"/>
      <c r="D464" s="257"/>
      <c r="E464" s="419"/>
      <c r="F464" s="258"/>
      <c r="G464" s="259"/>
      <c r="H464" s="258"/>
      <c r="I464" s="421"/>
      <c r="J464" s="421"/>
      <c r="K464" s="421"/>
      <c r="L464" s="421"/>
      <c r="M464" s="255"/>
      <c r="N464" s="258"/>
    </row>
    <row r="465">
      <c r="A465" s="254"/>
      <c r="B465" s="255"/>
      <c r="C465" s="256"/>
      <c r="D465" s="257"/>
      <c r="E465" s="419"/>
      <c r="F465" s="258"/>
      <c r="G465" s="259"/>
      <c r="H465" s="258"/>
      <c r="I465" s="421"/>
      <c r="J465" s="421"/>
      <c r="K465" s="421"/>
      <c r="L465" s="421"/>
      <c r="M465" s="255"/>
      <c r="N465" s="258"/>
    </row>
    <row r="466">
      <c r="A466" s="254"/>
      <c r="B466" s="255"/>
      <c r="C466" s="256"/>
      <c r="D466" s="257"/>
      <c r="E466" s="419"/>
      <c r="F466" s="258"/>
      <c r="G466" s="259"/>
      <c r="H466" s="258"/>
      <c r="I466" s="421"/>
      <c r="J466" s="421"/>
      <c r="K466" s="421"/>
      <c r="L466" s="421"/>
      <c r="M466" s="255"/>
      <c r="N466" s="258"/>
    </row>
    <row r="467">
      <c r="A467" s="254"/>
      <c r="B467" s="255"/>
      <c r="C467" s="256"/>
      <c r="D467" s="257"/>
      <c r="E467" s="419"/>
      <c r="F467" s="258"/>
      <c r="G467" s="259"/>
      <c r="H467" s="258"/>
      <c r="I467" s="421"/>
      <c r="J467" s="421"/>
      <c r="K467" s="421"/>
      <c r="L467" s="421"/>
      <c r="M467" s="255"/>
      <c r="N467" s="258"/>
    </row>
    <row r="468">
      <c r="A468" s="254"/>
      <c r="B468" s="255"/>
      <c r="C468" s="256"/>
      <c r="D468" s="257"/>
      <c r="E468" s="419"/>
      <c r="F468" s="258"/>
      <c r="G468" s="259"/>
      <c r="H468" s="258"/>
      <c r="I468" s="421"/>
      <c r="J468" s="421"/>
      <c r="K468" s="421"/>
      <c r="L468" s="421"/>
      <c r="M468" s="255"/>
      <c r="N468" s="258"/>
    </row>
    <row r="469">
      <c r="A469" s="254"/>
      <c r="B469" s="255"/>
      <c r="C469" s="256"/>
      <c r="D469" s="257"/>
      <c r="E469" s="419"/>
      <c r="F469" s="258"/>
      <c r="G469" s="259"/>
      <c r="H469" s="258"/>
      <c r="I469" s="421"/>
      <c r="J469" s="421"/>
      <c r="K469" s="421"/>
      <c r="L469" s="421"/>
      <c r="M469" s="255"/>
      <c r="N469" s="258"/>
    </row>
    <row r="470">
      <c r="A470" s="254"/>
      <c r="B470" s="255"/>
      <c r="C470" s="256"/>
      <c r="D470" s="257"/>
      <c r="E470" s="419"/>
      <c r="F470" s="258"/>
      <c r="G470" s="259"/>
      <c r="H470" s="258"/>
      <c r="I470" s="421"/>
      <c r="J470" s="421"/>
      <c r="K470" s="421"/>
      <c r="L470" s="421"/>
      <c r="M470" s="255"/>
      <c r="N470" s="258"/>
    </row>
    <row r="471">
      <c r="A471" s="254"/>
      <c r="B471" s="255"/>
      <c r="C471" s="256"/>
      <c r="D471" s="257"/>
      <c r="E471" s="419"/>
      <c r="F471" s="258"/>
      <c r="G471" s="259"/>
      <c r="H471" s="258"/>
      <c r="I471" s="421"/>
      <c r="J471" s="421"/>
      <c r="K471" s="421"/>
      <c r="L471" s="421"/>
      <c r="M471" s="255"/>
      <c r="N471" s="258"/>
    </row>
    <row r="472">
      <c r="A472" s="254"/>
      <c r="B472" s="255"/>
      <c r="C472" s="256"/>
      <c r="D472" s="257"/>
      <c r="E472" s="419"/>
      <c r="F472" s="258"/>
      <c r="G472" s="259"/>
      <c r="H472" s="258"/>
      <c r="I472" s="421"/>
      <c r="J472" s="421"/>
      <c r="K472" s="421"/>
      <c r="L472" s="421"/>
      <c r="M472" s="255"/>
      <c r="N472" s="258"/>
    </row>
    <row r="473">
      <c r="A473" s="254"/>
      <c r="B473" s="255"/>
      <c r="C473" s="256"/>
      <c r="D473" s="257"/>
      <c r="E473" s="419"/>
      <c r="F473" s="258"/>
      <c r="G473" s="259"/>
      <c r="H473" s="258"/>
      <c r="I473" s="421"/>
      <c r="J473" s="421"/>
      <c r="K473" s="421"/>
      <c r="L473" s="421"/>
      <c r="M473" s="255"/>
      <c r="N473" s="258"/>
    </row>
    <row r="474">
      <c r="A474" s="254"/>
      <c r="B474" s="255"/>
      <c r="C474" s="256"/>
      <c r="D474" s="257"/>
      <c r="E474" s="419"/>
      <c r="F474" s="258"/>
      <c r="G474" s="259"/>
      <c r="H474" s="258"/>
      <c r="I474" s="421"/>
      <c r="J474" s="421"/>
      <c r="K474" s="421"/>
      <c r="L474" s="421"/>
      <c r="M474" s="255"/>
      <c r="N474" s="258"/>
    </row>
    <row r="475">
      <c r="A475" s="254"/>
      <c r="B475" s="255"/>
      <c r="C475" s="256"/>
      <c r="D475" s="257"/>
      <c r="E475" s="419"/>
      <c r="F475" s="258"/>
      <c r="G475" s="259"/>
      <c r="H475" s="258"/>
      <c r="I475" s="421"/>
      <c r="J475" s="421"/>
      <c r="K475" s="421"/>
      <c r="L475" s="421"/>
      <c r="M475" s="255"/>
      <c r="N475" s="258"/>
    </row>
    <row r="476">
      <c r="A476" s="254"/>
      <c r="B476" s="255"/>
      <c r="C476" s="256"/>
      <c r="D476" s="257"/>
      <c r="E476" s="419"/>
      <c r="F476" s="258"/>
      <c r="G476" s="259"/>
      <c r="H476" s="258"/>
      <c r="I476" s="421"/>
      <c r="J476" s="421"/>
      <c r="K476" s="421"/>
      <c r="L476" s="421"/>
      <c r="M476" s="255"/>
      <c r="N476" s="258"/>
    </row>
    <row r="477">
      <c r="A477" s="254"/>
      <c r="B477" s="255"/>
      <c r="C477" s="256"/>
      <c r="D477" s="257"/>
      <c r="E477" s="419"/>
      <c r="F477" s="258"/>
      <c r="G477" s="259"/>
      <c r="H477" s="258"/>
      <c r="I477" s="421"/>
      <c r="J477" s="421"/>
      <c r="K477" s="421"/>
      <c r="L477" s="421"/>
      <c r="M477" s="255"/>
      <c r="N477" s="258"/>
    </row>
    <row r="478">
      <c r="A478" s="254"/>
      <c r="B478" s="255"/>
      <c r="C478" s="256"/>
      <c r="D478" s="257"/>
      <c r="E478" s="419"/>
      <c r="F478" s="258"/>
      <c r="G478" s="259"/>
      <c r="H478" s="258"/>
      <c r="I478" s="421"/>
      <c r="J478" s="421"/>
      <c r="K478" s="421"/>
      <c r="L478" s="421"/>
      <c r="M478" s="255"/>
      <c r="N478" s="258"/>
    </row>
    <row r="479">
      <c r="A479" s="254"/>
      <c r="B479" s="255"/>
      <c r="C479" s="256"/>
      <c r="D479" s="257"/>
      <c r="E479" s="419"/>
      <c r="F479" s="258"/>
      <c r="G479" s="259"/>
      <c r="H479" s="258"/>
      <c r="I479" s="421"/>
      <c r="J479" s="421"/>
      <c r="K479" s="421"/>
      <c r="L479" s="421"/>
      <c r="M479" s="255"/>
      <c r="N479" s="258"/>
    </row>
    <row r="480">
      <c r="A480" s="254"/>
      <c r="B480" s="255"/>
      <c r="C480" s="256"/>
      <c r="D480" s="257"/>
      <c r="E480" s="419"/>
      <c r="F480" s="258"/>
      <c r="G480" s="259"/>
      <c r="H480" s="258"/>
      <c r="I480" s="421"/>
      <c r="J480" s="421"/>
      <c r="K480" s="421"/>
      <c r="L480" s="421"/>
      <c r="M480" s="255"/>
      <c r="N480" s="258"/>
    </row>
    <row r="481">
      <c r="A481" s="254"/>
      <c r="B481" s="255"/>
      <c r="C481" s="256"/>
      <c r="D481" s="257"/>
      <c r="E481" s="419"/>
      <c r="F481" s="258"/>
      <c r="G481" s="259"/>
      <c r="H481" s="258"/>
      <c r="I481" s="421"/>
      <c r="J481" s="421"/>
      <c r="K481" s="421"/>
      <c r="L481" s="421"/>
      <c r="M481" s="255"/>
      <c r="N481" s="258"/>
    </row>
    <row r="482">
      <c r="A482" s="254"/>
      <c r="B482" s="255"/>
      <c r="C482" s="256"/>
      <c r="D482" s="257"/>
      <c r="E482" s="419"/>
      <c r="F482" s="258"/>
      <c r="G482" s="259"/>
      <c r="H482" s="258"/>
      <c r="I482" s="421"/>
      <c r="J482" s="421"/>
      <c r="K482" s="421"/>
      <c r="L482" s="421"/>
      <c r="M482" s="255"/>
      <c r="N482" s="258"/>
    </row>
    <row r="483">
      <c r="A483" s="254"/>
      <c r="B483" s="255"/>
      <c r="C483" s="256"/>
      <c r="D483" s="257"/>
      <c r="E483" s="419"/>
      <c r="F483" s="258"/>
      <c r="G483" s="259"/>
      <c r="H483" s="258"/>
      <c r="I483" s="421"/>
      <c r="J483" s="421"/>
      <c r="K483" s="421"/>
      <c r="L483" s="421"/>
      <c r="M483" s="255"/>
      <c r="N483" s="258"/>
    </row>
    <row r="484">
      <c r="A484" s="254"/>
      <c r="B484" s="255"/>
      <c r="C484" s="256"/>
      <c r="D484" s="257"/>
      <c r="E484" s="419"/>
      <c r="F484" s="258"/>
      <c r="G484" s="259"/>
      <c r="H484" s="258"/>
      <c r="I484" s="421"/>
      <c r="J484" s="421"/>
      <c r="K484" s="421"/>
      <c r="L484" s="421"/>
      <c r="M484" s="255"/>
      <c r="N484" s="258"/>
    </row>
    <row r="485">
      <c r="A485" s="254"/>
      <c r="B485" s="255"/>
      <c r="C485" s="256"/>
      <c r="D485" s="257"/>
      <c r="E485" s="419"/>
      <c r="F485" s="258"/>
      <c r="G485" s="259"/>
      <c r="H485" s="258"/>
      <c r="I485" s="421"/>
      <c r="J485" s="421"/>
      <c r="K485" s="421"/>
      <c r="L485" s="421"/>
      <c r="M485" s="255"/>
      <c r="N485" s="258"/>
    </row>
    <row r="486">
      <c r="A486" s="254"/>
      <c r="B486" s="255"/>
      <c r="C486" s="256"/>
      <c r="D486" s="257"/>
      <c r="E486" s="419"/>
      <c r="F486" s="258"/>
      <c r="G486" s="259"/>
      <c r="H486" s="258"/>
      <c r="I486" s="421"/>
      <c r="J486" s="421"/>
      <c r="K486" s="421"/>
      <c r="L486" s="421"/>
      <c r="M486" s="255"/>
      <c r="N486" s="258"/>
    </row>
    <row r="487">
      <c r="A487" s="254"/>
      <c r="B487" s="255"/>
      <c r="C487" s="256"/>
      <c r="D487" s="257"/>
      <c r="E487" s="419"/>
      <c r="F487" s="258"/>
      <c r="G487" s="259"/>
      <c r="H487" s="258"/>
      <c r="I487" s="421"/>
      <c r="J487" s="421"/>
      <c r="K487" s="421"/>
      <c r="L487" s="421"/>
      <c r="M487" s="255"/>
      <c r="N487" s="258"/>
    </row>
    <row r="488">
      <c r="A488" s="254"/>
      <c r="B488" s="255"/>
      <c r="C488" s="256"/>
      <c r="D488" s="257"/>
      <c r="E488" s="419"/>
      <c r="F488" s="258"/>
      <c r="G488" s="259"/>
      <c r="H488" s="258"/>
      <c r="I488" s="421"/>
      <c r="J488" s="421"/>
      <c r="K488" s="421"/>
      <c r="L488" s="421"/>
      <c r="M488" s="255"/>
      <c r="N488" s="258"/>
    </row>
    <row r="489">
      <c r="A489" s="254"/>
      <c r="B489" s="255"/>
      <c r="C489" s="256"/>
      <c r="D489" s="257"/>
      <c r="E489" s="419"/>
      <c r="F489" s="258"/>
      <c r="G489" s="259"/>
      <c r="H489" s="258"/>
      <c r="I489" s="421"/>
      <c r="J489" s="421"/>
      <c r="K489" s="421"/>
      <c r="L489" s="421"/>
      <c r="M489" s="255"/>
      <c r="N489" s="258"/>
    </row>
    <row r="490">
      <c r="A490" s="254"/>
      <c r="B490" s="255"/>
      <c r="C490" s="256"/>
      <c r="D490" s="257"/>
      <c r="E490" s="419"/>
      <c r="F490" s="258"/>
      <c r="G490" s="259"/>
      <c r="H490" s="258"/>
      <c r="I490" s="421"/>
      <c r="J490" s="421"/>
      <c r="K490" s="421"/>
      <c r="L490" s="421"/>
      <c r="M490" s="255"/>
      <c r="N490" s="258"/>
    </row>
    <row r="491">
      <c r="A491" s="254"/>
      <c r="B491" s="255"/>
      <c r="C491" s="256"/>
      <c r="D491" s="257"/>
      <c r="E491" s="419"/>
      <c r="F491" s="258"/>
      <c r="G491" s="259"/>
      <c r="H491" s="258"/>
      <c r="I491" s="421"/>
      <c r="J491" s="421"/>
      <c r="K491" s="421"/>
      <c r="L491" s="421"/>
      <c r="M491" s="255"/>
      <c r="N491" s="258"/>
    </row>
    <row r="492">
      <c r="A492" s="254"/>
      <c r="B492" s="255"/>
      <c r="C492" s="256"/>
      <c r="D492" s="257"/>
      <c r="E492" s="419"/>
      <c r="F492" s="258"/>
      <c r="G492" s="259"/>
      <c r="H492" s="258"/>
      <c r="I492" s="421"/>
      <c r="J492" s="421"/>
      <c r="K492" s="421"/>
      <c r="L492" s="421"/>
      <c r="M492" s="255"/>
      <c r="N492" s="258"/>
    </row>
    <row r="493">
      <c r="A493" s="254"/>
      <c r="B493" s="255"/>
      <c r="C493" s="256"/>
      <c r="D493" s="257"/>
      <c r="E493" s="419"/>
      <c r="F493" s="258"/>
      <c r="G493" s="259"/>
      <c r="H493" s="258"/>
      <c r="I493" s="421"/>
      <c r="J493" s="421"/>
      <c r="K493" s="421"/>
      <c r="L493" s="421"/>
      <c r="M493" s="255"/>
      <c r="N493" s="258"/>
    </row>
    <row r="494">
      <c r="A494" s="254"/>
      <c r="B494" s="255"/>
      <c r="C494" s="256"/>
      <c r="D494" s="257"/>
      <c r="E494" s="419"/>
      <c r="F494" s="258"/>
      <c r="G494" s="259"/>
      <c r="H494" s="258"/>
      <c r="I494" s="421"/>
      <c r="J494" s="421"/>
      <c r="K494" s="421"/>
      <c r="L494" s="421"/>
      <c r="M494" s="255"/>
      <c r="N494" s="258"/>
    </row>
    <row r="495">
      <c r="A495" s="254"/>
      <c r="B495" s="255"/>
      <c r="C495" s="256"/>
      <c r="D495" s="257"/>
      <c r="E495" s="419"/>
      <c r="F495" s="258"/>
      <c r="G495" s="259"/>
      <c r="H495" s="258"/>
      <c r="I495" s="421"/>
      <c r="J495" s="421"/>
      <c r="K495" s="421"/>
      <c r="L495" s="421"/>
      <c r="M495" s="255"/>
      <c r="N495" s="258"/>
    </row>
    <row r="496">
      <c r="A496" s="254"/>
      <c r="B496" s="255"/>
      <c r="C496" s="256"/>
      <c r="D496" s="257"/>
      <c r="E496" s="419"/>
      <c r="F496" s="258"/>
      <c r="G496" s="259"/>
      <c r="H496" s="258"/>
      <c r="I496" s="421"/>
      <c r="J496" s="421"/>
      <c r="K496" s="421"/>
      <c r="L496" s="421"/>
      <c r="M496" s="255"/>
      <c r="N496" s="258"/>
    </row>
    <row r="497">
      <c r="A497" s="254"/>
      <c r="B497" s="255"/>
      <c r="C497" s="256"/>
      <c r="D497" s="257"/>
      <c r="E497" s="419"/>
      <c r="F497" s="258"/>
      <c r="G497" s="259"/>
      <c r="H497" s="258"/>
      <c r="I497" s="421"/>
      <c r="J497" s="421"/>
      <c r="K497" s="421"/>
      <c r="L497" s="421"/>
      <c r="M497" s="255"/>
      <c r="N497" s="258"/>
    </row>
    <row r="498">
      <c r="A498" s="254"/>
      <c r="B498" s="255"/>
      <c r="C498" s="256"/>
      <c r="D498" s="257"/>
      <c r="E498" s="419"/>
      <c r="F498" s="258"/>
      <c r="G498" s="259"/>
      <c r="H498" s="258"/>
      <c r="I498" s="421"/>
      <c r="J498" s="421"/>
      <c r="K498" s="421"/>
      <c r="L498" s="421"/>
      <c r="M498" s="255"/>
      <c r="N498" s="258"/>
    </row>
    <row r="499">
      <c r="A499" s="254"/>
      <c r="B499" s="255"/>
      <c r="C499" s="256"/>
      <c r="D499" s="257"/>
      <c r="E499" s="419"/>
      <c r="F499" s="258"/>
      <c r="G499" s="259"/>
      <c r="H499" s="258"/>
      <c r="I499" s="421"/>
      <c r="J499" s="421"/>
      <c r="K499" s="421"/>
      <c r="L499" s="421"/>
      <c r="M499" s="255"/>
      <c r="N499" s="258"/>
    </row>
    <row r="500">
      <c r="A500" s="254"/>
      <c r="B500" s="255"/>
      <c r="C500" s="256"/>
      <c r="D500" s="257"/>
      <c r="E500" s="419"/>
      <c r="F500" s="258"/>
      <c r="G500" s="259"/>
      <c r="H500" s="258"/>
      <c r="I500" s="421"/>
      <c r="J500" s="421"/>
      <c r="K500" s="421"/>
      <c r="L500" s="421"/>
      <c r="M500" s="255"/>
      <c r="N500" s="258"/>
    </row>
    <row r="501">
      <c r="A501" s="254"/>
      <c r="B501" s="255"/>
      <c r="C501" s="256"/>
      <c r="D501" s="257"/>
      <c r="E501" s="419"/>
      <c r="F501" s="258"/>
      <c r="G501" s="259"/>
      <c r="H501" s="258"/>
      <c r="I501" s="421"/>
      <c r="J501" s="421"/>
      <c r="K501" s="421"/>
      <c r="L501" s="421"/>
      <c r="M501" s="255"/>
      <c r="N501" s="258"/>
    </row>
    <row r="502">
      <c r="A502" s="254"/>
      <c r="B502" s="255"/>
      <c r="C502" s="256"/>
      <c r="D502" s="257"/>
      <c r="E502" s="419"/>
      <c r="F502" s="258"/>
      <c r="G502" s="259"/>
      <c r="H502" s="258"/>
      <c r="I502" s="421"/>
      <c r="J502" s="421"/>
      <c r="K502" s="421"/>
      <c r="L502" s="421"/>
      <c r="M502" s="255"/>
      <c r="N502" s="258"/>
    </row>
    <row r="503">
      <c r="A503" s="254"/>
      <c r="B503" s="255"/>
      <c r="C503" s="256"/>
      <c r="D503" s="257"/>
      <c r="E503" s="419"/>
      <c r="F503" s="258"/>
      <c r="G503" s="259"/>
      <c r="H503" s="258"/>
      <c r="I503" s="421"/>
      <c r="J503" s="421"/>
      <c r="K503" s="421"/>
      <c r="L503" s="421"/>
      <c r="M503" s="255"/>
      <c r="N503" s="258"/>
    </row>
    <row r="504">
      <c r="A504" s="254"/>
      <c r="B504" s="255"/>
      <c r="C504" s="256"/>
      <c r="D504" s="257"/>
      <c r="E504" s="419"/>
      <c r="F504" s="258"/>
      <c r="G504" s="259"/>
      <c r="H504" s="258"/>
      <c r="I504" s="421"/>
      <c r="J504" s="421"/>
      <c r="K504" s="421"/>
      <c r="L504" s="421"/>
      <c r="M504" s="255"/>
      <c r="N504" s="258"/>
    </row>
    <row r="505">
      <c r="A505" s="254"/>
      <c r="B505" s="255"/>
      <c r="C505" s="256"/>
      <c r="D505" s="257"/>
      <c r="E505" s="419"/>
      <c r="F505" s="258"/>
      <c r="G505" s="259"/>
      <c r="H505" s="258"/>
      <c r="I505" s="421"/>
      <c r="J505" s="421"/>
      <c r="K505" s="421"/>
      <c r="L505" s="421"/>
      <c r="M505" s="255"/>
      <c r="N505" s="258"/>
    </row>
    <row r="506">
      <c r="A506" s="254"/>
      <c r="B506" s="255"/>
      <c r="C506" s="256"/>
      <c r="D506" s="257"/>
      <c r="E506" s="419"/>
      <c r="F506" s="258"/>
      <c r="G506" s="259"/>
      <c r="H506" s="258"/>
      <c r="I506" s="421"/>
      <c r="J506" s="421"/>
      <c r="K506" s="421"/>
      <c r="L506" s="421"/>
      <c r="M506" s="255"/>
      <c r="N506" s="258"/>
    </row>
    <row r="507">
      <c r="A507" s="254"/>
      <c r="B507" s="255"/>
      <c r="C507" s="256"/>
      <c r="D507" s="257"/>
      <c r="E507" s="419"/>
      <c r="F507" s="258"/>
      <c r="G507" s="259"/>
      <c r="H507" s="258"/>
      <c r="I507" s="421"/>
      <c r="J507" s="421"/>
      <c r="K507" s="421"/>
      <c r="L507" s="421"/>
      <c r="M507" s="255"/>
      <c r="N507" s="258"/>
    </row>
    <row r="508">
      <c r="A508" s="254"/>
      <c r="B508" s="255"/>
      <c r="C508" s="256"/>
      <c r="D508" s="257"/>
      <c r="E508" s="419"/>
      <c r="F508" s="258"/>
      <c r="G508" s="259"/>
      <c r="H508" s="258"/>
      <c r="I508" s="421"/>
      <c r="J508" s="421"/>
      <c r="K508" s="421"/>
      <c r="L508" s="421"/>
      <c r="M508" s="255"/>
      <c r="N508" s="258"/>
    </row>
    <row r="509">
      <c r="A509" s="254"/>
      <c r="B509" s="255"/>
      <c r="C509" s="256"/>
      <c r="D509" s="257"/>
      <c r="E509" s="419"/>
      <c r="F509" s="258"/>
      <c r="G509" s="259"/>
      <c r="H509" s="258"/>
      <c r="I509" s="421"/>
      <c r="J509" s="421"/>
      <c r="K509" s="421"/>
      <c r="L509" s="421"/>
      <c r="M509" s="255"/>
      <c r="N509" s="258"/>
    </row>
    <row r="510">
      <c r="A510" s="254"/>
      <c r="B510" s="255"/>
      <c r="C510" s="256"/>
      <c r="D510" s="257"/>
      <c r="E510" s="419"/>
      <c r="F510" s="258"/>
      <c r="G510" s="259"/>
      <c r="H510" s="258"/>
      <c r="I510" s="421"/>
      <c r="J510" s="421"/>
      <c r="K510" s="421"/>
      <c r="L510" s="421"/>
      <c r="M510" s="255"/>
      <c r="N510" s="258"/>
    </row>
    <row r="511">
      <c r="A511" s="254"/>
      <c r="B511" s="255"/>
      <c r="C511" s="256"/>
      <c r="D511" s="257"/>
      <c r="E511" s="419"/>
      <c r="F511" s="258"/>
      <c r="G511" s="259"/>
      <c r="H511" s="258"/>
      <c r="I511" s="421"/>
      <c r="J511" s="421"/>
      <c r="K511" s="421"/>
      <c r="L511" s="421"/>
      <c r="M511" s="255"/>
      <c r="N511" s="258"/>
    </row>
    <row r="512">
      <c r="A512" s="254"/>
      <c r="B512" s="255"/>
      <c r="C512" s="256"/>
      <c r="D512" s="257"/>
      <c r="E512" s="419"/>
      <c r="F512" s="258"/>
      <c r="G512" s="259"/>
      <c r="H512" s="258"/>
      <c r="I512" s="421"/>
      <c r="J512" s="421"/>
      <c r="K512" s="421"/>
      <c r="L512" s="421"/>
      <c r="M512" s="255"/>
      <c r="N512" s="258"/>
    </row>
    <row r="513">
      <c r="A513" s="254"/>
      <c r="B513" s="255"/>
      <c r="C513" s="256"/>
      <c r="D513" s="257"/>
      <c r="E513" s="419"/>
      <c r="F513" s="258"/>
      <c r="G513" s="259"/>
      <c r="H513" s="258"/>
      <c r="I513" s="421"/>
      <c r="J513" s="421"/>
      <c r="K513" s="421"/>
      <c r="L513" s="421"/>
      <c r="M513" s="255"/>
      <c r="N513" s="258"/>
    </row>
    <row r="514">
      <c r="A514" s="254"/>
      <c r="B514" s="255"/>
      <c r="C514" s="256"/>
      <c r="D514" s="257"/>
      <c r="E514" s="419"/>
      <c r="F514" s="258"/>
      <c r="G514" s="259"/>
      <c r="H514" s="258"/>
      <c r="I514" s="421"/>
      <c r="J514" s="421"/>
      <c r="K514" s="421"/>
      <c r="L514" s="421"/>
      <c r="M514" s="255"/>
      <c r="N514" s="258"/>
    </row>
    <row r="515">
      <c r="A515" s="254"/>
      <c r="B515" s="255"/>
      <c r="C515" s="256"/>
      <c r="D515" s="257"/>
      <c r="E515" s="419"/>
      <c r="F515" s="258"/>
      <c r="G515" s="259"/>
      <c r="H515" s="258"/>
      <c r="I515" s="421"/>
      <c r="J515" s="421"/>
      <c r="K515" s="421"/>
      <c r="L515" s="421"/>
      <c r="M515" s="255"/>
      <c r="N515" s="258"/>
    </row>
    <row r="516">
      <c r="A516" s="254"/>
      <c r="B516" s="255"/>
      <c r="C516" s="256"/>
      <c r="D516" s="257"/>
      <c r="E516" s="419"/>
      <c r="F516" s="258"/>
      <c r="G516" s="259"/>
      <c r="H516" s="258"/>
      <c r="I516" s="421"/>
      <c r="J516" s="421"/>
      <c r="K516" s="421"/>
      <c r="L516" s="421"/>
      <c r="M516" s="255"/>
      <c r="N516" s="258"/>
    </row>
    <row r="517">
      <c r="A517" s="254"/>
      <c r="B517" s="255"/>
      <c r="C517" s="256"/>
      <c r="D517" s="257"/>
      <c r="E517" s="419"/>
      <c r="F517" s="258"/>
      <c r="G517" s="259"/>
      <c r="H517" s="258"/>
      <c r="I517" s="421"/>
      <c r="J517" s="421"/>
      <c r="K517" s="421"/>
      <c r="L517" s="421"/>
      <c r="M517" s="255"/>
      <c r="N517" s="258"/>
    </row>
    <row r="518">
      <c r="A518" s="254"/>
      <c r="B518" s="255"/>
      <c r="C518" s="256"/>
      <c r="D518" s="257"/>
      <c r="E518" s="419"/>
      <c r="F518" s="258"/>
      <c r="G518" s="259"/>
      <c r="H518" s="258"/>
      <c r="I518" s="421"/>
      <c r="J518" s="421"/>
      <c r="K518" s="421"/>
      <c r="L518" s="421"/>
      <c r="M518" s="255"/>
      <c r="N518" s="258"/>
    </row>
    <row r="519">
      <c r="A519" s="254"/>
      <c r="B519" s="255"/>
      <c r="C519" s="256"/>
      <c r="D519" s="257"/>
      <c r="E519" s="419"/>
      <c r="F519" s="258"/>
      <c r="G519" s="259"/>
      <c r="H519" s="258"/>
      <c r="I519" s="421"/>
      <c r="J519" s="421"/>
      <c r="K519" s="421"/>
      <c r="L519" s="421"/>
      <c r="M519" s="255"/>
      <c r="N519" s="258"/>
    </row>
    <row r="520">
      <c r="A520" s="254"/>
      <c r="B520" s="255"/>
      <c r="C520" s="256"/>
      <c r="D520" s="257"/>
      <c r="E520" s="419"/>
      <c r="F520" s="258"/>
      <c r="G520" s="259"/>
      <c r="H520" s="258"/>
      <c r="I520" s="421"/>
      <c r="J520" s="421"/>
      <c r="K520" s="421"/>
      <c r="L520" s="421"/>
      <c r="M520" s="255"/>
      <c r="N520" s="258"/>
    </row>
    <row r="521">
      <c r="A521" s="254"/>
      <c r="B521" s="255"/>
      <c r="C521" s="256"/>
      <c r="D521" s="257"/>
      <c r="E521" s="419"/>
      <c r="F521" s="258"/>
      <c r="G521" s="259"/>
      <c r="H521" s="258"/>
      <c r="I521" s="421"/>
      <c r="J521" s="421"/>
      <c r="K521" s="421"/>
      <c r="L521" s="421"/>
      <c r="M521" s="255"/>
      <c r="N521" s="258"/>
    </row>
    <row r="522">
      <c r="A522" s="254"/>
      <c r="B522" s="255"/>
      <c r="C522" s="256"/>
      <c r="D522" s="257"/>
      <c r="E522" s="419"/>
      <c r="F522" s="258"/>
      <c r="G522" s="259"/>
      <c r="H522" s="258"/>
      <c r="I522" s="421"/>
      <c r="J522" s="421"/>
      <c r="K522" s="421"/>
      <c r="L522" s="421"/>
      <c r="M522" s="255"/>
      <c r="N522" s="258"/>
    </row>
    <row r="523">
      <c r="A523" s="254"/>
      <c r="B523" s="255"/>
      <c r="C523" s="256"/>
      <c r="D523" s="257"/>
      <c r="E523" s="419"/>
      <c r="F523" s="258"/>
      <c r="G523" s="259"/>
      <c r="H523" s="258"/>
      <c r="I523" s="421"/>
      <c r="J523" s="421"/>
      <c r="K523" s="421"/>
      <c r="L523" s="421"/>
      <c r="M523" s="255"/>
      <c r="N523" s="258"/>
    </row>
    <row r="524">
      <c r="A524" s="254"/>
      <c r="B524" s="255"/>
      <c r="C524" s="256"/>
      <c r="D524" s="257"/>
      <c r="E524" s="419"/>
      <c r="F524" s="258"/>
      <c r="G524" s="259"/>
      <c r="H524" s="258"/>
      <c r="I524" s="421"/>
      <c r="J524" s="421"/>
      <c r="K524" s="421"/>
      <c r="L524" s="421"/>
      <c r="M524" s="255"/>
      <c r="N524" s="258"/>
    </row>
    <row r="525">
      <c r="A525" s="254"/>
      <c r="B525" s="255"/>
      <c r="C525" s="256"/>
      <c r="D525" s="257"/>
      <c r="E525" s="419"/>
      <c r="F525" s="258"/>
      <c r="G525" s="259"/>
      <c r="H525" s="258"/>
      <c r="I525" s="421"/>
      <c r="J525" s="421"/>
      <c r="K525" s="421"/>
      <c r="L525" s="421"/>
      <c r="M525" s="255"/>
      <c r="N525" s="258"/>
    </row>
    <row r="526">
      <c r="A526" s="254"/>
      <c r="B526" s="255"/>
      <c r="C526" s="256"/>
      <c r="D526" s="257"/>
      <c r="E526" s="419"/>
      <c r="F526" s="258"/>
      <c r="G526" s="259"/>
      <c r="H526" s="258"/>
      <c r="I526" s="421"/>
      <c r="J526" s="421"/>
      <c r="K526" s="421"/>
      <c r="L526" s="421"/>
      <c r="M526" s="255"/>
      <c r="N526" s="258"/>
    </row>
    <row r="527">
      <c r="A527" s="254"/>
      <c r="B527" s="255"/>
      <c r="C527" s="256"/>
      <c r="D527" s="257"/>
      <c r="E527" s="419"/>
      <c r="F527" s="258"/>
      <c r="G527" s="259"/>
      <c r="H527" s="258"/>
      <c r="I527" s="421"/>
      <c r="J527" s="421"/>
      <c r="K527" s="421"/>
      <c r="L527" s="421"/>
      <c r="M527" s="255"/>
      <c r="N527" s="258"/>
    </row>
    <row r="528">
      <c r="A528" s="254"/>
      <c r="B528" s="255"/>
      <c r="C528" s="256"/>
      <c r="D528" s="257"/>
      <c r="E528" s="419"/>
      <c r="F528" s="258"/>
      <c r="G528" s="259"/>
      <c r="H528" s="258"/>
      <c r="I528" s="421"/>
      <c r="J528" s="421"/>
      <c r="K528" s="421"/>
      <c r="L528" s="421"/>
      <c r="M528" s="255"/>
      <c r="N528" s="258"/>
    </row>
    <row r="529">
      <c r="A529" s="254"/>
      <c r="B529" s="255"/>
      <c r="C529" s="256"/>
      <c r="D529" s="257"/>
      <c r="E529" s="419"/>
      <c r="F529" s="258"/>
      <c r="G529" s="259"/>
      <c r="H529" s="258"/>
      <c r="I529" s="421"/>
      <c r="J529" s="421"/>
      <c r="K529" s="421"/>
      <c r="L529" s="421"/>
      <c r="M529" s="255"/>
      <c r="N529" s="258"/>
    </row>
    <row r="530">
      <c r="A530" s="254"/>
      <c r="B530" s="255"/>
      <c r="C530" s="256"/>
      <c r="D530" s="257"/>
      <c r="E530" s="419"/>
      <c r="F530" s="258"/>
      <c r="G530" s="259"/>
      <c r="H530" s="258"/>
      <c r="I530" s="421"/>
      <c r="J530" s="421"/>
      <c r="K530" s="421"/>
      <c r="L530" s="421"/>
      <c r="M530" s="255"/>
      <c r="N530" s="258"/>
    </row>
    <row r="531">
      <c r="A531" s="254"/>
      <c r="B531" s="255"/>
      <c r="C531" s="256"/>
      <c r="D531" s="257"/>
      <c r="E531" s="419"/>
      <c r="F531" s="258"/>
      <c r="G531" s="259"/>
      <c r="H531" s="258"/>
      <c r="I531" s="421"/>
      <c r="J531" s="421"/>
      <c r="K531" s="421"/>
      <c r="L531" s="421"/>
      <c r="M531" s="255"/>
      <c r="N531" s="258"/>
    </row>
    <row r="532">
      <c r="A532" s="254"/>
      <c r="B532" s="255"/>
      <c r="C532" s="256"/>
      <c r="D532" s="257"/>
      <c r="E532" s="419"/>
      <c r="F532" s="258"/>
      <c r="G532" s="259"/>
      <c r="H532" s="258"/>
      <c r="I532" s="421"/>
      <c r="J532" s="421"/>
      <c r="K532" s="421"/>
      <c r="L532" s="421"/>
      <c r="M532" s="255"/>
      <c r="N532" s="258"/>
    </row>
    <row r="533">
      <c r="A533" s="254"/>
      <c r="B533" s="255"/>
      <c r="C533" s="256"/>
      <c r="D533" s="257"/>
      <c r="E533" s="419"/>
      <c r="F533" s="258"/>
      <c r="G533" s="259"/>
      <c r="H533" s="258"/>
      <c r="I533" s="421"/>
      <c r="J533" s="421"/>
      <c r="K533" s="421"/>
      <c r="L533" s="421"/>
      <c r="M533" s="255"/>
      <c r="N533" s="258"/>
    </row>
    <row r="534">
      <c r="A534" s="254"/>
      <c r="B534" s="255"/>
      <c r="C534" s="256"/>
      <c r="D534" s="257"/>
      <c r="E534" s="419"/>
      <c r="F534" s="258"/>
      <c r="G534" s="259"/>
      <c r="H534" s="258"/>
      <c r="I534" s="421"/>
      <c r="J534" s="421"/>
      <c r="K534" s="421"/>
      <c r="L534" s="421"/>
      <c r="M534" s="255"/>
      <c r="N534" s="258"/>
    </row>
    <row r="535">
      <c r="A535" s="254"/>
      <c r="B535" s="255"/>
      <c r="C535" s="256"/>
      <c r="D535" s="257"/>
      <c r="E535" s="419"/>
      <c r="F535" s="258"/>
      <c r="G535" s="259"/>
      <c r="H535" s="258"/>
      <c r="I535" s="421"/>
      <c r="J535" s="421"/>
      <c r="K535" s="421"/>
      <c r="L535" s="421"/>
      <c r="M535" s="255"/>
      <c r="N535" s="258"/>
    </row>
    <row r="536">
      <c r="A536" s="254"/>
      <c r="B536" s="255"/>
      <c r="C536" s="256"/>
      <c r="D536" s="257"/>
      <c r="E536" s="419"/>
      <c r="F536" s="258"/>
      <c r="G536" s="259"/>
      <c r="H536" s="258"/>
      <c r="I536" s="421"/>
      <c r="J536" s="421"/>
      <c r="K536" s="421"/>
      <c r="L536" s="421"/>
      <c r="M536" s="255"/>
      <c r="N536" s="258"/>
    </row>
    <row r="537">
      <c r="A537" s="254"/>
      <c r="B537" s="255"/>
      <c r="C537" s="256"/>
      <c r="D537" s="257"/>
      <c r="E537" s="419"/>
      <c r="F537" s="258"/>
      <c r="G537" s="259"/>
      <c r="H537" s="258"/>
      <c r="I537" s="421"/>
      <c r="J537" s="421"/>
      <c r="K537" s="421"/>
      <c r="L537" s="421"/>
      <c r="M537" s="255"/>
      <c r="N537" s="258"/>
    </row>
    <row r="538">
      <c r="A538" s="254"/>
      <c r="B538" s="255"/>
      <c r="C538" s="256"/>
      <c r="D538" s="257"/>
      <c r="E538" s="419"/>
      <c r="F538" s="258"/>
      <c r="G538" s="259"/>
      <c r="H538" s="258"/>
      <c r="I538" s="421"/>
      <c r="J538" s="421"/>
      <c r="K538" s="421"/>
      <c r="L538" s="421"/>
      <c r="M538" s="255"/>
      <c r="N538" s="258"/>
    </row>
    <row r="539">
      <c r="A539" s="254"/>
      <c r="B539" s="255"/>
      <c r="C539" s="256"/>
      <c r="D539" s="257"/>
      <c r="E539" s="419"/>
      <c r="F539" s="258"/>
      <c r="G539" s="259"/>
      <c r="H539" s="258"/>
      <c r="I539" s="421"/>
      <c r="J539" s="421"/>
      <c r="K539" s="421"/>
      <c r="L539" s="421"/>
      <c r="M539" s="255"/>
      <c r="N539" s="258"/>
    </row>
    <row r="540">
      <c r="A540" s="254"/>
      <c r="B540" s="255"/>
      <c r="C540" s="256"/>
      <c r="D540" s="257"/>
      <c r="E540" s="419"/>
      <c r="F540" s="258"/>
      <c r="G540" s="259"/>
      <c r="H540" s="258"/>
      <c r="I540" s="421"/>
      <c r="J540" s="421"/>
      <c r="K540" s="421"/>
      <c r="L540" s="421"/>
      <c r="M540" s="255"/>
      <c r="N540" s="258"/>
    </row>
    <row r="541">
      <c r="A541" s="254"/>
      <c r="B541" s="255"/>
      <c r="C541" s="256"/>
      <c r="D541" s="257"/>
      <c r="E541" s="419"/>
      <c r="F541" s="258"/>
      <c r="G541" s="259"/>
      <c r="H541" s="258"/>
      <c r="I541" s="421"/>
      <c r="J541" s="421"/>
      <c r="K541" s="421"/>
      <c r="L541" s="421"/>
      <c r="M541" s="255"/>
      <c r="N541" s="258"/>
    </row>
    <row r="542">
      <c r="A542" s="254"/>
      <c r="B542" s="255"/>
      <c r="C542" s="256"/>
      <c r="D542" s="257"/>
      <c r="E542" s="419"/>
      <c r="F542" s="258"/>
      <c r="G542" s="259"/>
      <c r="H542" s="258"/>
      <c r="I542" s="421"/>
      <c r="J542" s="421"/>
      <c r="K542" s="421"/>
      <c r="L542" s="421"/>
      <c r="M542" s="255"/>
      <c r="N542" s="258"/>
    </row>
    <row r="543">
      <c r="A543" s="254"/>
      <c r="B543" s="255"/>
      <c r="C543" s="256"/>
      <c r="D543" s="257"/>
      <c r="E543" s="419"/>
      <c r="F543" s="258"/>
      <c r="G543" s="259"/>
      <c r="H543" s="258"/>
      <c r="I543" s="421"/>
      <c r="J543" s="421"/>
      <c r="K543" s="421"/>
      <c r="L543" s="421"/>
      <c r="M543" s="255"/>
      <c r="N543" s="258"/>
    </row>
    <row r="544">
      <c r="A544" s="254"/>
      <c r="B544" s="255"/>
      <c r="C544" s="256"/>
      <c r="D544" s="257"/>
      <c r="E544" s="419"/>
      <c r="F544" s="258"/>
      <c r="G544" s="259"/>
      <c r="H544" s="258"/>
      <c r="I544" s="421"/>
      <c r="J544" s="421"/>
      <c r="K544" s="421"/>
      <c r="L544" s="421"/>
      <c r="M544" s="255"/>
      <c r="N544" s="258"/>
    </row>
    <row r="545">
      <c r="A545" s="254"/>
      <c r="B545" s="255"/>
      <c r="C545" s="256"/>
      <c r="D545" s="257"/>
      <c r="E545" s="419"/>
      <c r="F545" s="258"/>
      <c r="G545" s="259"/>
      <c r="H545" s="258"/>
      <c r="I545" s="421"/>
      <c r="J545" s="421"/>
      <c r="K545" s="421"/>
      <c r="L545" s="421"/>
      <c r="M545" s="255"/>
      <c r="N545" s="258"/>
    </row>
    <row r="546">
      <c r="A546" s="254"/>
      <c r="B546" s="255"/>
      <c r="C546" s="256"/>
      <c r="D546" s="257"/>
      <c r="E546" s="419"/>
      <c r="F546" s="258"/>
      <c r="G546" s="259"/>
      <c r="H546" s="258"/>
      <c r="I546" s="421"/>
      <c r="J546" s="421"/>
      <c r="K546" s="421"/>
      <c r="L546" s="421"/>
      <c r="M546" s="255"/>
      <c r="N546" s="258"/>
    </row>
    <row r="547">
      <c r="A547" s="254"/>
      <c r="B547" s="255"/>
      <c r="C547" s="256"/>
      <c r="D547" s="257"/>
      <c r="E547" s="419"/>
      <c r="F547" s="258"/>
      <c r="G547" s="259"/>
      <c r="H547" s="258"/>
      <c r="I547" s="421"/>
      <c r="J547" s="421"/>
      <c r="K547" s="421"/>
      <c r="L547" s="421"/>
      <c r="M547" s="255"/>
      <c r="N547" s="258"/>
    </row>
    <row r="548">
      <c r="A548" s="254"/>
      <c r="B548" s="255"/>
      <c r="C548" s="256"/>
      <c r="D548" s="257"/>
      <c r="E548" s="419"/>
      <c r="F548" s="258"/>
      <c r="G548" s="259"/>
      <c r="H548" s="258"/>
      <c r="I548" s="421"/>
      <c r="J548" s="421"/>
      <c r="K548" s="421"/>
      <c r="L548" s="421"/>
      <c r="M548" s="255"/>
      <c r="N548" s="258"/>
    </row>
    <row r="549">
      <c r="A549" s="254"/>
      <c r="B549" s="255"/>
      <c r="C549" s="256"/>
      <c r="D549" s="257"/>
      <c r="E549" s="419"/>
      <c r="F549" s="258"/>
      <c r="G549" s="259"/>
      <c r="H549" s="258"/>
      <c r="I549" s="421"/>
      <c r="J549" s="421"/>
      <c r="K549" s="421"/>
      <c r="L549" s="421"/>
      <c r="M549" s="255"/>
      <c r="N549" s="258"/>
    </row>
    <row r="550">
      <c r="A550" s="254"/>
      <c r="B550" s="255"/>
      <c r="C550" s="256"/>
      <c r="D550" s="257"/>
      <c r="E550" s="419"/>
      <c r="F550" s="258"/>
      <c r="G550" s="259"/>
      <c r="H550" s="258"/>
      <c r="I550" s="421"/>
      <c r="J550" s="421"/>
      <c r="K550" s="421"/>
      <c r="L550" s="421"/>
      <c r="M550" s="255"/>
      <c r="N550" s="258"/>
    </row>
    <row r="551">
      <c r="A551" s="254"/>
      <c r="B551" s="255"/>
      <c r="C551" s="256"/>
      <c r="D551" s="257"/>
      <c r="E551" s="419"/>
      <c r="F551" s="258"/>
      <c r="G551" s="259"/>
      <c r="H551" s="258"/>
      <c r="I551" s="421"/>
      <c r="J551" s="421"/>
      <c r="K551" s="421"/>
      <c r="L551" s="421"/>
      <c r="M551" s="255"/>
      <c r="N551" s="258"/>
    </row>
    <row r="552">
      <c r="A552" s="254"/>
      <c r="B552" s="255"/>
      <c r="C552" s="256"/>
      <c r="D552" s="257"/>
      <c r="E552" s="419"/>
      <c r="F552" s="258"/>
      <c r="G552" s="259"/>
      <c r="H552" s="258"/>
      <c r="I552" s="421"/>
      <c r="J552" s="421"/>
      <c r="K552" s="421"/>
      <c r="L552" s="421"/>
      <c r="M552" s="255"/>
      <c r="N552" s="258"/>
    </row>
    <row r="553">
      <c r="A553" s="254"/>
      <c r="B553" s="255"/>
      <c r="C553" s="256"/>
      <c r="D553" s="257"/>
      <c r="E553" s="419"/>
      <c r="F553" s="258"/>
      <c r="G553" s="259"/>
      <c r="H553" s="258"/>
      <c r="I553" s="421"/>
      <c r="J553" s="421"/>
      <c r="K553" s="421"/>
      <c r="L553" s="421"/>
      <c r="M553" s="255"/>
      <c r="N553" s="258"/>
    </row>
    <row r="554">
      <c r="A554" s="254"/>
      <c r="B554" s="255"/>
      <c r="C554" s="256"/>
      <c r="D554" s="257"/>
      <c r="E554" s="419"/>
      <c r="F554" s="258"/>
      <c r="G554" s="259"/>
      <c r="H554" s="258"/>
      <c r="I554" s="421"/>
      <c r="J554" s="421"/>
      <c r="K554" s="421"/>
      <c r="L554" s="421"/>
      <c r="M554" s="255"/>
      <c r="N554" s="258"/>
    </row>
    <row r="555">
      <c r="A555" s="254"/>
      <c r="B555" s="255"/>
      <c r="C555" s="256"/>
      <c r="D555" s="257"/>
      <c r="E555" s="419"/>
      <c r="F555" s="258"/>
      <c r="G555" s="259"/>
      <c r="H555" s="258"/>
      <c r="I555" s="421"/>
      <c r="J555" s="421"/>
      <c r="K555" s="421"/>
      <c r="L555" s="421"/>
      <c r="M555" s="255"/>
      <c r="N555" s="258"/>
    </row>
    <row r="556">
      <c r="A556" s="254"/>
      <c r="B556" s="255"/>
      <c r="C556" s="256"/>
      <c r="D556" s="257"/>
      <c r="E556" s="419"/>
      <c r="F556" s="258"/>
      <c r="G556" s="259"/>
      <c r="H556" s="258"/>
      <c r="I556" s="421"/>
      <c r="J556" s="421"/>
      <c r="K556" s="421"/>
      <c r="L556" s="421"/>
      <c r="M556" s="255"/>
      <c r="N556" s="258"/>
    </row>
    <row r="557">
      <c r="A557" s="254"/>
      <c r="B557" s="255"/>
      <c r="C557" s="256"/>
      <c r="D557" s="257"/>
      <c r="E557" s="419"/>
      <c r="F557" s="258"/>
      <c r="G557" s="259"/>
      <c r="H557" s="258"/>
      <c r="I557" s="421"/>
      <c r="J557" s="421"/>
      <c r="K557" s="421"/>
      <c r="L557" s="421"/>
      <c r="M557" s="255"/>
      <c r="N557" s="258"/>
    </row>
    <row r="558">
      <c r="A558" s="254"/>
      <c r="B558" s="255"/>
      <c r="C558" s="256"/>
      <c r="D558" s="257"/>
      <c r="E558" s="419"/>
      <c r="F558" s="258"/>
      <c r="G558" s="259"/>
      <c r="H558" s="258"/>
      <c r="I558" s="421"/>
      <c r="J558" s="421"/>
      <c r="K558" s="421"/>
      <c r="L558" s="421"/>
      <c r="M558" s="255"/>
      <c r="N558" s="258"/>
    </row>
    <row r="559">
      <c r="A559" s="254"/>
      <c r="B559" s="255"/>
      <c r="C559" s="256"/>
      <c r="D559" s="257"/>
      <c r="E559" s="419"/>
      <c r="F559" s="258"/>
      <c r="G559" s="259"/>
      <c r="H559" s="258"/>
      <c r="I559" s="421"/>
      <c r="J559" s="421"/>
      <c r="K559" s="421"/>
      <c r="L559" s="421"/>
      <c r="M559" s="255"/>
      <c r="N559" s="258"/>
    </row>
    <row r="560">
      <c r="A560" s="254"/>
      <c r="B560" s="255"/>
      <c r="C560" s="256"/>
      <c r="D560" s="257"/>
      <c r="E560" s="419"/>
      <c r="F560" s="258"/>
      <c r="G560" s="259"/>
      <c r="H560" s="258"/>
      <c r="I560" s="421"/>
      <c r="J560" s="421"/>
      <c r="K560" s="421"/>
      <c r="L560" s="421"/>
      <c r="M560" s="255"/>
      <c r="N560" s="258"/>
    </row>
    <row r="561">
      <c r="A561" s="254"/>
      <c r="B561" s="255"/>
      <c r="C561" s="256"/>
      <c r="D561" s="257"/>
      <c r="E561" s="419"/>
      <c r="F561" s="258"/>
      <c r="G561" s="259"/>
      <c r="H561" s="258"/>
      <c r="I561" s="421"/>
      <c r="J561" s="421"/>
      <c r="K561" s="421"/>
      <c r="L561" s="421"/>
      <c r="M561" s="255"/>
      <c r="N561" s="258"/>
    </row>
    <row r="562">
      <c r="A562" s="254"/>
      <c r="B562" s="255"/>
      <c r="C562" s="256"/>
      <c r="D562" s="257"/>
      <c r="E562" s="419"/>
      <c r="F562" s="258"/>
      <c r="G562" s="259"/>
      <c r="H562" s="258"/>
      <c r="I562" s="421"/>
      <c r="J562" s="421"/>
      <c r="K562" s="421"/>
      <c r="L562" s="421"/>
      <c r="M562" s="255"/>
      <c r="N562" s="258"/>
    </row>
    <row r="563">
      <c r="A563" s="254"/>
      <c r="B563" s="255"/>
      <c r="C563" s="256"/>
      <c r="D563" s="257"/>
      <c r="E563" s="419"/>
      <c r="F563" s="258"/>
      <c r="G563" s="259"/>
      <c r="H563" s="258"/>
      <c r="I563" s="421"/>
      <c r="J563" s="421"/>
      <c r="K563" s="421"/>
      <c r="L563" s="421"/>
      <c r="M563" s="255"/>
      <c r="N563" s="258"/>
    </row>
    <row r="564">
      <c r="A564" s="254"/>
      <c r="B564" s="255"/>
      <c r="C564" s="256"/>
      <c r="D564" s="257"/>
      <c r="E564" s="419"/>
      <c r="F564" s="258"/>
      <c r="G564" s="259"/>
      <c r="H564" s="258"/>
      <c r="I564" s="421"/>
      <c r="J564" s="421"/>
      <c r="K564" s="421"/>
      <c r="L564" s="421"/>
      <c r="M564" s="255"/>
      <c r="N564" s="258"/>
    </row>
    <row r="565">
      <c r="A565" s="254"/>
      <c r="B565" s="255"/>
      <c r="C565" s="256"/>
      <c r="D565" s="257"/>
      <c r="E565" s="419"/>
      <c r="F565" s="258"/>
      <c r="G565" s="259"/>
      <c r="H565" s="258"/>
      <c r="I565" s="421"/>
      <c r="J565" s="421"/>
      <c r="K565" s="421"/>
      <c r="L565" s="421"/>
      <c r="M565" s="255"/>
      <c r="N565" s="258"/>
    </row>
    <row r="566">
      <c r="A566" s="254"/>
      <c r="B566" s="255"/>
      <c r="C566" s="256"/>
      <c r="D566" s="257"/>
      <c r="E566" s="419"/>
      <c r="F566" s="258"/>
      <c r="G566" s="259"/>
      <c r="H566" s="258"/>
      <c r="I566" s="421"/>
      <c r="J566" s="421"/>
      <c r="K566" s="421"/>
      <c r="L566" s="421"/>
      <c r="M566" s="255"/>
      <c r="N566" s="258"/>
    </row>
    <row r="567">
      <c r="A567" s="254"/>
      <c r="B567" s="255"/>
      <c r="C567" s="256"/>
      <c r="D567" s="257"/>
      <c r="E567" s="419"/>
      <c r="F567" s="258"/>
      <c r="G567" s="259"/>
      <c r="H567" s="258"/>
      <c r="I567" s="421"/>
      <c r="J567" s="421"/>
      <c r="K567" s="421"/>
      <c r="L567" s="421"/>
      <c r="M567" s="255"/>
      <c r="N567" s="258"/>
    </row>
    <row r="568">
      <c r="A568" s="254"/>
      <c r="B568" s="255"/>
      <c r="C568" s="256"/>
      <c r="D568" s="257"/>
      <c r="E568" s="419"/>
      <c r="F568" s="258"/>
      <c r="G568" s="259"/>
      <c r="H568" s="258"/>
      <c r="I568" s="421"/>
      <c r="J568" s="421"/>
      <c r="K568" s="421"/>
      <c r="L568" s="421"/>
      <c r="M568" s="255"/>
      <c r="N568" s="258"/>
    </row>
    <row r="569">
      <c r="A569" s="254"/>
      <c r="B569" s="255"/>
      <c r="C569" s="256"/>
      <c r="D569" s="257"/>
      <c r="E569" s="419"/>
      <c r="F569" s="258"/>
      <c r="G569" s="259"/>
      <c r="H569" s="258"/>
      <c r="I569" s="421"/>
      <c r="J569" s="421"/>
      <c r="K569" s="421"/>
      <c r="L569" s="421"/>
      <c r="M569" s="255"/>
      <c r="N569" s="258"/>
    </row>
    <row r="570">
      <c r="A570" s="254"/>
      <c r="B570" s="255"/>
      <c r="C570" s="256"/>
      <c r="D570" s="257"/>
      <c r="E570" s="419"/>
      <c r="F570" s="258"/>
      <c r="G570" s="259"/>
      <c r="H570" s="258"/>
      <c r="I570" s="421"/>
      <c r="J570" s="421"/>
      <c r="K570" s="421"/>
      <c r="L570" s="421"/>
      <c r="M570" s="255"/>
      <c r="N570" s="258"/>
    </row>
    <row r="571">
      <c r="A571" s="254"/>
      <c r="B571" s="255"/>
      <c r="C571" s="256"/>
      <c r="D571" s="257"/>
      <c r="E571" s="419"/>
      <c r="F571" s="258"/>
      <c r="G571" s="259"/>
      <c r="H571" s="258"/>
      <c r="I571" s="421"/>
      <c r="J571" s="421"/>
      <c r="K571" s="421"/>
      <c r="L571" s="421"/>
      <c r="M571" s="255"/>
      <c r="N571" s="258"/>
    </row>
    <row r="572">
      <c r="A572" s="254"/>
      <c r="B572" s="255"/>
      <c r="C572" s="256"/>
      <c r="D572" s="257"/>
      <c r="E572" s="419"/>
      <c r="F572" s="258"/>
      <c r="G572" s="259"/>
      <c r="H572" s="258"/>
      <c r="I572" s="421"/>
      <c r="J572" s="421"/>
      <c r="K572" s="421"/>
      <c r="L572" s="421"/>
      <c r="M572" s="255"/>
      <c r="N572" s="258"/>
    </row>
    <row r="573">
      <c r="A573" s="254"/>
      <c r="B573" s="255"/>
      <c r="C573" s="256"/>
      <c r="D573" s="257"/>
      <c r="E573" s="419"/>
      <c r="F573" s="258"/>
      <c r="G573" s="259"/>
      <c r="H573" s="258"/>
      <c r="I573" s="421"/>
      <c r="J573" s="421"/>
      <c r="K573" s="421"/>
      <c r="L573" s="421"/>
      <c r="M573" s="255"/>
      <c r="N573" s="258"/>
    </row>
    <row r="574">
      <c r="A574" s="254"/>
      <c r="B574" s="255"/>
      <c r="C574" s="256"/>
      <c r="D574" s="257"/>
      <c r="E574" s="419"/>
      <c r="F574" s="258"/>
      <c r="G574" s="259"/>
      <c r="H574" s="258"/>
      <c r="I574" s="421"/>
      <c r="J574" s="421"/>
      <c r="K574" s="421"/>
      <c r="L574" s="421"/>
      <c r="M574" s="255"/>
      <c r="N574" s="258"/>
    </row>
    <row r="575">
      <c r="A575" s="254"/>
      <c r="B575" s="255"/>
      <c r="C575" s="256"/>
      <c r="D575" s="257"/>
      <c r="E575" s="419"/>
      <c r="F575" s="258"/>
      <c r="G575" s="259"/>
      <c r="H575" s="258"/>
      <c r="I575" s="421"/>
      <c r="J575" s="421"/>
      <c r="K575" s="421"/>
      <c r="L575" s="421"/>
      <c r="M575" s="255"/>
      <c r="N575" s="258"/>
    </row>
    <row r="576">
      <c r="A576" s="254"/>
      <c r="B576" s="255"/>
      <c r="C576" s="256"/>
      <c r="D576" s="257"/>
      <c r="E576" s="419"/>
      <c r="F576" s="258"/>
      <c r="G576" s="259"/>
      <c r="H576" s="258"/>
      <c r="I576" s="421"/>
      <c r="J576" s="421"/>
      <c r="K576" s="421"/>
      <c r="L576" s="421"/>
      <c r="M576" s="255"/>
      <c r="N576" s="258"/>
    </row>
    <row r="577">
      <c r="A577" s="254"/>
      <c r="B577" s="255"/>
      <c r="C577" s="256"/>
      <c r="D577" s="257"/>
      <c r="E577" s="419"/>
      <c r="F577" s="258"/>
      <c r="G577" s="259"/>
      <c r="H577" s="258"/>
      <c r="I577" s="421"/>
      <c r="J577" s="421"/>
      <c r="K577" s="421"/>
      <c r="L577" s="421"/>
      <c r="M577" s="255"/>
      <c r="N577" s="258"/>
    </row>
    <row r="578">
      <c r="A578" s="254"/>
      <c r="B578" s="255"/>
      <c r="C578" s="256"/>
      <c r="D578" s="257"/>
      <c r="E578" s="419"/>
      <c r="F578" s="258"/>
      <c r="G578" s="259"/>
      <c r="H578" s="258"/>
      <c r="I578" s="421"/>
      <c r="J578" s="421"/>
      <c r="K578" s="421"/>
      <c r="L578" s="421"/>
      <c r="M578" s="255"/>
      <c r="N578" s="258"/>
    </row>
    <row r="579">
      <c r="A579" s="254"/>
      <c r="B579" s="255"/>
      <c r="C579" s="256"/>
      <c r="D579" s="257"/>
      <c r="E579" s="419"/>
      <c r="F579" s="258"/>
      <c r="G579" s="259"/>
      <c r="H579" s="258"/>
      <c r="I579" s="421"/>
      <c r="J579" s="421"/>
      <c r="K579" s="421"/>
      <c r="L579" s="421"/>
      <c r="M579" s="255"/>
      <c r="N579" s="258"/>
    </row>
    <row r="580">
      <c r="A580" s="254"/>
      <c r="B580" s="255"/>
      <c r="C580" s="256"/>
      <c r="D580" s="257"/>
      <c r="E580" s="419"/>
      <c r="F580" s="258"/>
      <c r="G580" s="259"/>
      <c r="H580" s="258"/>
      <c r="I580" s="421"/>
      <c r="J580" s="421"/>
      <c r="K580" s="421"/>
      <c r="L580" s="421"/>
      <c r="M580" s="255"/>
      <c r="N580" s="258"/>
    </row>
    <row r="581">
      <c r="A581" s="254"/>
      <c r="B581" s="255"/>
      <c r="C581" s="256"/>
      <c r="D581" s="257"/>
      <c r="E581" s="419"/>
      <c r="F581" s="258"/>
      <c r="G581" s="259"/>
      <c r="H581" s="258"/>
      <c r="I581" s="421"/>
      <c r="J581" s="421"/>
      <c r="K581" s="421"/>
      <c r="L581" s="421"/>
      <c r="M581" s="255"/>
      <c r="N581" s="258"/>
    </row>
    <row r="582">
      <c r="A582" s="254"/>
      <c r="B582" s="255"/>
      <c r="C582" s="256"/>
      <c r="D582" s="257"/>
      <c r="E582" s="419"/>
      <c r="F582" s="258"/>
      <c r="G582" s="259"/>
      <c r="H582" s="258"/>
      <c r="I582" s="421"/>
      <c r="J582" s="421"/>
      <c r="K582" s="421"/>
      <c r="L582" s="421"/>
      <c r="M582" s="255"/>
      <c r="N582" s="258"/>
    </row>
    <row r="583">
      <c r="A583" s="254"/>
      <c r="B583" s="255"/>
      <c r="C583" s="256"/>
      <c r="D583" s="257"/>
      <c r="E583" s="419"/>
      <c r="F583" s="258"/>
      <c r="G583" s="259"/>
      <c r="H583" s="258"/>
      <c r="I583" s="421"/>
      <c r="J583" s="421"/>
      <c r="K583" s="421"/>
      <c r="L583" s="421"/>
      <c r="M583" s="255"/>
      <c r="N583" s="258"/>
    </row>
    <row r="584">
      <c r="A584" s="254"/>
      <c r="B584" s="255"/>
      <c r="C584" s="256"/>
      <c r="D584" s="257"/>
      <c r="E584" s="419"/>
      <c r="F584" s="258"/>
      <c r="G584" s="259"/>
      <c r="H584" s="258"/>
      <c r="I584" s="421"/>
      <c r="J584" s="421"/>
      <c r="K584" s="421"/>
      <c r="L584" s="421"/>
      <c r="M584" s="255"/>
      <c r="N584" s="258"/>
    </row>
    <row r="585">
      <c r="A585" s="254"/>
      <c r="B585" s="255"/>
      <c r="C585" s="256"/>
      <c r="D585" s="257"/>
      <c r="E585" s="419"/>
      <c r="F585" s="258"/>
      <c r="G585" s="259"/>
      <c r="H585" s="258"/>
      <c r="I585" s="421"/>
      <c r="J585" s="421"/>
      <c r="K585" s="421"/>
      <c r="L585" s="421"/>
      <c r="M585" s="255"/>
      <c r="N585" s="258"/>
    </row>
    <row r="586">
      <c r="A586" s="254"/>
      <c r="B586" s="255"/>
      <c r="C586" s="256"/>
      <c r="D586" s="257"/>
      <c r="E586" s="419"/>
      <c r="F586" s="258"/>
      <c r="G586" s="259"/>
      <c r="H586" s="258"/>
      <c r="I586" s="421"/>
      <c r="J586" s="421"/>
      <c r="K586" s="421"/>
      <c r="L586" s="421"/>
      <c r="M586" s="255"/>
      <c r="N586" s="258"/>
    </row>
    <row r="587">
      <c r="A587" s="254"/>
      <c r="B587" s="255"/>
      <c r="C587" s="256"/>
      <c r="D587" s="257"/>
      <c r="E587" s="419"/>
      <c r="F587" s="258"/>
      <c r="G587" s="259"/>
      <c r="H587" s="258"/>
      <c r="I587" s="421"/>
      <c r="J587" s="421"/>
      <c r="K587" s="421"/>
      <c r="L587" s="421"/>
      <c r="M587" s="255"/>
      <c r="N587" s="258"/>
    </row>
    <row r="588">
      <c r="A588" s="254"/>
      <c r="B588" s="255"/>
      <c r="C588" s="256"/>
      <c r="D588" s="257"/>
      <c r="E588" s="419"/>
      <c r="F588" s="258"/>
      <c r="G588" s="259"/>
      <c r="H588" s="258"/>
      <c r="I588" s="421"/>
      <c r="J588" s="421"/>
      <c r="K588" s="421"/>
      <c r="L588" s="421"/>
      <c r="M588" s="255"/>
      <c r="N588" s="258"/>
    </row>
    <row r="589">
      <c r="A589" s="254"/>
      <c r="B589" s="255"/>
      <c r="C589" s="256"/>
      <c r="D589" s="257"/>
      <c r="E589" s="419"/>
      <c r="F589" s="258"/>
      <c r="G589" s="259"/>
      <c r="H589" s="258"/>
      <c r="I589" s="421"/>
      <c r="J589" s="421"/>
      <c r="K589" s="421"/>
      <c r="L589" s="421"/>
      <c r="M589" s="255"/>
      <c r="N589" s="258"/>
    </row>
    <row r="590">
      <c r="A590" s="254"/>
      <c r="B590" s="255"/>
      <c r="C590" s="256"/>
      <c r="D590" s="257"/>
      <c r="E590" s="419"/>
      <c r="F590" s="258"/>
      <c r="G590" s="259"/>
      <c r="H590" s="258"/>
      <c r="I590" s="421"/>
      <c r="J590" s="421"/>
      <c r="K590" s="421"/>
      <c r="L590" s="421"/>
      <c r="M590" s="255"/>
      <c r="N590" s="258"/>
    </row>
    <row r="591">
      <c r="A591" s="254"/>
      <c r="B591" s="255"/>
      <c r="C591" s="256"/>
      <c r="D591" s="257"/>
      <c r="E591" s="419"/>
      <c r="F591" s="258"/>
      <c r="G591" s="259"/>
      <c r="H591" s="258"/>
      <c r="I591" s="421"/>
      <c r="J591" s="421"/>
      <c r="K591" s="421"/>
      <c r="L591" s="421"/>
      <c r="M591" s="255"/>
      <c r="N591" s="258"/>
    </row>
    <row r="592">
      <c r="A592" s="254"/>
      <c r="B592" s="255"/>
      <c r="C592" s="256"/>
      <c r="D592" s="257"/>
      <c r="E592" s="419"/>
      <c r="F592" s="258"/>
      <c r="G592" s="259"/>
      <c r="H592" s="258"/>
      <c r="I592" s="421"/>
      <c r="J592" s="421"/>
      <c r="K592" s="421"/>
      <c r="L592" s="421"/>
      <c r="M592" s="255"/>
      <c r="N592" s="258"/>
    </row>
    <row r="593">
      <c r="A593" s="254"/>
      <c r="B593" s="255"/>
      <c r="C593" s="256"/>
      <c r="D593" s="257"/>
      <c r="E593" s="419"/>
      <c r="F593" s="258"/>
      <c r="G593" s="259"/>
      <c r="H593" s="258"/>
      <c r="I593" s="421"/>
      <c r="J593" s="421"/>
      <c r="K593" s="421"/>
      <c r="L593" s="421"/>
      <c r="M593" s="255"/>
      <c r="N593" s="258"/>
    </row>
    <row r="594">
      <c r="A594" s="254"/>
      <c r="B594" s="255"/>
      <c r="C594" s="256"/>
      <c r="D594" s="257"/>
      <c r="E594" s="419"/>
      <c r="F594" s="258"/>
      <c r="G594" s="259"/>
      <c r="H594" s="258"/>
      <c r="I594" s="421"/>
      <c r="J594" s="421"/>
      <c r="K594" s="421"/>
      <c r="L594" s="421"/>
      <c r="M594" s="255"/>
      <c r="N594" s="258"/>
    </row>
    <row r="595">
      <c r="A595" s="254"/>
      <c r="B595" s="255"/>
      <c r="C595" s="256"/>
      <c r="D595" s="257"/>
      <c r="E595" s="419"/>
      <c r="F595" s="258"/>
      <c r="G595" s="259"/>
      <c r="H595" s="258"/>
      <c r="I595" s="421"/>
      <c r="J595" s="421"/>
      <c r="K595" s="421"/>
      <c r="L595" s="421"/>
      <c r="M595" s="255"/>
      <c r="N595" s="258"/>
    </row>
    <row r="596">
      <c r="A596" s="254"/>
      <c r="B596" s="255"/>
      <c r="C596" s="256"/>
      <c r="D596" s="257"/>
      <c r="E596" s="419"/>
      <c r="F596" s="258"/>
      <c r="G596" s="259"/>
      <c r="H596" s="258"/>
      <c r="I596" s="421"/>
      <c r="J596" s="421"/>
      <c r="K596" s="421"/>
      <c r="L596" s="421"/>
      <c r="M596" s="255"/>
      <c r="N596" s="258"/>
    </row>
    <row r="597">
      <c r="A597" s="254"/>
      <c r="B597" s="255"/>
      <c r="C597" s="256"/>
      <c r="D597" s="257"/>
      <c r="E597" s="419"/>
      <c r="F597" s="258"/>
      <c r="G597" s="259"/>
      <c r="H597" s="258"/>
      <c r="I597" s="421"/>
      <c r="J597" s="421"/>
      <c r="K597" s="421"/>
      <c r="L597" s="421"/>
      <c r="M597" s="255"/>
      <c r="N597" s="258"/>
    </row>
    <row r="598">
      <c r="A598" s="254"/>
      <c r="B598" s="255"/>
      <c r="C598" s="256"/>
      <c r="D598" s="257"/>
      <c r="E598" s="419"/>
      <c r="F598" s="258"/>
      <c r="G598" s="259"/>
      <c r="H598" s="258"/>
      <c r="I598" s="421"/>
      <c r="J598" s="421"/>
      <c r="K598" s="421"/>
      <c r="L598" s="421"/>
      <c r="M598" s="255"/>
      <c r="N598" s="258"/>
    </row>
    <row r="599">
      <c r="A599" s="254"/>
      <c r="B599" s="255"/>
      <c r="C599" s="256"/>
      <c r="D599" s="257"/>
      <c r="E599" s="419"/>
      <c r="F599" s="258"/>
      <c r="G599" s="259"/>
      <c r="H599" s="258"/>
      <c r="I599" s="421"/>
      <c r="J599" s="421"/>
      <c r="K599" s="421"/>
      <c r="L599" s="421"/>
      <c r="M599" s="255"/>
      <c r="N599" s="258"/>
    </row>
    <row r="600">
      <c r="A600" s="254"/>
      <c r="B600" s="255"/>
      <c r="C600" s="256"/>
      <c r="D600" s="257"/>
      <c r="E600" s="419"/>
      <c r="F600" s="258"/>
      <c r="G600" s="259"/>
      <c r="H600" s="258"/>
      <c r="I600" s="421"/>
      <c r="J600" s="421"/>
      <c r="K600" s="421"/>
      <c r="L600" s="421"/>
      <c r="M600" s="255"/>
      <c r="N600" s="258"/>
    </row>
    <row r="601">
      <c r="A601" s="254"/>
      <c r="B601" s="255"/>
      <c r="C601" s="256"/>
      <c r="D601" s="257"/>
      <c r="E601" s="419"/>
      <c r="F601" s="258"/>
      <c r="G601" s="259"/>
      <c r="H601" s="258"/>
      <c r="I601" s="421"/>
      <c r="J601" s="421"/>
      <c r="K601" s="421"/>
      <c r="L601" s="421"/>
      <c r="M601" s="255"/>
      <c r="N601" s="258"/>
    </row>
    <row r="602">
      <c r="A602" s="254"/>
      <c r="B602" s="255"/>
      <c r="C602" s="256"/>
      <c r="D602" s="257"/>
      <c r="E602" s="419"/>
      <c r="F602" s="258"/>
      <c r="G602" s="259"/>
      <c r="H602" s="258"/>
      <c r="I602" s="421"/>
      <c r="J602" s="421"/>
      <c r="K602" s="421"/>
      <c r="L602" s="421"/>
      <c r="M602" s="255"/>
      <c r="N602" s="258"/>
    </row>
    <row r="603">
      <c r="A603" s="254"/>
      <c r="B603" s="255"/>
      <c r="C603" s="256"/>
      <c r="D603" s="257"/>
      <c r="E603" s="419"/>
      <c r="F603" s="258"/>
      <c r="G603" s="259"/>
      <c r="H603" s="258"/>
      <c r="I603" s="421"/>
      <c r="J603" s="421"/>
      <c r="K603" s="421"/>
      <c r="L603" s="421"/>
      <c r="M603" s="255"/>
      <c r="N603" s="258"/>
    </row>
    <row r="604">
      <c r="A604" s="254"/>
      <c r="B604" s="255"/>
      <c r="C604" s="256"/>
      <c r="D604" s="257"/>
      <c r="E604" s="419"/>
      <c r="F604" s="258"/>
      <c r="G604" s="259"/>
      <c r="H604" s="258"/>
      <c r="I604" s="421"/>
      <c r="J604" s="421"/>
      <c r="K604" s="421"/>
      <c r="L604" s="421"/>
      <c r="M604" s="255"/>
      <c r="N604" s="258"/>
    </row>
    <row r="605">
      <c r="A605" s="254"/>
      <c r="B605" s="255"/>
      <c r="C605" s="256"/>
      <c r="D605" s="257"/>
      <c r="E605" s="419"/>
      <c r="F605" s="258"/>
      <c r="G605" s="259"/>
      <c r="H605" s="258"/>
      <c r="I605" s="421"/>
      <c r="J605" s="421"/>
      <c r="K605" s="421"/>
      <c r="L605" s="421"/>
      <c r="M605" s="255"/>
      <c r="N605" s="258"/>
    </row>
    <row r="606">
      <c r="A606" s="254"/>
      <c r="B606" s="255"/>
      <c r="C606" s="256"/>
      <c r="D606" s="257"/>
      <c r="E606" s="419"/>
      <c r="F606" s="258"/>
      <c r="G606" s="259"/>
      <c r="H606" s="258"/>
      <c r="I606" s="421"/>
      <c r="J606" s="421"/>
      <c r="K606" s="421"/>
      <c r="L606" s="421"/>
      <c r="M606" s="255"/>
      <c r="N606" s="258"/>
    </row>
    <row r="607">
      <c r="A607" s="254"/>
      <c r="B607" s="255"/>
      <c r="C607" s="256"/>
      <c r="D607" s="257"/>
      <c r="E607" s="419"/>
      <c r="F607" s="258"/>
      <c r="G607" s="259"/>
      <c r="H607" s="258"/>
      <c r="I607" s="421"/>
      <c r="J607" s="421"/>
      <c r="K607" s="421"/>
      <c r="L607" s="421"/>
      <c r="M607" s="255"/>
      <c r="N607" s="258"/>
    </row>
    <row r="608">
      <c r="A608" s="254"/>
      <c r="B608" s="255"/>
      <c r="C608" s="256"/>
      <c r="D608" s="257"/>
      <c r="E608" s="419"/>
      <c r="F608" s="258"/>
      <c r="G608" s="259"/>
      <c r="H608" s="258"/>
      <c r="I608" s="421"/>
      <c r="J608" s="421"/>
      <c r="K608" s="421"/>
      <c r="L608" s="421"/>
      <c r="M608" s="255"/>
      <c r="N608" s="258"/>
    </row>
    <row r="609">
      <c r="A609" s="254"/>
      <c r="B609" s="255"/>
      <c r="C609" s="256"/>
      <c r="D609" s="257"/>
      <c r="E609" s="419"/>
      <c r="F609" s="258"/>
      <c r="G609" s="259"/>
      <c r="H609" s="258"/>
      <c r="I609" s="421"/>
      <c r="J609" s="421"/>
      <c r="K609" s="421"/>
      <c r="L609" s="421"/>
      <c r="M609" s="255"/>
      <c r="N609" s="258"/>
    </row>
    <row r="610">
      <c r="A610" s="254"/>
      <c r="B610" s="255"/>
      <c r="C610" s="256"/>
      <c r="D610" s="257"/>
      <c r="E610" s="419"/>
      <c r="F610" s="258"/>
      <c r="G610" s="259"/>
      <c r="H610" s="258"/>
      <c r="I610" s="421"/>
      <c r="J610" s="421"/>
      <c r="K610" s="421"/>
      <c r="L610" s="421"/>
      <c r="M610" s="255"/>
      <c r="N610" s="258"/>
    </row>
    <row r="611">
      <c r="A611" s="254"/>
      <c r="B611" s="255"/>
      <c r="C611" s="256"/>
      <c r="D611" s="257"/>
      <c r="E611" s="419"/>
      <c r="F611" s="258"/>
      <c r="G611" s="259"/>
      <c r="H611" s="258"/>
      <c r="I611" s="421"/>
      <c r="J611" s="421"/>
      <c r="K611" s="421"/>
      <c r="L611" s="421"/>
      <c r="M611" s="255"/>
      <c r="N611" s="258"/>
    </row>
    <row r="612">
      <c r="A612" s="254"/>
      <c r="B612" s="255"/>
      <c r="C612" s="256"/>
      <c r="D612" s="257"/>
      <c r="E612" s="419"/>
      <c r="F612" s="258"/>
      <c r="G612" s="259"/>
      <c r="H612" s="258"/>
      <c r="I612" s="421"/>
      <c r="J612" s="421"/>
      <c r="K612" s="421"/>
      <c r="L612" s="421"/>
      <c r="M612" s="255"/>
      <c r="N612" s="258"/>
    </row>
    <row r="613">
      <c r="A613" s="254"/>
      <c r="B613" s="255"/>
      <c r="C613" s="256"/>
      <c r="D613" s="257"/>
      <c r="E613" s="419"/>
      <c r="F613" s="258"/>
      <c r="G613" s="259"/>
      <c r="H613" s="258"/>
      <c r="I613" s="421"/>
      <c r="J613" s="421"/>
      <c r="K613" s="421"/>
      <c r="L613" s="421"/>
      <c r="M613" s="255"/>
      <c r="N613" s="258"/>
    </row>
    <row r="614">
      <c r="A614" s="254"/>
      <c r="B614" s="255"/>
      <c r="C614" s="256"/>
      <c r="D614" s="257"/>
      <c r="E614" s="419"/>
      <c r="F614" s="258"/>
      <c r="G614" s="259"/>
      <c r="H614" s="258"/>
      <c r="I614" s="421"/>
      <c r="J614" s="421"/>
      <c r="K614" s="421"/>
      <c r="L614" s="421"/>
      <c r="M614" s="255"/>
      <c r="N614" s="258"/>
    </row>
    <row r="615">
      <c r="A615" s="254"/>
      <c r="B615" s="255"/>
      <c r="C615" s="256"/>
      <c r="D615" s="257"/>
      <c r="E615" s="419"/>
      <c r="F615" s="258"/>
      <c r="G615" s="259"/>
      <c r="H615" s="258"/>
      <c r="I615" s="421"/>
      <c r="J615" s="421"/>
      <c r="K615" s="421"/>
      <c r="L615" s="421"/>
      <c r="M615" s="255"/>
      <c r="N615" s="258"/>
    </row>
    <row r="616">
      <c r="A616" s="254"/>
      <c r="B616" s="255"/>
      <c r="C616" s="256"/>
      <c r="D616" s="257"/>
      <c r="E616" s="419"/>
      <c r="F616" s="258"/>
      <c r="G616" s="259"/>
      <c r="H616" s="258"/>
      <c r="I616" s="421"/>
      <c r="J616" s="421"/>
      <c r="K616" s="421"/>
      <c r="L616" s="421"/>
      <c r="M616" s="255"/>
      <c r="N616" s="258"/>
    </row>
    <row r="617">
      <c r="A617" s="254"/>
      <c r="B617" s="255"/>
      <c r="C617" s="256"/>
      <c r="D617" s="257"/>
      <c r="E617" s="419"/>
      <c r="F617" s="258"/>
      <c r="G617" s="259"/>
      <c r="H617" s="258"/>
      <c r="I617" s="421"/>
      <c r="J617" s="421"/>
      <c r="K617" s="421"/>
      <c r="L617" s="421"/>
      <c r="M617" s="255"/>
      <c r="N617" s="258"/>
    </row>
    <row r="618">
      <c r="A618" s="254"/>
      <c r="B618" s="255"/>
      <c r="C618" s="256"/>
      <c r="D618" s="257"/>
      <c r="E618" s="419"/>
      <c r="F618" s="258"/>
      <c r="G618" s="259"/>
      <c r="H618" s="258"/>
      <c r="I618" s="421"/>
      <c r="J618" s="421"/>
      <c r="K618" s="421"/>
      <c r="L618" s="421"/>
      <c r="M618" s="255"/>
      <c r="N618" s="258"/>
    </row>
    <row r="619">
      <c r="A619" s="254"/>
      <c r="B619" s="255"/>
      <c r="C619" s="256"/>
      <c r="D619" s="257"/>
      <c r="E619" s="419"/>
      <c r="F619" s="258"/>
      <c r="G619" s="259"/>
      <c r="H619" s="258"/>
      <c r="I619" s="421"/>
      <c r="J619" s="421"/>
      <c r="K619" s="421"/>
      <c r="L619" s="421"/>
      <c r="M619" s="255"/>
      <c r="N619" s="258"/>
    </row>
    <row r="620">
      <c r="A620" s="254"/>
      <c r="B620" s="255"/>
      <c r="C620" s="256"/>
      <c r="D620" s="257"/>
      <c r="E620" s="419"/>
      <c r="F620" s="258"/>
      <c r="G620" s="259"/>
      <c r="H620" s="258"/>
      <c r="I620" s="421"/>
      <c r="J620" s="421"/>
      <c r="K620" s="421"/>
      <c r="L620" s="421"/>
      <c r="M620" s="255"/>
      <c r="N620" s="258"/>
    </row>
    <row r="621">
      <c r="A621" s="254"/>
      <c r="B621" s="255"/>
      <c r="C621" s="256"/>
      <c r="D621" s="257"/>
      <c r="E621" s="419"/>
      <c r="F621" s="258"/>
      <c r="G621" s="259"/>
      <c r="H621" s="258"/>
      <c r="I621" s="421"/>
      <c r="J621" s="421"/>
      <c r="K621" s="421"/>
      <c r="L621" s="421"/>
      <c r="M621" s="255"/>
      <c r="N621" s="258"/>
    </row>
    <row r="622">
      <c r="A622" s="254"/>
      <c r="B622" s="255"/>
      <c r="C622" s="256"/>
      <c r="D622" s="257"/>
      <c r="E622" s="419"/>
      <c r="F622" s="258"/>
      <c r="G622" s="259"/>
      <c r="H622" s="258"/>
      <c r="I622" s="421"/>
      <c r="J622" s="421"/>
      <c r="K622" s="421"/>
      <c r="L622" s="421"/>
      <c r="M622" s="255"/>
      <c r="N622" s="258"/>
    </row>
    <row r="623">
      <c r="A623" s="254"/>
      <c r="B623" s="255"/>
      <c r="C623" s="256"/>
      <c r="D623" s="257"/>
      <c r="E623" s="419"/>
      <c r="F623" s="258"/>
      <c r="G623" s="259"/>
      <c r="H623" s="258"/>
      <c r="I623" s="421"/>
      <c r="J623" s="421"/>
      <c r="K623" s="421"/>
      <c r="L623" s="421"/>
      <c r="M623" s="255"/>
      <c r="N623" s="258"/>
    </row>
    <row r="624">
      <c r="A624" s="254"/>
      <c r="B624" s="255"/>
      <c r="C624" s="256"/>
      <c r="D624" s="257"/>
      <c r="E624" s="419"/>
      <c r="F624" s="258"/>
      <c r="G624" s="259"/>
      <c r="H624" s="258"/>
      <c r="I624" s="421"/>
      <c r="J624" s="421"/>
      <c r="K624" s="421"/>
      <c r="L624" s="421"/>
      <c r="M624" s="255"/>
      <c r="N624" s="258"/>
    </row>
    <row r="625">
      <c r="A625" s="254"/>
      <c r="B625" s="255"/>
      <c r="C625" s="256"/>
      <c r="D625" s="257"/>
      <c r="E625" s="419"/>
      <c r="F625" s="258"/>
      <c r="G625" s="259"/>
      <c r="H625" s="258"/>
      <c r="I625" s="421"/>
      <c r="J625" s="421"/>
      <c r="K625" s="421"/>
      <c r="L625" s="421"/>
      <c r="M625" s="255"/>
      <c r="N625" s="258"/>
    </row>
    <row r="626">
      <c r="A626" s="254"/>
      <c r="B626" s="255"/>
      <c r="C626" s="256"/>
      <c r="D626" s="257"/>
      <c r="E626" s="419"/>
      <c r="F626" s="258"/>
      <c r="G626" s="259"/>
      <c r="H626" s="258"/>
      <c r="I626" s="421"/>
      <c r="J626" s="421"/>
      <c r="K626" s="421"/>
      <c r="L626" s="421"/>
      <c r="M626" s="255"/>
      <c r="N626" s="258"/>
    </row>
    <row r="627">
      <c r="A627" s="254"/>
      <c r="B627" s="255"/>
      <c r="C627" s="256"/>
      <c r="D627" s="257"/>
      <c r="E627" s="419"/>
      <c r="F627" s="258"/>
      <c r="G627" s="259"/>
      <c r="H627" s="258"/>
      <c r="I627" s="421"/>
      <c r="J627" s="421"/>
      <c r="K627" s="421"/>
      <c r="L627" s="421"/>
      <c r="M627" s="255"/>
      <c r="N627" s="258"/>
    </row>
    <row r="628">
      <c r="A628" s="254"/>
      <c r="B628" s="255"/>
      <c r="C628" s="256"/>
      <c r="D628" s="257"/>
      <c r="E628" s="419"/>
      <c r="F628" s="258"/>
      <c r="G628" s="259"/>
      <c r="H628" s="258"/>
      <c r="I628" s="421"/>
      <c r="J628" s="421"/>
      <c r="K628" s="421"/>
      <c r="L628" s="421"/>
      <c r="M628" s="255"/>
      <c r="N628" s="258"/>
    </row>
    <row r="629">
      <c r="A629" s="254"/>
      <c r="B629" s="255"/>
      <c r="C629" s="256"/>
      <c r="D629" s="257"/>
      <c r="E629" s="419"/>
      <c r="F629" s="258"/>
      <c r="G629" s="259"/>
      <c r="H629" s="258"/>
      <c r="I629" s="421"/>
      <c r="J629" s="421"/>
      <c r="K629" s="421"/>
      <c r="L629" s="421"/>
      <c r="M629" s="255"/>
      <c r="N629" s="258"/>
    </row>
    <row r="630">
      <c r="A630" s="254"/>
      <c r="B630" s="255"/>
      <c r="C630" s="256"/>
      <c r="D630" s="257"/>
      <c r="E630" s="419"/>
      <c r="F630" s="258"/>
      <c r="G630" s="259"/>
      <c r="H630" s="258"/>
      <c r="I630" s="421"/>
      <c r="J630" s="421"/>
      <c r="K630" s="421"/>
      <c r="L630" s="421"/>
      <c r="M630" s="255"/>
      <c r="N630" s="258"/>
    </row>
    <row r="631">
      <c r="A631" s="254"/>
      <c r="B631" s="255"/>
      <c r="C631" s="256"/>
      <c r="D631" s="257"/>
      <c r="E631" s="419"/>
      <c r="F631" s="258"/>
      <c r="G631" s="259"/>
      <c r="H631" s="258"/>
      <c r="I631" s="421"/>
      <c r="J631" s="421"/>
      <c r="K631" s="421"/>
      <c r="L631" s="421"/>
      <c r="M631" s="255"/>
      <c r="N631" s="258"/>
    </row>
    <row r="632">
      <c r="A632" s="254"/>
      <c r="B632" s="255"/>
      <c r="C632" s="256"/>
      <c r="D632" s="257"/>
      <c r="E632" s="419"/>
      <c r="F632" s="258"/>
      <c r="G632" s="259"/>
      <c r="H632" s="258"/>
      <c r="I632" s="421"/>
      <c r="J632" s="421"/>
      <c r="K632" s="421"/>
      <c r="L632" s="421"/>
      <c r="M632" s="255"/>
      <c r="N632" s="258"/>
    </row>
    <row r="633">
      <c r="A633" s="254"/>
      <c r="B633" s="255"/>
      <c r="C633" s="256"/>
      <c r="D633" s="257"/>
      <c r="E633" s="419"/>
      <c r="F633" s="258"/>
      <c r="G633" s="259"/>
      <c r="H633" s="258"/>
      <c r="I633" s="421"/>
      <c r="J633" s="421"/>
      <c r="K633" s="421"/>
      <c r="L633" s="421"/>
      <c r="M633" s="255"/>
      <c r="N633" s="258"/>
    </row>
    <row r="634">
      <c r="A634" s="254"/>
      <c r="B634" s="255"/>
      <c r="C634" s="256"/>
      <c r="D634" s="257"/>
      <c r="E634" s="419"/>
      <c r="F634" s="258"/>
      <c r="G634" s="259"/>
      <c r="H634" s="258"/>
      <c r="I634" s="421"/>
      <c r="J634" s="421"/>
      <c r="K634" s="421"/>
      <c r="L634" s="421"/>
      <c r="M634" s="255"/>
      <c r="N634" s="258"/>
    </row>
    <row r="635">
      <c r="A635" s="254"/>
      <c r="B635" s="255"/>
      <c r="C635" s="256"/>
      <c r="D635" s="257"/>
      <c r="E635" s="419"/>
      <c r="F635" s="258"/>
      <c r="G635" s="259"/>
      <c r="H635" s="258"/>
      <c r="I635" s="421"/>
      <c r="J635" s="421"/>
      <c r="K635" s="421"/>
      <c r="L635" s="421"/>
      <c r="M635" s="255"/>
      <c r="N635" s="258"/>
    </row>
    <row r="636">
      <c r="A636" s="254"/>
      <c r="B636" s="255"/>
      <c r="C636" s="256"/>
      <c r="D636" s="257"/>
      <c r="E636" s="419"/>
      <c r="F636" s="258"/>
      <c r="G636" s="259"/>
      <c r="H636" s="258"/>
      <c r="I636" s="421"/>
      <c r="J636" s="421"/>
      <c r="K636" s="421"/>
      <c r="L636" s="421"/>
      <c r="M636" s="255"/>
      <c r="N636" s="258"/>
    </row>
    <row r="637">
      <c r="A637" s="254"/>
      <c r="B637" s="255"/>
      <c r="C637" s="256"/>
      <c r="D637" s="257"/>
      <c r="E637" s="419"/>
      <c r="F637" s="258"/>
      <c r="G637" s="259"/>
      <c r="H637" s="258"/>
      <c r="I637" s="421"/>
      <c r="J637" s="421"/>
      <c r="K637" s="421"/>
      <c r="L637" s="421"/>
      <c r="M637" s="255"/>
      <c r="N637" s="258"/>
    </row>
    <row r="638">
      <c r="A638" s="254"/>
      <c r="B638" s="255"/>
      <c r="C638" s="256"/>
      <c r="D638" s="257"/>
      <c r="E638" s="419"/>
      <c r="F638" s="258"/>
      <c r="G638" s="259"/>
      <c r="H638" s="258"/>
      <c r="I638" s="421"/>
      <c r="J638" s="421"/>
      <c r="K638" s="421"/>
      <c r="L638" s="421"/>
      <c r="M638" s="255"/>
      <c r="N638" s="258"/>
    </row>
    <row r="639">
      <c r="A639" s="254"/>
      <c r="B639" s="255"/>
      <c r="C639" s="256"/>
      <c r="D639" s="257"/>
      <c r="E639" s="419"/>
      <c r="F639" s="258"/>
      <c r="G639" s="259"/>
      <c r="H639" s="258"/>
      <c r="I639" s="421"/>
      <c r="J639" s="421"/>
      <c r="K639" s="421"/>
      <c r="L639" s="421"/>
      <c r="M639" s="255"/>
      <c r="N639" s="258"/>
    </row>
    <row r="640">
      <c r="A640" s="254"/>
      <c r="B640" s="255"/>
      <c r="C640" s="256"/>
      <c r="D640" s="257"/>
      <c r="E640" s="419"/>
      <c r="F640" s="258"/>
      <c r="G640" s="259"/>
      <c r="H640" s="258"/>
      <c r="I640" s="421"/>
      <c r="J640" s="421"/>
      <c r="K640" s="421"/>
      <c r="L640" s="421"/>
      <c r="M640" s="255"/>
      <c r="N640" s="258"/>
    </row>
    <row r="641">
      <c r="A641" s="254"/>
      <c r="B641" s="255"/>
      <c r="C641" s="256"/>
      <c r="D641" s="257"/>
      <c r="E641" s="419"/>
      <c r="F641" s="258"/>
      <c r="G641" s="259"/>
      <c r="H641" s="258"/>
      <c r="I641" s="421"/>
      <c r="J641" s="421"/>
      <c r="K641" s="421"/>
      <c r="L641" s="421"/>
      <c r="M641" s="255"/>
      <c r="N641" s="258"/>
    </row>
    <row r="642">
      <c r="A642" s="254"/>
      <c r="B642" s="255"/>
      <c r="C642" s="256"/>
      <c r="D642" s="257"/>
      <c r="E642" s="419"/>
      <c r="F642" s="258"/>
      <c r="G642" s="259"/>
      <c r="H642" s="258"/>
      <c r="I642" s="421"/>
      <c r="J642" s="421"/>
      <c r="K642" s="421"/>
      <c r="L642" s="421"/>
      <c r="M642" s="255"/>
      <c r="N642" s="258"/>
    </row>
    <row r="643">
      <c r="A643" s="254"/>
      <c r="B643" s="255"/>
      <c r="C643" s="256"/>
      <c r="D643" s="257"/>
      <c r="E643" s="419"/>
      <c r="F643" s="258"/>
      <c r="G643" s="259"/>
      <c r="H643" s="258"/>
      <c r="I643" s="421"/>
      <c r="J643" s="421"/>
      <c r="K643" s="421"/>
      <c r="L643" s="421"/>
      <c r="M643" s="255"/>
      <c r="N643" s="258"/>
    </row>
    <row r="644">
      <c r="A644" s="254"/>
      <c r="B644" s="255"/>
      <c r="C644" s="256"/>
      <c r="D644" s="257"/>
      <c r="E644" s="419"/>
      <c r="F644" s="258"/>
      <c r="G644" s="259"/>
      <c r="H644" s="258"/>
      <c r="I644" s="421"/>
      <c r="J644" s="421"/>
      <c r="K644" s="421"/>
      <c r="L644" s="421"/>
      <c r="M644" s="255"/>
      <c r="N644" s="258"/>
    </row>
    <row r="645">
      <c r="A645" s="254"/>
      <c r="B645" s="255"/>
      <c r="C645" s="256"/>
      <c r="D645" s="257"/>
      <c r="E645" s="419"/>
      <c r="F645" s="258"/>
      <c r="G645" s="259"/>
      <c r="H645" s="258"/>
      <c r="I645" s="421"/>
      <c r="J645" s="421"/>
      <c r="K645" s="421"/>
      <c r="L645" s="421"/>
      <c r="M645" s="255"/>
      <c r="N645" s="258"/>
    </row>
    <row r="646">
      <c r="A646" s="254"/>
      <c r="B646" s="255"/>
      <c r="C646" s="256"/>
      <c r="D646" s="257"/>
      <c r="E646" s="419"/>
      <c r="F646" s="258"/>
      <c r="G646" s="259"/>
      <c r="H646" s="258"/>
      <c r="I646" s="421"/>
      <c r="J646" s="421"/>
      <c r="K646" s="421"/>
      <c r="L646" s="421"/>
      <c r="M646" s="255"/>
      <c r="N646" s="258"/>
    </row>
    <row r="647">
      <c r="A647" s="254"/>
      <c r="B647" s="255"/>
      <c r="C647" s="256"/>
      <c r="D647" s="257"/>
      <c r="E647" s="419"/>
      <c r="F647" s="258"/>
      <c r="G647" s="259"/>
      <c r="H647" s="258"/>
      <c r="I647" s="421"/>
      <c r="J647" s="421"/>
      <c r="K647" s="421"/>
      <c r="L647" s="421"/>
      <c r="M647" s="255"/>
      <c r="N647" s="258"/>
    </row>
    <row r="648">
      <c r="A648" s="254"/>
      <c r="B648" s="255"/>
      <c r="C648" s="256"/>
      <c r="D648" s="257"/>
      <c r="E648" s="419"/>
      <c r="F648" s="258"/>
      <c r="G648" s="259"/>
      <c r="H648" s="258"/>
      <c r="I648" s="421"/>
      <c r="J648" s="421"/>
      <c r="K648" s="421"/>
      <c r="L648" s="421"/>
      <c r="M648" s="255"/>
      <c r="N648" s="258"/>
    </row>
    <row r="649">
      <c r="A649" s="254"/>
      <c r="B649" s="255"/>
      <c r="C649" s="256"/>
      <c r="D649" s="257"/>
      <c r="E649" s="419"/>
      <c r="F649" s="258"/>
      <c r="G649" s="259"/>
      <c r="H649" s="258"/>
      <c r="I649" s="421"/>
      <c r="J649" s="421"/>
      <c r="K649" s="421"/>
      <c r="L649" s="421"/>
      <c r="M649" s="255"/>
      <c r="N649" s="258"/>
    </row>
    <row r="650">
      <c r="A650" s="254"/>
      <c r="B650" s="255"/>
      <c r="C650" s="256"/>
      <c r="D650" s="257"/>
      <c r="E650" s="419"/>
      <c r="F650" s="258"/>
      <c r="G650" s="259"/>
      <c r="H650" s="258"/>
      <c r="I650" s="421"/>
      <c r="J650" s="421"/>
      <c r="K650" s="421"/>
      <c r="L650" s="421"/>
      <c r="M650" s="255"/>
      <c r="N650" s="258"/>
    </row>
    <row r="651">
      <c r="A651" s="254"/>
      <c r="B651" s="255"/>
      <c r="C651" s="256"/>
      <c r="D651" s="257"/>
      <c r="E651" s="419"/>
      <c r="F651" s="258"/>
      <c r="G651" s="259"/>
      <c r="H651" s="258"/>
      <c r="I651" s="421"/>
      <c r="J651" s="421"/>
      <c r="K651" s="421"/>
      <c r="L651" s="421"/>
      <c r="M651" s="255"/>
      <c r="N651" s="258"/>
    </row>
    <row r="652">
      <c r="A652" s="254"/>
      <c r="B652" s="255"/>
      <c r="C652" s="256"/>
      <c r="D652" s="257"/>
      <c r="E652" s="419"/>
      <c r="F652" s="258"/>
      <c r="G652" s="259"/>
      <c r="H652" s="258"/>
      <c r="I652" s="421"/>
      <c r="J652" s="421"/>
      <c r="K652" s="421"/>
      <c r="L652" s="421"/>
      <c r="M652" s="255"/>
      <c r="N652" s="258"/>
    </row>
    <row r="653">
      <c r="A653" s="254"/>
      <c r="B653" s="255"/>
      <c r="C653" s="256"/>
      <c r="D653" s="257"/>
      <c r="E653" s="419"/>
      <c r="F653" s="258"/>
      <c r="G653" s="259"/>
      <c r="H653" s="258"/>
      <c r="I653" s="421"/>
      <c r="J653" s="421"/>
      <c r="K653" s="421"/>
      <c r="L653" s="421"/>
      <c r="M653" s="255"/>
      <c r="N653" s="258"/>
    </row>
    <row r="654">
      <c r="A654" s="254"/>
      <c r="B654" s="255"/>
      <c r="C654" s="256"/>
      <c r="D654" s="257"/>
      <c r="E654" s="419"/>
      <c r="F654" s="258"/>
      <c r="G654" s="259"/>
      <c r="H654" s="258"/>
      <c r="I654" s="421"/>
      <c r="J654" s="421"/>
      <c r="K654" s="421"/>
      <c r="L654" s="421"/>
      <c r="M654" s="255"/>
      <c r="N654" s="258"/>
    </row>
    <row r="655">
      <c r="A655" s="254"/>
      <c r="B655" s="255"/>
      <c r="C655" s="256"/>
      <c r="D655" s="257"/>
      <c r="E655" s="419"/>
      <c r="F655" s="258"/>
      <c r="G655" s="259"/>
      <c r="H655" s="258"/>
      <c r="I655" s="421"/>
      <c r="J655" s="421"/>
      <c r="K655" s="421"/>
      <c r="L655" s="421"/>
      <c r="M655" s="255"/>
      <c r="N655" s="258"/>
    </row>
    <row r="656">
      <c r="A656" s="254"/>
      <c r="B656" s="255"/>
      <c r="C656" s="256"/>
      <c r="D656" s="257"/>
      <c r="E656" s="419"/>
      <c r="F656" s="258"/>
      <c r="G656" s="259"/>
      <c r="H656" s="258"/>
      <c r="I656" s="421"/>
      <c r="J656" s="421"/>
      <c r="K656" s="421"/>
      <c r="L656" s="421"/>
      <c r="M656" s="255"/>
      <c r="N656" s="258"/>
    </row>
    <row r="657">
      <c r="A657" s="254"/>
      <c r="B657" s="255"/>
      <c r="C657" s="256"/>
      <c r="D657" s="257"/>
      <c r="E657" s="419"/>
      <c r="F657" s="258"/>
      <c r="G657" s="259"/>
      <c r="H657" s="258"/>
      <c r="I657" s="421"/>
      <c r="J657" s="421"/>
      <c r="K657" s="421"/>
      <c r="L657" s="421"/>
      <c r="M657" s="255"/>
      <c r="N657" s="258"/>
    </row>
    <row r="658">
      <c r="A658" s="254"/>
      <c r="B658" s="255"/>
      <c r="C658" s="256"/>
      <c r="D658" s="257"/>
      <c r="E658" s="419"/>
      <c r="F658" s="258"/>
      <c r="G658" s="259"/>
      <c r="H658" s="258"/>
      <c r="I658" s="421"/>
      <c r="J658" s="421"/>
      <c r="K658" s="421"/>
      <c r="L658" s="421"/>
      <c r="M658" s="255"/>
      <c r="N658" s="258"/>
    </row>
    <row r="659">
      <c r="A659" s="254"/>
      <c r="B659" s="255"/>
      <c r="C659" s="256"/>
      <c r="D659" s="257"/>
      <c r="E659" s="419"/>
      <c r="F659" s="258"/>
      <c r="G659" s="259"/>
      <c r="H659" s="258"/>
      <c r="I659" s="421"/>
      <c r="J659" s="421"/>
      <c r="K659" s="421"/>
      <c r="L659" s="421"/>
      <c r="M659" s="255"/>
      <c r="N659" s="258"/>
    </row>
    <row r="660">
      <c r="A660" s="254"/>
      <c r="B660" s="255"/>
      <c r="C660" s="256"/>
      <c r="D660" s="257"/>
      <c r="E660" s="419"/>
      <c r="F660" s="258"/>
      <c r="G660" s="259"/>
      <c r="H660" s="258"/>
      <c r="I660" s="421"/>
      <c r="J660" s="421"/>
      <c r="K660" s="421"/>
      <c r="L660" s="421"/>
      <c r="M660" s="255"/>
      <c r="N660" s="258"/>
    </row>
    <row r="661">
      <c r="A661" s="254"/>
      <c r="B661" s="255"/>
      <c r="C661" s="256"/>
      <c r="D661" s="257"/>
      <c r="E661" s="419"/>
      <c r="F661" s="258"/>
      <c r="G661" s="259"/>
      <c r="H661" s="258"/>
      <c r="I661" s="421"/>
      <c r="J661" s="421"/>
      <c r="K661" s="421"/>
      <c r="L661" s="421"/>
      <c r="M661" s="255"/>
      <c r="N661" s="258"/>
    </row>
    <row r="662">
      <c r="A662" s="254"/>
      <c r="B662" s="255"/>
      <c r="C662" s="256"/>
      <c r="D662" s="257"/>
      <c r="E662" s="419"/>
      <c r="F662" s="258"/>
      <c r="G662" s="259"/>
      <c r="H662" s="258"/>
      <c r="I662" s="421"/>
      <c r="J662" s="421"/>
      <c r="K662" s="421"/>
      <c r="L662" s="421"/>
      <c r="M662" s="255"/>
      <c r="N662" s="258"/>
    </row>
    <row r="663">
      <c r="A663" s="254"/>
      <c r="B663" s="255"/>
      <c r="C663" s="256"/>
      <c r="D663" s="257"/>
      <c r="E663" s="419"/>
      <c r="F663" s="258"/>
      <c r="G663" s="259"/>
      <c r="H663" s="258"/>
      <c r="I663" s="421"/>
      <c r="J663" s="421"/>
      <c r="K663" s="421"/>
      <c r="L663" s="421"/>
      <c r="M663" s="255"/>
      <c r="N663" s="258"/>
    </row>
    <row r="664">
      <c r="A664" s="254"/>
      <c r="B664" s="255"/>
      <c r="C664" s="256"/>
      <c r="D664" s="257"/>
      <c r="E664" s="419"/>
      <c r="F664" s="258"/>
      <c r="G664" s="259"/>
      <c r="H664" s="258"/>
      <c r="I664" s="421"/>
      <c r="J664" s="421"/>
      <c r="K664" s="421"/>
      <c r="L664" s="421"/>
      <c r="M664" s="255"/>
      <c r="N664" s="258"/>
    </row>
    <row r="665">
      <c r="A665" s="254"/>
      <c r="B665" s="255"/>
      <c r="C665" s="256"/>
      <c r="D665" s="257"/>
      <c r="E665" s="419"/>
      <c r="F665" s="258"/>
      <c r="G665" s="259"/>
      <c r="H665" s="258"/>
      <c r="I665" s="421"/>
      <c r="J665" s="421"/>
      <c r="K665" s="421"/>
      <c r="L665" s="421"/>
      <c r="M665" s="255"/>
      <c r="N665" s="258"/>
    </row>
    <row r="666">
      <c r="A666" s="254"/>
      <c r="B666" s="255"/>
      <c r="C666" s="256"/>
      <c r="D666" s="257"/>
      <c r="E666" s="419"/>
      <c r="F666" s="258"/>
      <c r="G666" s="259"/>
      <c r="H666" s="258"/>
      <c r="I666" s="421"/>
      <c r="J666" s="421"/>
      <c r="K666" s="421"/>
      <c r="L666" s="421"/>
      <c r="M666" s="255"/>
      <c r="N666" s="258"/>
    </row>
    <row r="667">
      <c r="A667" s="254"/>
      <c r="B667" s="255"/>
      <c r="C667" s="256"/>
      <c r="D667" s="257"/>
      <c r="E667" s="419"/>
      <c r="F667" s="258"/>
      <c r="G667" s="259"/>
      <c r="H667" s="258"/>
      <c r="I667" s="421"/>
      <c r="J667" s="421"/>
      <c r="K667" s="421"/>
      <c r="L667" s="421"/>
      <c r="M667" s="255"/>
      <c r="N667" s="258"/>
    </row>
    <row r="668">
      <c r="A668" s="254"/>
      <c r="B668" s="255"/>
      <c r="C668" s="256"/>
      <c r="D668" s="257"/>
      <c r="E668" s="419"/>
      <c r="F668" s="258"/>
      <c r="G668" s="259"/>
      <c r="H668" s="258"/>
      <c r="I668" s="421"/>
      <c r="J668" s="421"/>
      <c r="K668" s="421"/>
      <c r="L668" s="421"/>
      <c r="M668" s="255"/>
      <c r="N668" s="258"/>
    </row>
    <row r="669">
      <c r="A669" s="254"/>
      <c r="B669" s="255"/>
      <c r="C669" s="256"/>
      <c r="D669" s="257"/>
      <c r="E669" s="419"/>
      <c r="F669" s="258"/>
      <c r="G669" s="259"/>
      <c r="H669" s="258"/>
      <c r="I669" s="421"/>
      <c r="J669" s="421"/>
      <c r="K669" s="421"/>
      <c r="L669" s="421"/>
      <c r="M669" s="255"/>
      <c r="N669" s="258"/>
    </row>
    <row r="670">
      <c r="A670" s="254"/>
      <c r="B670" s="255"/>
      <c r="C670" s="256"/>
      <c r="D670" s="257"/>
      <c r="E670" s="419"/>
      <c r="F670" s="258"/>
      <c r="G670" s="259"/>
      <c r="H670" s="258"/>
      <c r="I670" s="421"/>
      <c r="J670" s="421"/>
      <c r="K670" s="421"/>
      <c r="L670" s="421"/>
      <c r="M670" s="255"/>
      <c r="N670" s="258"/>
    </row>
    <row r="671">
      <c r="A671" s="254"/>
      <c r="B671" s="255"/>
      <c r="C671" s="256"/>
      <c r="D671" s="257"/>
      <c r="E671" s="419"/>
      <c r="F671" s="258"/>
      <c r="G671" s="259"/>
      <c r="H671" s="258"/>
      <c r="I671" s="421"/>
      <c r="J671" s="421"/>
      <c r="K671" s="421"/>
      <c r="L671" s="421"/>
      <c r="M671" s="255"/>
      <c r="N671" s="258"/>
    </row>
    <row r="672">
      <c r="A672" s="254"/>
      <c r="B672" s="255"/>
      <c r="C672" s="256"/>
      <c r="D672" s="257"/>
      <c r="E672" s="419"/>
      <c r="F672" s="258"/>
      <c r="G672" s="259"/>
      <c r="H672" s="258"/>
      <c r="I672" s="421"/>
      <c r="J672" s="421"/>
      <c r="K672" s="421"/>
      <c r="L672" s="421"/>
      <c r="M672" s="255"/>
      <c r="N672" s="258"/>
    </row>
    <row r="673">
      <c r="A673" s="254"/>
      <c r="B673" s="255"/>
      <c r="C673" s="256"/>
      <c r="D673" s="257"/>
      <c r="E673" s="419"/>
      <c r="F673" s="258"/>
      <c r="G673" s="259"/>
      <c r="H673" s="258"/>
      <c r="I673" s="421"/>
      <c r="J673" s="421"/>
      <c r="K673" s="421"/>
      <c r="L673" s="421"/>
      <c r="M673" s="255"/>
      <c r="N673" s="258"/>
    </row>
    <row r="674">
      <c r="A674" s="254"/>
      <c r="B674" s="255"/>
      <c r="C674" s="256"/>
      <c r="D674" s="257"/>
      <c r="E674" s="419"/>
      <c r="F674" s="258"/>
      <c r="G674" s="259"/>
      <c r="H674" s="258"/>
      <c r="I674" s="421"/>
      <c r="J674" s="421"/>
      <c r="K674" s="421"/>
      <c r="L674" s="421"/>
      <c r="M674" s="255"/>
      <c r="N674" s="258"/>
    </row>
    <row r="675">
      <c r="A675" s="254"/>
      <c r="B675" s="255"/>
      <c r="C675" s="256"/>
      <c r="D675" s="257"/>
      <c r="E675" s="419"/>
      <c r="F675" s="258"/>
      <c r="G675" s="259"/>
      <c r="H675" s="258"/>
      <c r="I675" s="421"/>
      <c r="J675" s="421"/>
      <c r="K675" s="421"/>
      <c r="L675" s="421"/>
      <c r="M675" s="255"/>
      <c r="N675" s="258"/>
    </row>
    <row r="676">
      <c r="A676" s="254"/>
      <c r="B676" s="255"/>
      <c r="C676" s="256"/>
      <c r="D676" s="257"/>
      <c r="E676" s="419"/>
      <c r="F676" s="258"/>
      <c r="G676" s="259"/>
      <c r="H676" s="258"/>
      <c r="I676" s="421"/>
      <c r="J676" s="421"/>
      <c r="K676" s="421"/>
      <c r="L676" s="421"/>
      <c r="M676" s="255"/>
      <c r="N676" s="258"/>
    </row>
    <row r="677">
      <c r="A677" s="254"/>
      <c r="B677" s="255"/>
      <c r="C677" s="256"/>
      <c r="D677" s="257"/>
      <c r="E677" s="419"/>
      <c r="F677" s="258"/>
      <c r="G677" s="259"/>
      <c r="H677" s="258"/>
      <c r="I677" s="421"/>
      <c r="J677" s="421"/>
      <c r="K677" s="421"/>
      <c r="L677" s="421"/>
      <c r="M677" s="255"/>
      <c r="N677" s="258"/>
    </row>
    <row r="678">
      <c r="A678" s="254"/>
      <c r="B678" s="255"/>
      <c r="C678" s="256"/>
      <c r="D678" s="257"/>
      <c r="E678" s="419"/>
      <c r="F678" s="258"/>
      <c r="G678" s="259"/>
      <c r="H678" s="258"/>
      <c r="I678" s="421"/>
      <c r="J678" s="421"/>
      <c r="K678" s="421"/>
      <c r="L678" s="421"/>
      <c r="M678" s="255"/>
      <c r="N678" s="258"/>
    </row>
    <row r="679">
      <c r="A679" s="254"/>
      <c r="B679" s="255"/>
      <c r="C679" s="256"/>
      <c r="D679" s="257"/>
      <c r="E679" s="419"/>
      <c r="F679" s="258"/>
      <c r="G679" s="259"/>
      <c r="H679" s="258"/>
      <c r="I679" s="421"/>
      <c r="J679" s="421"/>
      <c r="K679" s="421"/>
      <c r="L679" s="421"/>
      <c r="M679" s="255"/>
      <c r="N679" s="258"/>
    </row>
    <row r="680">
      <c r="A680" s="254"/>
      <c r="B680" s="255"/>
      <c r="C680" s="256"/>
      <c r="D680" s="257"/>
      <c r="E680" s="419"/>
      <c r="F680" s="258"/>
      <c r="G680" s="259"/>
      <c r="H680" s="258"/>
      <c r="I680" s="421"/>
      <c r="J680" s="421"/>
      <c r="K680" s="421"/>
      <c r="L680" s="421"/>
      <c r="M680" s="255"/>
      <c r="N680" s="258"/>
    </row>
    <row r="681">
      <c r="A681" s="254"/>
      <c r="B681" s="255"/>
      <c r="C681" s="256"/>
      <c r="D681" s="257"/>
      <c r="E681" s="419"/>
      <c r="F681" s="258"/>
      <c r="G681" s="259"/>
      <c r="H681" s="258"/>
      <c r="I681" s="421"/>
      <c r="J681" s="421"/>
      <c r="K681" s="421"/>
      <c r="L681" s="421"/>
      <c r="M681" s="255"/>
      <c r="N681" s="258"/>
    </row>
    <row r="682">
      <c r="A682" s="254"/>
      <c r="B682" s="255"/>
      <c r="C682" s="256"/>
      <c r="D682" s="257"/>
      <c r="E682" s="419"/>
      <c r="F682" s="258"/>
      <c r="G682" s="259"/>
      <c r="H682" s="258"/>
      <c r="I682" s="421"/>
      <c r="J682" s="421"/>
      <c r="K682" s="421"/>
      <c r="L682" s="421"/>
      <c r="M682" s="255"/>
      <c r="N682" s="258"/>
    </row>
    <row r="683">
      <c r="A683" s="254"/>
      <c r="B683" s="255"/>
      <c r="C683" s="256"/>
      <c r="D683" s="257"/>
      <c r="E683" s="419"/>
      <c r="F683" s="258"/>
      <c r="G683" s="259"/>
      <c r="H683" s="258"/>
      <c r="I683" s="421"/>
      <c r="J683" s="421"/>
      <c r="K683" s="421"/>
      <c r="L683" s="421"/>
      <c r="M683" s="255"/>
      <c r="N683" s="258"/>
    </row>
    <row r="684">
      <c r="A684" s="254"/>
      <c r="B684" s="255"/>
      <c r="C684" s="256"/>
      <c r="D684" s="257"/>
      <c r="E684" s="419"/>
      <c r="F684" s="258"/>
      <c r="G684" s="259"/>
      <c r="H684" s="258"/>
      <c r="I684" s="421"/>
      <c r="J684" s="421"/>
      <c r="K684" s="421"/>
      <c r="L684" s="421"/>
      <c r="M684" s="255"/>
      <c r="N684" s="258"/>
    </row>
    <row r="685">
      <c r="A685" s="254"/>
      <c r="B685" s="255"/>
      <c r="C685" s="256"/>
      <c r="D685" s="257"/>
      <c r="E685" s="419"/>
      <c r="F685" s="258"/>
      <c r="G685" s="259"/>
      <c r="H685" s="258"/>
      <c r="I685" s="421"/>
      <c r="J685" s="421"/>
      <c r="K685" s="421"/>
      <c r="L685" s="421"/>
      <c r="M685" s="255"/>
      <c r="N685" s="258"/>
    </row>
    <row r="686">
      <c r="A686" s="254"/>
      <c r="B686" s="255"/>
      <c r="C686" s="256"/>
      <c r="D686" s="257"/>
      <c r="E686" s="419"/>
      <c r="F686" s="258"/>
      <c r="G686" s="259"/>
      <c r="H686" s="258"/>
      <c r="I686" s="421"/>
      <c r="J686" s="421"/>
      <c r="K686" s="421"/>
      <c r="L686" s="421"/>
      <c r="M686" s="255"/>
      <c r="N686" s="258"/>
    </row>
    <row r="687">
      <c r="A687" s="254"/>
      <c r="B687" s="255"/>
      <c r="C687" s="256"/>
      <c r="D687" s="257"/>
      <c r="E687" s="419"/>
      <c r="F687" s="258"/>
      <c r="G687" s="259"/>
      <c r="H687" s="258"/>
      <c r="I687" s="421"/>
      <c r="J687" s="421"/>
      <c r="K687" s="421"/>
      <c r="L687" s="421"/>
      <c r="M687" s="255"/>
      <c r="N687" s="258"/>
    </row>
    <row r="688">
      <c r="A688" s="254"/>
      <c r="B688" s="255"/>
      <c r="C688" s="256"/>
      <c r="D688" s="257"/>
      <c r="E688" s="419"/>
      <c r="F688" s="258"/>
      <c r="G688" s="259"/>
      <c r="H688" s="258"/>
      <c r="I688" s="421"/>
      <c r="J688" s="421"/>
      <c r="K688" s="421"/>
      <c r="L688" s="421"/>
      <c r="M688" s="255"/>
      <c r="N688" s="258"/>
    </row>
    <row r="689">
      <c r="A689" s="254"/>
      <c r="B689" s="255"/>
      <c r="C689" s="256"/>
      <c r="D689" s="257"/>
      <c r="E689" s="419"/>
      <c r="F689" s="258"/>
      <c r="G689" s="259"/>
      <c r="H689" s="258"/>
      <c r="I689" s="421"/>
      <c r="J689" s="421"/>
      <c r="K689" s="421"/>
      <c r="L689" s="421"/>
      <c r="M689" s="255"/>
      <c r="N689" s="258"/>
    </row>
    <row r="690">
      <c r="A690" s="254"/>
      <c r="B690" s="255"/>
      <c r="C690" s="256"/>
      <c r="D690" s="257"/>
      <c r="E690" s="419"/>
      <c r="F690" s="258"/>
      <c r="G690" s="259"/>
      <c r="H690" s="258"/>
      <c r="I690" s="421"/>
      <c r="J690" s="421"/>
      <c r="K690" s="421"/>
      <c r="L690" s="421"/>
      <c r="M690" s="255"/>
      <c r="N690" s="258"/>
    </row>
    <row r="691">
      <c r="A691" s="254"/>
      <c r="B691" s="255"/>
      <c r="C691" s="256"/>
      <c r="D691" s="257"/>
      <c r="E691" s="419"/>
      <c r="F691" s="258"/>
      <c r="G691" s="259"/>
      <c r="H691" s="258"/>
      <c r="I691" s="421"/>
      <c r="J691" s="421"/>
      <c r="K691" s="421"/>
      <c r="L691" s="421"/>
      <c r="M691" s="255"/>
      <c r="N691" s="258"/>
    </row>
    <row r="692">
      <c r="A692" s="254"/>
      <c r="B692" s="255"/>
      <c r="C692" s="256"/>
      <c r="D692" s="257"/>
      <c r="E692" s="419"/>
      <c r="F692" s="258"/>
      <c r="G692" s="259"/>
      <c r="H692" s="258"/>
      <c r="I692" s="421"/>
      <c r="J692" s="421"/>
      <c r="K692" s="421"/>
      <c r="L692" s="421"/>
      <c r="M692" s="255"/>
      <c r="N692" s="258"/>
    </row>
    <row r="693">
      <c r="A693" s="254"/>
      <c r="B693" s="255"/>
      <c r="C693" s="256"/>
      <c r="D693" s="257"/>
      <c r="E693" s="419"/>
      <c r="F693" s="258"/>
      <c r="G693" s="259"/>
      <c r="H693" s="258"/>
      <c r="I693" s="421"/>
      <c r="J693" s="421"/>
      <c r="K693" s="421"/>
      <c r="L693" s="421"/>
      <c r="M693" s="255"/>
      <c r="N693" s="258"/>
    </row>
    <row r="694">
      <c r="A694" s="254"/>
      <c r="B694" s="255"/>
      <c r="C694" s="256"/>
      <c r="D694" s="257"/>
      <c r="E694" s="419"/>
      <c r="F694" s="258"/>
      <c r="G694" s="259"/>
      <c r="H694" s="258"/>
      <c r="I694" s="421"/>
      <c r="J694" s="421"/>
      <c r="K694" s="421"/>
      <c r="L694" s="421"/>
      <c r="M694" s="255"/>
      <c r="N694" s="258"/>
    </row>
    <row r="695">
      <c r="A695" s="254"/>
      <c r="B695" s="255"/>
      <c r="C695" s="256"/>
      <c r="D695" s="257"/>
      <c r="E695" s="419"/>
      <c r="F695" s="258"/>
      <c r="G695" s="259"/>
      <c r="H695" s="258"/>
      <c r="I695" s="421"/>
      <c r="J695" s="421"/>
      <c r="K695" s="421"/>
      <c r="L695" s="421"/>
      <c r="M695" s="255"/>
      <c r="N695" s="258"/>
    </row>
    <row r="696">
      <c r="A696" s="254"/>
      <c r="B696" s="255"/>
      <c r="C696" s="256"/>
      <c r="D696" s="257"/>
      <c r="E696" s="419"/>
      <c r="F696" s="258"/>
      <c r="G696" s="259"/>
      <c r="H696" s="258"/>
      <c r="I696" s="421"/>
      <c r="J696" s="421"/>
      <c r="K696" s="421"/>
      <c r="L696" s="421"/>
      <c r="M696" s="255"/>
      <c r="N696" s="258"/>
    </row>
    <row r="697">
      <c r="A697" s="254"/>
      <c r="B697" s="255"/>
      <c r="C697" s="256"/>
      <c r="D697" s="257"/>
      <c r="E697" s="419"/>
      <c r="F697" s="258"/>
      <c r="G697" s="259"/>
      <c r="H697" s="258"/>
      <c r="I697" s="421"/>
      <c r="J697" s="421"/>
      <c r="K697" s="421"/>
      <c r="L697" s="421"/>
      <c r="M697" s="255"/>
      <c r="N697" s="258"/>
    </row>
    <row r="698">
      <c r="A698" s="254"/>
      <c r="B698" s="255"/>
      <c r="C698" s="256"/>
      <c r="D698" s="257"/>
      <c r="E698" s="419"/>
      <c r="F698" s="258"/>
      <c r="G698" s="259"/>
      <c r="H698" s="258"/>
      <c r="I698" s="421"/>
      <c r="J698" s="421"/>
      <c r="K698" s="421"/>
      <c r="L698" s="421"/>
      <c r="M698" s="255"/>
      <c r="N698" s="258"/>
    </row>
    <row r="699">
      <c r="A699" s="254"/>
      <c r="B699" s="255"/>
      <c r="C699" s="256"/>
      <c r="D699" s="257"/>
      <c r="E699" s="419"/>
      <c r="F699" s="258"/>
      <c r="G699" s="259"/>
      <c r="H699" s="258"/>
      <c r="I699" s="421"/>
      <c r="J699" s="421"/>
      <c r="K699" s="421"/>
      <c r="L699" s="421"/>
      <c r="M699" s="255"/>
      <c r="N699" s="258"/>
    </row>
  </sheetData>
  <mergeCells count="20">
    <mergeCell ref="I2:L2"/>
    <mergeCell ref="M2:M3"/>
    <mergeCell ref="N2:N3"/>
    <mergeCell ref="A1:M1"/>
    <mergeCell ref="A2:A3"/>
    <mergeCell ref="B2:B3"/>
    <mergeCell ref="C2:C3"/>
    <mergeCell ref="D2:F3"/>
    <mergeCell ref="G2:G3"/>
    <mergeCell ref="H2:H3"/>
    <mergeCell ref="F235:G235"/>
    <mergeCell ref="F236:G236"/>
    <mergeCell ref="F237:G237"/>
    <mergeCell ref="B13:B15"/>
    <mergeCell ref="C13:C15"/>
    <mergeCell ref="H13:H15"/>
    <mergeCell ref="B37:B40"/>
    <mergeCell ref="C37:C40"/>
    <mergeCell ref="H37:H40"/>
    <mergeCell ref="F234:G234"/>
  </mergeCells>
  <conditionalFormatting sqref="I5:I232 I244:I699">
    <cfRule type="notContainsBlanks" dxfId="0" priority="1">
      <formula>LEN(TRIM(I5))&gt;0</formula>
    </cfRule>
  </conditionalFormatting>
  <conditionalFormatting sqref="J5:K232 I24 I28:I29 I39:I40 I60:I77 I124:I134 I197:I202 I204:I211 I215:I220 J244:K699">
    <cfRule type="notContainsBlanks" dxfId="0" priority="2">
      <formula>LEN(TRIM(J5))&gt;0</formula>
    </cfRule>
  </conditionalFormatting>
  <conditionalFormatting sqref="L5:L232 I124:J134 I215:J220 L244:L699">
    <cfRule type="notContainsBlanks" dxfId="0" priority="3">
      <formula>LEN(TRIM(L5))&gt;0</formula>
    </cfRule>
  </conditionalFormatting>
  <hyperlinks>
    <hyperlink r:id="rId1" ref="N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63"/>
    <col customWidth="1" min="2" max="2" width="20.63"/>
    <col customWidth="1" hidden="1" min="3" max="3" width="25.88"/>
    <col customWidth="1" min="4" max="4" width="45.25"/>
    <col customWidth="1" min="5" max="5" width="17.0"/>
    <col customWidth="1" min="6" max="6" width="39.5"/>
  </cols>
  <sheetData>
    <row r="1" ht="38.25" customHeight="1">
      <c r="A1" s="441" t="s">
        <v>1181</v>
      </c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</row>
    <row r="2" ht="24.0" customHeight="1">
      <c r="A2" s="443" t="s">
        <v>1182</v>
      </c>
      <c r="B2" s="444" t="s">
        <v>1183</v>
      </c>
      <c r="C2" s="443" t="s">
        <v>1184</v>
      </c>
      <c r="D2" s="443" t="s">
        <v>1185</v>
      </c>
      <c r="E2" s="443" t="s">
        <v>1186</v>
      </c>
      <c r="F2" s="443" t="s">
        <v>1187</v>
      </c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</row>
    <row r="3" ht="19.5" customHeight="1">
      <c r="A3" s="446">
        <v>1.0</v>
      </c>
      <c r="B3" s="447">
        <v>45707.0</v>
      </c>
      <c r="C3" s="448" t="s">
        <v>1188</v>
      </c>
      <c r="D3" s="448" t="s">
        <v>1000</v>
      </c>
      <c r="E3" s="449" t="s">
        <v>1189</v>
      </c>
      <c r="F3" s="450" t="s">
        <v>1190</v>
      </c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  <c r="Y3" s="451"/>
      <c r="Z3" s="451"/>
    </row>
    <row r="4" ht="19.5" customHeight="1">
      <c r="A4" s="18">
        <f t="shared" ref="A4:A143" si="1">IF(ISBLANK(B4),"",COUNTA($B$3:B4))</f>
        <v>2</v>
      </c>
      <c r="B4" s="447">
        <v>45714.0</v>
      </c>
      <c r="C4" s="448" t="s">
        <v>1169</v>
      </c>
      <c r="D4" s="448" t="s">
        <v>1191</v>
      </c>
      <c r="E4" s="449" t="s">
        <v>1192</v>
      </c>
      <c r="F4" s="450" t="s">
        <v>1193</v>
      </c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  <c r="S4" s="451"/>
      <c r="T4" s="451"/>
      <c r="U4" s="451"/>
      <c r="V4" s="451"/>
      <c r="W4" s="451"/>
      <c r="X4" s="451"/>
      <c r="Y4" s="451"/>
      <c r="Z4" s="451"/>
    </row>
    <row r="5" ht="19.5" customHeight="1">
      <c r="A5" s="18">
        <f t="shared" si="1"/>
        <v>3</v>
      </c>
      <c r="B5" s="447">
        <v>45715.0</v>
      </c>
      <c r="C5" s="448" t="s">
        <v>1169</v>
      </c>
      <c r="D5" s="448" t="s">
        <v>1194</v>
      </c>
      <c r="E5" s="449" t="s">
        <v>1189</v>
      </c>
      <c r="F5" s="450" t="s">
        <v>1195</v>
      </c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451"/>
      <c r="Y5" s="451"/>
      <c r="Z5" s="451"/>
    </row>
    <row r="6" ht="19.5" customHeight="1">
      <c r="A6" s="18">
        <f t="shared" si="1"/>
        <v>4</v>
      </c>
      <c r="B6" s="447">
        <v>45721.0</v>
      </c>
      <c r="C6" s="448" t="s">
        <v>1196</v>
      </c>
      <c r="D6" s="448" t="s">
        <v>1197</v>
      </c>
      <c r="E6" s="449" t="s">
        <v>1198</v>
      </c>
      <c r="F6" s="450" t="s">
        <v>1199</v>
      </c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X6" s="451"/>
      <c r="Y6" s="451"/>
      <c r="Z6" s="451"/>
    </row>
    <row r="7" ht="19.5" customHeight="1">
      <c r="A7" s="18">
        <f t="shared" si="1"/>
        <v>5</v>
      </c>
      <c r="B7" s="447">
        <v>45722.0</v>
      </c>
      <c r="C7" s="448" t="s">
        <v>1196</v>
      </c>
      <c r="D7" s="448" t="s">
        <v>1200</v>
      </c>
      <c r="E7" s="449" t="s">
        <v>1189</v>
      </c>
      <c r="F7" s="450" t="s">
        <v>1201</v>
      </c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  <c r="V7" s="451"/>
      <c r="W7" s="451"/>
      <c r="X7" s="451"/>
      <c r="Y7" s="451"/>
      <c r="Z7" s="451"/>
    </row>
    <row r="8" ht="19.5" customHeight="1">
      <c r="A8" s="18">
        <f t="shared" si="1"/>
        <v>6</v>
      </c>
      <c r="B8" s="447">
        <v>45727.0</v>
      </c>
      <c r="C8" s="448" t="s">
        <v>1196</v>
      </c>
      <c r="D8" s="448" t="s">
        <v>1197</v>
      </c>
      <c r="E8" s="449" t="s">
        <v>1202</v>
      </c>
      <c r="F8" s="450" t="s">
        <v>1203</v>
      </c>
      <c r="G8" s="451"/>
      <c r="H8" s="451"/>
      <c r="I8" s="451"/>
      <c r="J8" s="451"/>
      <c r="K8" s="451"/>
      <c r="L8" s="451"/>
      <c r="M8" s="451"/>
      <c r="N8" s="451"/>
      <c r="O8" s="451"/>
      <c r="P8" s="451"/>
      <c r="Q8" s="451"/>
      <c r="R8" s="451"/>
      <c r="S8" s="451"/>
      <c r="T8" s="451"/>
      <c r="U8" s="451"/>
      <c r="V8" s="451"/>
      <c r="W8" s="451"/>
      <c r="X8" s="451"/>
      <c r="Y8" s="451"/>
      <c r="Z8" s="451"/>
    </row>
    <row r="9" ht="19.5" customHeight="1">
      <c r="A9" s="18">
        <f t="shared" si="1"/>
        <v>7</v>
      </c>
      <c r="B9" s="447">
        <v>45733.0</v>
      </c>
      <c r="C9" s="448" t="s">
        <v>1188</v>
      </c>
      <c r="D9" s="448" t="s">
        <v>588</v>
      </c>
      <c r="E9" s="449" t="s">
        <v>1189</v>
      </c>
      <c r="F9" s="450" t="s">
        <v>1204</v>
      </c>
      <c r="G9" s="451"/>
      <c r="H9" s="451"/>
      <c r="I9" s="451"/>
      <c r="J9" s="451"/>
      <c r="K9" s="451"/>
      <c r="L9" s="451"/>
      <c r="M9" s="451"/>
      <c r="N9" s="451"/>
      <c r="O9" s="451"/>
      <c r="P9" s="451"/>
      <c r="Q9" s="451"/>
      <c r="R9" s="451"/>
      <c r="S9" s="451"/>
      <c r="T9" s="451"/>
      <c r="U9" s="451"/>
      <c r="V9" s="451"/>
      <c r="W9" s="451"/>
      <c r="X9" s="451"/>
      <c r="Y9" s="451"/>
      <c r="Z9" s="451"/>
    </row>
    <row r="10" ht="19.5" customHeight="1">
      <c r="A10" s="18">
        <f t="shared" si="1"/>
        <v>8</v>
      </c>
      <c r="B10" s="447">
        <v>45738.0</v>
      </c>
      <c r="C10" s="448" t="s">
        <v>1188</v>
      </c>
      <c r="D10" s="448" t="s">
        <v>1205</v>
      </c>
      <c r="E10" s="449" t="s">
        <v>1192</v>
      </c>
      <c r="F10" s="450" t="s">
        <v>1206</v>
      </c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  <c r="V10" s="451"/>
      <c r="W10" s="451"/>
      <c r="X10" s="451"/>
      <c r="Y10" s="451"/>
      <c r="Z10" s="451"/>
    </row>
    <row r="11" ht="19.5" customHeight="1">
      <c r="A11" s="18">
        <f t="shared" si="1"/>
        <v>9</v>
      </c>
      <c r="B11" s="447">
        <v>45738.0</v>
      </c>
      <c r="C11" s="448" t="s">
        <v>1188</v>
      </c>
      <c r="D11" s="448" t="s">
        <v>30</v>
      </c>
      <c r="E11" s="449" t="s">
        <v>1192</v>
      </c>
      <c r="F11" s="450" t="s">
        <v>1207</v>
      </c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</row>
    <row r="12" ht="19.5" customHeight="1">
      <c r="A12" s="18">
        <f t="shared" si="1"/>
        <v>10</v>
      </c>
      <c r="B12" s="447">
        <v>45738.0</v>
      </c>
      <c r="C12" s="448" t="s">
        <v>1169</v>
      </c>
      <c r="D12" s="448" t="s">
        <v>1019</v>
      </c>
      <c r="E12" s="449" t="s">
        <v>1192</v>
      </c>
      <c r="F12" s="450" t="s">
        <v>1208</v>
      </c>
      <c r="G12" s="451"/>
      <c r="H12" s="451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</row>
    <row r="13" ht="19.5" customHeight="1">
      <c r="A13" s="18">
        <f t="shared" si="1"/>
        <v>11</v>
      </c>
      <c r="B13" s="447">
        <v>45741.0</v>
      </c>
      <c r="C13" s="448" t="s">
        <v>1188</v>
      </c>
      <c r="D13" s="448" t="s">
        <v>1003</v>
      </c>
      <c r="E13" s="449" t="s">
        <v>1192</v>
      </c>
      <c r="F13" s="450" t="s">
        <v>1209</v>
      </c>
      <c r="G13" s="451"/>
      <c r="H13" s="451"/>
      <c r="I13" s="451"/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1"/>
      <c r="X13" s="451"/>
      <c r="Y13" s="451"/>
      <c r="Z13" s="451"/>
    </row>
    <row r="14" ht="19.5" customHeight="1">
      <c r="A14" s="18">
        <f t="shared" si="1"/>
        <v>12</v>
      </c>
      <c r="B14" s="447">
        <v>45760.0</v>
      </c>
      <c r="C14" s="448" t="s">
        <v>1169</v>
      </c>
      <c r="D14" s="448" t="s">
        <v>1210</v>
      </c>
      <c r="E14" s="449" t="s">
        <v>1192</v>
      </c>
      <c r="F14" s="450" t="s">
        <v>1211</v>
      </c>
      <c r="G14" s="451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1"/>
      <c r="W14" s="451"/>
      <c r="X14" s="451"/>
      <c r="Y14" s="451"/>
      <c r="Z14" s="451"/>
    </row>
    <row r="15" ht="19.5" customHeight="1">
      <c r="A15" s="18">
        <f t="shared" si="1"/>
        <v>13</v>
      </c>
      <c r="B15" s="447">
        <v>45760.0</v>
      </c>
      <c r="C15" s="448" t="s">
        <v>1169</v>
      </c>
      <c r="D15" s="448" t="s">
        <v>1031</v>
      </c>
      <c r="E15" s="449" t="s">
        <v>1192</v>
      </c>
      <c r="F15" s="450" t="s">
        <v>1212</v>
      </c>
      <c r="G15" s="451"/>
      <c r="H15" s="451"/>
      <c r="I15" s="451"/>
      <c r="J15" s="451"/>
      <c r="K15" s="451"/>
      <c r="L15" s="451"/>
      <c r="M15" s="451"/>
      <c r="N15" s="451"/>
      <c r="O15" s="451"/>
      <c r="P15" s="451"/>
      <c r="Q15" s="451"/>
      <c r="R15" s="451"/>
      <c r="S15" s="451"/>
      <c r="T15" s="451"/>
      <c r="U15" s="451"/>
      <c r="V15" s="451"/>
      <c r="W15" s="451"/>
      <c r="X15" s="451"/>
      <c r="Y15" s="451"/>
      <c r="Z15" s="451"/>
    </row>
    <row r="16" ht="19.5" customHeight="1">
      <c r="A16" s="18">
        <f t="shared" si="1"/>
        <v>14</v>
      </c>
      <c r="B16" s="447">
        <v>45760.0</v>
      </c>
      <c r="C16" s="448" t="s">
        <v>1196</v>
      </c>
      <c r="D16" s="448" t="s">
        <v>437</v>
      </c>
      <c r="E16" s="449" t="s">
        <v>1192</v>
      </c>
      <c r="F16" s="450" t="s">
        <v>1213</v>
      </c>
      <c r="G16" s="451"/>
      <c r="H16" s="451"/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  <c r="Y16" s="451"/>
      <c r="Z16" s="451"/>
    </row>
    <row r="17" ht="19.5" customHeight="1">
      <c r="A17" s="18">
        <f t="shared" si="1"/>
        <v>15</v>
      </c>
      <c r="B17" s="447">
        <v>45764.0</v>
      </c>
      <c r="C17" s="448" t="s">
        <v>1188</v>
      </c>
      <c r="D17" s="448" t="s">
        <v>1205</v>
      </c>
      <c r="E17" s="449" t="s">
        <v>1189</v>
      </c>
      <c r="F17" s="450" t="s">
        <v>1214</v>
      </c>
      <c r="G17" s="451"/>
      <c r="H17" s="451"/>
      <c r="I17" s="451"/>
      <c r="J17" s="451"/>
      <c r="K17" s="451"/>
      <c r="L17" s="451"/>
      <c r="M17" s="451"/>
      <c r="N17" s="451"/>
      <c r="O17" s="451"/>
      <c r="P17" s="451"/>
      <c r="Q17" s="451"/>
      <c r="R17" s="451"/>
      <c r="S17" s="451"/>
      <c r="T17" s="451"/>
      <c r="U17" s="451"/>
      <c r="V17" s="451"/>
      <c r="W17" s="451"/>
      <c r="X17" s="451"/>
      <c r="Y17" s="451"/>
      <c r="Z17" s="451"/>
    </row>
    <row r="18" ht="19.5" customHeight="1">
      <c r="A18" s="18">
        <f t="shared" si="1"/>
        <v>16</v>
      </c>
      <c r="B18" s="447">
        <v>45770.0</v>
      </c>
      <c r="C18" s="448" t="s">
        <v>94</v>
      </c>
      <c r="D18" s="448" t="s">
        <v>1215</v>
      </c>
      <c r="E18" s="449" t="s">
        <v>1198</v>
      </c>
      <c r="F18" s="450" t="s">
        <v>1216</v>
      </c>
      <c r="G18" s="451"/>
      <c r="H18" s="451"/>
      <c r="I18" s="451"/>
      <c r="J18" s="451"/>
      <c r="K18" s="451"/>
      <c r="L18" s="451"/>
      <c r="M18" s="451"/>
      <c r="N18" s="451"/>
      <c r="O18" s="451"/>
      <c r="P18" s="451"/>
      <c r="Q18" s="451"/>
      <c r="R18" s="451"/>
      <c r="S18" s="451"/>
      <c r="T18" s="451"/>
      <c r="U18" s="451"/>
      <c r="V18" s="451"/>
      <c r="W18" s="451"/>
      <c r="X18" s="451"/>
      <c r="Y18" s="451"/>
      <c r="Z18" s="451"/>
    </row>
    <row r="19" ht="19.5" customHeight="1">
      <c r="A19" s="18">
        <f t="shared" si="1"/>
        <v>17</v>
      </c>
      <c r="B19" s="447">
        <v>45770.0</v>
      </c>
      <c r="C19" s="448" t="s">
        <v>94</v>
      </c>
      <c r="D19" s="448" t="s">
        <v>771</v>
      </c>
      <c r="E19" s="449" t="s">
        <v>1198</v>
      </c>
      <c r="F19" s="450" t="s">
        <v>1217</v>
      </c>
      <c r="G19" s="451"/>
      <c r="H19" s="451"/>
      <c r="I19" s="451"/>
      <c r="J19" s="451"/>
      <c r="K19" s="451"/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1"/>
      <c r="X19" s="451"/>
      <c r="Y19" s="451"/>
      <c r="Z19" s="451"/>
    </row>
    <row r="20" ht="19.5" customHeight="1">
      <c r="A20" s="18">
        <f t="shared" si="1"/>
        <v>18</v>
      </c>
      <c r="B20" s="447">
        <v>45770.0</v>
      </c>
      <c r="C20" s="448" t="s">
        <v>94</v>
      </c>
      <c r="D20" s="448" t="s">
        <v>1218</v>
      </c>
      <c r="E20" s="449" t="s">
        <v>1198</v>
      </c>
      <c r="F20" s="450" t="s">
        <v>1219</v>
      </c>
      <c r="G20" s="451"/>
      <c r="H20" s="451"/>
      <c r="I20" s="451"/>
      <c r="J20" s="451"/>
      <c r="K20" s="451"/>
      <c r="L20" s="451"/>
      <c r="M20" s="451"/>
      <c r="N20" s="451"/>
      <c r="O20" s="451"/>
      <c r="P20" s="451"/>
      <c r="Q20" s="451"/>
      <c r="R20" s="451"/>
      <c r="S20" s="451"/>
      <c r="T20" s="451"/>
      <c r="U20" s="451"/>
      <c r="V20" s="451"/>
      <c r="W20" s="451"/>
      <c r="X20" s="451"/>
      <c r="Y20" s="451"/>
      <c r="Z20" s="451"/>
    </row>
    <row r="21" ht="19.5" customHeight="1">
      <c r="A21" s="18">
        <f t="shared" si="1"/>
        <v>19</v>
      </c>
      <c r="B21" s="447">
        <v>45770.0</v>
      </c>
      <c r="C21" s="448" t="s">
        <v>94</v>
      </c>
      <c r="D21" s="448" t="s">
        <v>1141</v>
      </c>
      <c r="E21" s="449" t="s">
        <v>1198</v>
      </c>
      <c r="F21" s="450" t="s">
        <v>1220</v>
      </c>
      <c r="G21" s="451"/>
      <c r="H21" s="451"/>
      <c r="I21" s="451"/>
      <c r="J21" s="451"/>
      <c r="K21" s="451"/>
      <c r="L21" s="451"/>
      <c r="M21" s="451"/>
      <c r="N21" s="451"/>
      <c r="O21" s="451"/>
      <c r="P21" s="451"/>
      <c r="Q21" s="451"/>
      <c r="R21" s="451"/>
      <c r="S21" s="451"/>
      <c r="T21" s="451"/>
      <c r="U21" s="451"/>
      <c r="V21" s="451"/>
      <c r="W21" s="451"/>
      <c r="X21" s="451"/>
      <c r="Y21" s="451"/>
      <c r="Z21" s="451"/>
    </row>
    <row r="22" ht="19.5" customHeight="1">
      <c r="A22" s="18">
        <f t="shared" si="1"/>
        <v>20</v>
      </c>
      <c r="B22" s="447">
        <v>45790.0</v>
      </c>
      <c r="C22" s="448" t="s">
        <v>210</v>
      </c>
      <c r="D22" s="448" t="s">
        <v>1221</v>
      </c>
      <c r="E22" s="449" t="s">
        <v>1198</v>
      </c>
      <c r="F22" s="450" t="s">
        <v>1222</v>
      </c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  <c r="Y22" s="451"/>
      <c r="Z22" s="451"/>
    </row>
    <row r="23" ht="19.5" customHeight="1">
      <c r="A23" s="18">
        <f t="shared" si="1"/>
        <v>21</v>
      </c>
      <c r="B23" s="447">
        <v>45790.0</v>
      </c>
      <c r="C23" s="448" t="s">
        <v>1223</v>
      </c>
      <c r="D23" s="448" t="s">
        <v>1224</v>
      </c>
      <c r="E23" s="449" t="s">
        <v>1198</v>
      </c>
      <c r="F23" s="450" t="s">
        <v>1225</v>
      </c>
      <c r="G23" s="451"/>
      <c r="H23" s="451"/>
      <c r="I23" s="451"/>
      <c r="J23" s="451"/>
      <c r="K23" s="451"/>
      <c r="L23" s="451"/>
      <c r="M23" s="451"/>
      <c r="N23" s="451"/>
      <c r="O23" s="451"/>
      <c r="P23" s="451"/>
      <c r="Q23" s="451"/>
      <c r="R23" s="451"/>
      <c r="S23" s="451"/>
      <c r="T23" s="451"/>
      <c r="U23" s="451"/>
      <c r="V23" s="451"/>
      <c r="W23" s="451"/>
      <c r="X23" s="451"/>
      <c r="Y23" s="451"/>
      <c r="Z23" s="451"/>
    </row>
    <row r="24" ht="19.5" customHeight="1">
      <c r="A24" s="18">
        <f t="shared" si="1"/>
        <v>22</v>
      </c>
      <c r="B24" s="447">
        <v>45790.0</v>
      </c>
      <c r="C24" s="448" t="s">
        <v>210</v>
      </c>
      <c r="D24" s="448" t="s">
        <v>1226</v>
      </c>
      <c r="E24" s="449" t="s">
        <v>1198</v>
      </c>
      <c r="F24" s="450" t="s">
        <v>1227</v>
      </c>
      <c r="G24" s="451"/>
      <c r="H24" s="451"/>
      <c r="I24" s="451"/>
      <c r="J24" s="451"/>
      <c r="K24" s="451"/>
      <c r="L24" s="451"/>
      <c r="M24" s="451"/>
      <c r="N24" s="451"/>
      <c r="O24" s="451"/>
      <c r="P24" s="451"/>
      <c r="Q24" s="451"/>
      <c r="R24" s="451"/>
      <c r="S24" s="451"/>
      <c r="T24" s="451"/>
      <c r="U24" s="451"/>
      <c r="V24" s="451"/>
      <c r="W24" s="451"/>
      <c r="X24" s="451"/>
      <c r="Y24" s="451"/>
      <c r="Z24" s="451"/>
    </row>
    <row r="25" ht="19.5" customHeight="1">
      <c r="A25" s="18">
        <f t="shared" si="1"/>
        <v>23</v>
      </c>
      <c r="B25" s="447">
        <v>45790.0</v>
      </c>
      <c r="C25" s="448" t="s">
        <v>210</v>
      </c>
      <c r="D25" s="448" t="s">
        <v>1228</v>
      </c>
      <c r="E25" s="449" t="s">
        <v>1198</v>
      </c>
      <c r="F25" s="450" t="s">
        <v>1229</v>
      </c>
      <c r="G25" s="451"/>
      <c r="H25" s="451"/>
      <c r="I25" s="451"/>
      <c r="J25" s="451"/>
      <c r="K25" s="451"/>
      <c r="L25" s="451"/>
      <c r="M25" s="451"/>
      <c r="N25" s="451"/>
      <c r="O25" s="451"/>
      <c r="P25" s="451"/>
      <c r="Q25" s="451"/>
      <c r="R25" s="451"/>
      <c r="S25" s="451"/>
      <c r="T25" s="451"/>
      <c r="U25" s="451"/>
      <c r="V25" s="451"/>
      <c r="W25" s="451"/>
      <c r="X25" s="451"/>
      <c r="Y25" s="451"/>
      <c r="Z25" s="451"/>
    </row>
    <row r="26" ht="19.5" customHeight="1">
      <c r="A26" s="18">
        <f t="shared" si="1"/>
        <v>24</v>
      </c>
      <c r="B26" s="447">
        <v>45790.0</v>
      </c>
      <c r="C26" s="448" t="s">
        <v>210</v>
      </c>
      <c r="D26" s="448" t="s">
        <v>1230</v>
      </c>
      <c r="E26" s="449" t="s">
        <v>1198</v>
      </c>
      <c r="F26" s="450" t="s">
        <v>1231</v>
      </c>
      <c r="G26" s="451"/>
      <c r="H26" s="451"/>
      <c r="I26" s="451"/>
      <c r="J26" s="451"/>
      <c r="K26" s="451"/>
      <c r="L26" s="451"/>
      <c r="M26" s="451"/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/>
      <c r="Y26" s="451"/>
      <c r="Z26" s="451"/>
    </row>
    <row r="27" ht="19.5" customHeight="1">
      <c r="A27" s="18">
        <f t="shared" si="1"/>
        <v>25</v>
      </c>
      <c r="B27" s="447">
        <v>45790.0</v>
      </c>
      <c r="C27" s="448" t="s">
        <v>1223</v>
      </c>
      <c r="D27" s="448" t="s">
        <v>1232</v>
      </c>
      <c r="E27" s="449" t="s">
        <v>1198</v>
      </c>
      <c r="F27" s="450" t="s">
        <v>1233</v>
      </c>
      <c r="G27" s="451"/>
      <c r="H27" s="451"/>
      <c r="I27" s="451"/>
      <c r="J27" s="451"/>
      <c r="K27" s="451"/>
      <c r="L27" s="451"/>
      <c r="M27" s="451"/>
      <c r="N27" s="451"/>
      <c r="O27" s="451"/>
      <c r="P27" s="451"/>
      <c r="Q27" s="451"/>
      <c r="R27" s="451"/>
      <c r="S27" s="451"/>
      <c r="T27" s="451"/>
      <c r="U27" s="451"/>
      <c r="V27" s="451"/>
      <c r="W27" s="451"/>
      <c r="X27" s="451"/>
      <c r="Y27" s="451"/>
      <c r="Z27" s="451"/>
    </row>
    <row r="28" ht="19.5" customHeight="1">
      <c r="A28" s="18">
        <f t="shared" si="1"/>
        <v>26</v>
      </c>
      <c r="B28" s="447">
        <v>45790.0</v>
      </c>
      <c r="C28" s="448" t="s">
        <v>210</v>
      </c>
      <c r="D28" s="448" t="s">
        <v>1234</v>
      </c>
      <c r="E28" s="449" t="s">
        <v>1198</v>
      </c>
      <c r="F28" s="450" t="s">
        <v>1235</v>
      </c>
      <c r="G28" s="451"/>
      <c r="H28" s="451"/>
      <c r="I28" s="451"/>
      <c r="J28" s="451"/>
      <c r="K28" s="451"/>
      <c r="L28" s="451"/>
      <c r="M28" s="451"/>
      <c r="N28" s="451"/>
      <c r="O28" s="451"/>
      <c r="P28" s="451"/>
      <c r="Q28" s="451"/>
      <c r="R28" s="451"/>
      <c r="S28" s="451"/>
      <c r="T28" s="451"/>
      <c r="U28" s="451"/>
      <c r="V28" s="451"/>
      <c r="W28" s="451"/>
      <c r="X28" s="451"/>
      <c r="Y28" s="451"/>
      <c r="Z28" s="451"/>
    </row>
    <row r="29" ht="19.5" customHeight="1">
      <c r="A29" s="18">
        <f t="shared" si="1"/>
        <v>27</v>
      </c>
      <c r="B29" s="447">
        <v>45790.0</v>
      </c>
      <c r="C29" s="448" t="s">
        <v>1236</v>
      </c>
      <c r="D29" s="448" t="s">
        <v>1237</v>
      </c>
      <c r="E29" s="449" t="s">
        <v>1198</v>
      </c>
      <c r="F29" s="450" t="s">
        <v>1238</v>
      </c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51"/>
    </row>
    <row r="30" ht="19.5" customHeight="1">
      <c r="A30" s="18">
        <f t="shared" si="1"/>
        <v>28</v>
      </c>
      <c r="B30" s="447">
        <v>45799.0</v>
      </c>
      <c r="C30" s="448" t="s">
        <v>1169</v>
      </c>
      <c r="D30" s="448" t="s">
        <v>1031</v>
      </c>
      <c r="E30" s="449" t="s">
        <v>1189</v>
      </c>
      <c r="F30" s="450" t="s">
        <v>1239</v>
      </c>
      <c r="G30" s="451"/>
      <c r="H30" s="451"/>
      <c r="I30" s="451"/>
      <c r="J30" s="451"/>
      <c r="K30" s="451"/>
      <c r="L30" s="451"/>
      <c r="M30" s="451"/>
      <c r="N30" s="451"/>
      <c r="O30" s="451"/>
      <c r="P30" s="451"/>
      <c r="Q30" s="451"/>
      <c r="R30" s="451"/>
      <c r="S30" s="451"/>
      <c r="T30" s="451"/>
      <c r="U30" s="451"/>
      <c r="V30" s="451"/>
      <c r="W30" s="451"/>
      <c r="X30" s="451"/>
      <c r="Y30" s="451"/>
      <c r="Z30" s="451"/>
    </row>
    <row r="31" ht="19.5" customHeight="1">
      <c r="A31" s="18">
        <f t="shared" si="1"/>
        <v>29</v>
      </c>
      <c r="B31" s="447">
        <v>45799.0</v>
      </c>
      <c r="C31" s="448" t="s">
        <v>1169</v>
      </c>
      <c r="D31" s="448" t="s">
        <v>490</v>
      </c>
      <c r="E31" s="449" t="s">
        <v>1189</v>
      </c>
      <c r="F31" s="450" t="s">
        <v>1240</v>
      </c>
      <c r="G31" s="451"/>
      <c r="H31" s="451"/>
      <c r="I31" s="451"/>
      <c r="J31" s="451"/>
      <c r="K31" s="451"/>
      <c r="L31" s="451"/>
      <c r="M31" s="451"/>
      <c r="N31" s="451"/>
      <c r="O31" s="451"/>
      <c r="P31" s="451"/>
      <c r="Q31" s="451"/>
      <c r="R31" s="451"/>
      <c r="S31" s="451"/>
      <c r="T31" s="451"/>
      <c r="U31" s="451"/>
      <c r="V31" s="451"/>
      <c r="W31" s="451"/>
      <c r="X31" s="451"/>
      <c r="Y31" s="451"/>
      <c r="Z31" s="451"/>
    </row>
    <row r="32" ht="19.5" customHeight="1">
      <c r="A32" s="18">
        <f t="shared" si="1"/>
        <v>30</v>
      </c>
      <c r="B32" s="447">
        <v>45807.0</v>
      </c>
      <c r="C32" s="448" t="s">
        <v>1169</v>
      </c>
      <c r="D32" s="448" t="s">
        <v>490</v>
      </c>
      <c r="E32" s="449" t="s">
        <v>1189</v>
      </c>
      <c r="F32" s="450" t="s">
        <v>1241</v>
      </c>
      <c r="G32" s="451"/>
      <c r="H32" s="451"/>
      <c r="I32" s="451"/>
      <c r="J32" s="451"/>
      <c r="K32" s="451"/>
      <c r="L32" s="451"/>
      <c r="M32" s="451"/>
      <c r="N32" s="451"/>
      <c r="O32" s="451"/>
      <c r="P32" s="451"/>
      <c r="Q32" s="451"/>
      <c r="R32" s="451"/>
      <c r="S32" s="451"/>
      <c r="T32" s="451"/>
      <c r="U32" s="451"/>
      <c r="V32" s="451"/>
      <c r="W32" s="451"/>
      <c r="X32" s="451"/>
      <c r="Y32" s="451"/>
      <c r="Z32" s="451"/>
    </row>
    <row r="33" ht="19.5" customHeight="1">
      <c r="A33" s="18">
        <f t="shared" si="1"/>
        <v>31</v>
      </c>
      <c r="B33" s="447">
        <v>45808.0</v>
      </c>
      <c r="C33" s="448" t="s">
        <v>1236</v>
      </c>
      <c r="D33" s="448" t="s">
        <v>1242</v>
      </c>
      <c r="E33" s="449" t="s">
        <v>1198</v>
      </c>
      <c r="F33" s="450" t="s">
        <v>1243</v>
      </c>
      <c r="G33" s="451"/>
      <c r="H33" s="451"/>
      <c r="I33" s="451"/>
      <c r="J33" s="451"/>
      <c r="K33" s="451"/>
      <c r="L33" s="451"/>
      <c r="M33" s="451"/>
      <c r="N33" s="451"/>
      <c r="O33" s="451"/>
      <c r="P33" s="451"/>
      <c r="Q33" s="451"/>
      <c r="R33" s="451"/>
      <c r="S33" s="451"/>
      <c r="T33" s="451"/>
      <c r="U33" s="451"/>
      <c r="V33" s="451"/>
      <c r="W33" s="451"/>
      <c r="X33" s="451"/>
      <c r="Y33" s="451"/>
      <c r="Z33" s="451"/>
    </row>
    <row r="34" ht="19.5" customHeight="1">
      <c r="A34" s="18">
        <f t="shared" si="1"/>
        <v>32</v>
      </c>
      <c r="B34" s="447">
        <v>45808.0</v>
      </c>
      <c r="C34" s="448" t="s">
        <v>1196</v>
      </c>
      <c r="D34" s="448" t="s">
        <v>268</v>
      </c>
      <c r="E34" s="449" t="s">
        <v>1198</v>
      </c>
      <c r="F34" s="450" t="s">
        <v>1244</v>
      </c>
      <c r="G34" s="451"/>
      <c r="H34" s="451"/>
      <c r="I34" s="451"/>
      <c r="J34" s="451"/>
      <c r="K34" s="451"/>
      <c r="L34" s="451"/>
      <c r="M34" s="451"/>
      <c r="N34" s="451"/>
      <c r="O34" s="451"/>
      <c r="P34" s="451"/>
      <c r="Q34" s="451"/>
      <c r="R34" s="451"/>
      <c r="S34" s="451"/>
      <c r="T34" s="451"/>
      <c r="U34" s="451"/>
      <c r="V34" s="451"/>
      <c r="W34" s="451"/>
      <c r="X34" s="451"/>
      <c r="Y34" s="451"/>
      <c r="Z34" s="451"/>
    </row>
    <row r="35" ht="19.5" customHeight="1">
      <c r="A35" s="18">
        <f t="shared" si="1"/>
        <v>33</v>
      </c>
      <c r="B35" s="447">
        <v>45808.0</v>
      </c>
      <c r="C35" s="448" t="s">
        <v>1196</v>
      </c>
      <c r="D35" s="448" t="s">
        <v>1110</v>
      </c>
      <c r="E35" s="449" t="s">
        <v>1198</v>
      </c>
      <c r="F35" s="450" t="s">
        <v>1245</v>
      </c>
      <c r="G35" s="451"/>
      <c r="H35" s="451"/>
      <c r="I35" s="451"/>
      <c r="J35" s="451"/>
      <c r="K35" s="451"/>
      <c r="L35" s="451"/>
      <c r="M35" s="451"/>
      <c r="N35" s="451"/>
      <c r="O35" s="451"/>
      <c r="P35" s="451"/>
      <c r="Q35" s="451"/>
      <c r="R35" s="451"/>
      <c r="S35" s="451"/>
      <c r="T35" s="451"/>
      <c r="U35" s="451"/>
      <c r="V35" s="451"/>
      <c r="W35" s="451"/>
      <c r="X35" s="451"/>
      <c r="Y35" s="451"/>
      <c r="Z35" s="451"/>
    </row>
    <row r="36" ht="19.5" customHeight="1">
      <c r="A36" s="18">
        <f t="shared" si="1"/>
        <v>34</v>
      </c>
      <c r="B36" s="447">
        <v>45811.0</v>
      </c>
      <c r="C36" s="448" t="s">
        <v>1196</v>
      </c>
      <c r="D36" s="448" t="s">
        <v>1246</v>
      </c>
      <c r="E36" s="449" t="s">
        <v>1198</v>
      </c>
      <c r="F36" s="450" t="s">
        <v>1247</v>
      </c>
      <c r="G36" s="451"/>
      <c r="H36" s="451"/>
      <c r="I36" s="451"/>
      <c r="J36" s="451"/>
      <c r="K36" s="451"/>
      <c r="L36" s="451"/>
      <c r="M36" s="451"/>
      <c r="N36" s="451"/>
      <c r="O36" s="451"/>
      <c r="P36" s="451"/>
      <c r="Q36" s="451"/>
      <c r="R36" s="451"/>
      <c r="S36" s="451"/>
      <c r="T36" s="451"/>
      <c r="U36" s="451"/>
      <c r="V36" s="451"/>
      <c r="W36" s="451"/>
      <c r="X36" s="451"/>
      <c r="Y36" s="451"/>
      <c r="Z36" s="451"/>
    </row>
    <row r="37" ht="19.5" customHeight="1">
      <c r="A37" s="18">
        <f t="shared" si="1"/>
        <v>35</v>
      </c>
      <c r="B37" s="447">
        <v>45811.0</v>
      </c>
      <c r="C37" s="448" t="s">
        <v>1236</v>
      </c>
      <c r="D37" s="448" t="s">
        <v>361</v>
      </c>
      <c r="E37" s="449" t="s">
        <v>1198</v>
      </c>
      <c r="F37" s="450" t="s">
        <v>1248</v>
      </c>
      <c r="G37" s="451"/>
      <c r="H37" s="451"/>
      <c r="I37" s="451"/>
      <c r="J37" s="451"/>
      <c r="K37" s="451"/>
      <c r="L37" s="451"/>
      <c r="M37" s="451"/>
      <c r="N37" s="451"/>
      <c r="O37" s="451"/>
      <c r="P37" s="451"/>
      <c r="Q37" s="451"/>
      <c r="R37" s="451"/>
      <c r="S37" s="451"/>
      <c r="T37" s="451"/>
      <c r="U37" s="451"/>
      <c r="V37" s="451"/>
      <c r="W37" s="451"/>
      <c r="X37" s="451"/>
      <c r="Y37" s="451"/>
      <c r="Z37" s="451"/>
    </row>
    <row r="38" ht="19.5" customHeight="1">
      <c r="A38" s="18">
        <f t="shared" si="1"/>
        <v>36</v>
      </c>
      <c r="B38" s="447">
        <v>45811.0</v>
      </c>
      <c r="C38" s="448" t="s">
        <v>1236</v>
      </c>
      <c r="D38" s="448" t="s">
        <v>1249</v>
      </c>
      <c r="E38" s="449" t="s">
        <v>1198</v>
      </c>
      <c r="F38" s="450" t="s">
        <v>1250</v>
      </c>
      <c r="G38" s="451"/>
      <c r="H38" s="451"/>
      <c r="I38" s="451"/>
      <c r="J38" s="451"/>
      <c r="K38" s="451"/>
      <c r="L38" s="451"/>
      <c r="M38" s="451"/>
      <c r="N38" s="451"/>
      <c r="O38" s="451"/>
      <c r="P38" s="451"/>
      <c r="Q38" s="451"/>
      <c r="R38" s="451"/>
      <c r="S38" s="451"/>
      <c r="T38" s="451"/>
      <c r="U38" s="451"/>
      <c r="V38" s="451"/>
      <c r="W38" s="451"/>
      <c r="X38" s="451"/>
      <c r="Y38" s="451"/>
      <c r="Z38" s="451"/>
    </row>
    <row r="39" ht="19.5" customHeight="1">
      <c r="A39" s="18">
        <f t="shared" si="1"/>
        <v>37</v>
      </c>
      <c r="B39" s="447">
        <v>45811.0</v>
      </c>
      <c r="C39" s="448" t="s">
        <v>1196</v>
      </c>
      <c r="D39" s="448" t="s">
        <v>1251</v>
      </c>
      <c r="E39" s="449" t="s">
        <v>1198</v>
      </c>
      <c r="F39" s="450" t="s">
        <v>1252</v>
      </c>
      <c r="G39" s="451"/>
      <c r="H39" s="451"/>
      <c r="I39" s="451"/>
      <c r="J39" s="451"/>
      <c r="K39" s="451"/>
      <c r="L39" s="451"/>
      <c r="M39" s="451"/>
      <c r="N39" s="451"/>
      <c r="O39" s="451"/>
      <c r="P39" s="451"/>
      <c r="Q39" s="451"/>
      <c r="R39" s="451"/>
      <c r="S39" s="451"/>
      <c r="T39" s="451"/>
      <c r="U39" s="451"/>
      <c r="V39" s="451"/>
      <c r="W39" s="451"/>
      <c r="X39" s="451"/>
      <c r="Y39" s="451"/>
      <c r="Z39" s="451"/>
    </row>
    <row r="40" ht="19.5" customHeight="1">
      <c r="A40" s="18">
        <f t="shared" si="1"/>
        <v>38</v>
      </c>
      <c r="B40" s="447">
        <v>45811.0</v>
      </c>
      <c r="C40" s="448" t="s">
        <v>1196</v>
      </c>
      <c r="D40" s="448" t="s">
        <v>1116</v>
      </c>
      <c r="E40" s="449" t="s">
        <v>1198</v>
      </c>
      <c r="F40" s="450" t="s">
        <v>1253</v>
      </c>
      <c r="G40" s="451"/>
      <c r="H40" s="451"/>
      <c r="I40" s="451"/>
      <c r="J40" s="451"/>
      <c r="K40" s="451"/>
      <c r="L40" s="451"/>
      <c r="M40" s="451"/>
      <c r="N40" s="451"/>
      <c r="O40" s="451"/>
      <c r="P40" s="451"/>
      <c r="Q40" s="451"/>
      <c r="R40" s="451"/>
      <c r="S40" s="451"/>
      <c r="T40" s="451"/>
      <c r="U40" s="451"/>
      <c r="V40" s="451"/>
      <c r="W40" s="451"/>
      <c r="X40" s="451"/>
      <c r="Y40" s="451"/>
      <c r="Z40" s="451"/>
    </row>
    <row r="41" ht="19.5" customHeight="1">
      <c r="A41" s="18">
        <f t="shared" si="1"/>
        <v>39</v>
      </c>
      <c r="B41" s="447">
        <v>45811.0</v>
      </c>
      <c r="C41" s="448" t="s">
        <v>1236</v>
      </c>
      <c r="D41" s="448" t="s">
        <v>1254</v>
      </c>
      <c r="E41" s="449" t="s">
        <v>1198</v>
      </c>
      <c r="F41" s="450" t="s">
        <v>1255</v>
      </c>
      <c r="G41" s="451"/>
      <c r="H41" s="451"/>
      <c r="I41" s="451"/>
      <c r="J41" s="451"/>
      <c r="K41" s="451"/>
      <c r="L41" s="451"/>
      <c r="M41" s="451"/>
      <c r="N41" s="451"/>
      <c r="O41" s="451"/>
      <c r="P41" s="451"/>
      <c r="Q41" s="451"/>
      <c r="R41" s="451"/>
      <c r="S41" s="451"/>
      <c r="T41" s="451"/>
      <c r="U41" s="451"/>
      <c r="V41" s="451"/>
      <c r="W41" s="451"/>
      <c r="X41" s="451"/>
      <c r="Y41" s="451"/>
      <c r="Z41" s="451"/>
    </row>
    <row r="42" ht="19.5" customHeight="1">
      <c r="A42" s="18">
        <f t="shared" si="1"/>
        <v>40</v>
      </c>
      <c r="B42" s="447">
        <v>45811.0</v>
      </c>
      <c r="C42" s="448" t="s">
        <v>1236</v>
      </c>
      <c r="D42" s="448" t="s">
        <v>1135</v>
      </c>
      <c r="E42" s="449" t="s">
        <v>1198</v>
      </c>
      <c r="F42" s="450" t="s">
        <v>1256</v>
      </c>
      <c r="G42" s="451"/>
      <c r="H42" s="451"/>
      <c r="I42" s="451"/>
      <c r="J42" s="451"/>
      <c r="K42" s="451"/>
      <c r="L42" s="451"/>
      <c r="M42" s="451"/>
      <c r="N42" s="451"/>
      <c r="O42" s="451"/>
      <c r="P42" s="451"/>
      <c r="Q42" s="451"/>
      <c r="R42" s="451"/>
      <c r="S42" s="451"/>
      <c r="T42" s="451"/>
      <c r="U42" s="451"/>
      <c r="V42" s="451"/>
      <c r="W42" s="451"/>
      <c r="X42" s="451"/>
      <c r="Y42" s="451"/>
      <c r="Z42" s="451"/>
    </row>
    <row r="43" ht="19.5" customHeight="1">
      <c r="A43" s="18">
        <f t="shared" si="1"/>
        <v>41</v>
      </c>
      <c r="B43" s="447">
        <v>45811.0</v>
      </c>
      <c r="C43" s="448" t="s">
        <v>1196</v>
      </c>
      <c r="D43" s="448" t="s">
        <v>1257</v>
      </c>
      <c r="E43" s="449" t="s">
        <v>1198</v>
      </c>
      <c r="F43" s="450" t="s">
        <v>1258</v>
      </c>
      <c r="G43" s="451"/>
      <c r="H43" s="451"/>
      <c r="I43" s="451"/>
      <c r="J43" s="451"/>
      <c r="K43" s="451"/>
      <c r="L43" s="451"/>
      <c r="M43" s="451"/>
      <c r="N43" s="451"/>
      <c r="O43" s="451"/>
      <c r="P43" s="451"/>
      <c r="Q43" s="451"/>
      <c r="R43" s="451"/>
      <c r="S43" s="451"/>
      <c r="T43" s="451"/>
      <c r="U43" s="451"/>
      <c r="V43" s="451"/>
      <c r="W43" s="451"/>
      <c r="X43" s="451"/>
      <c r="Y43" s="451"/>
      <c r="Z43" s="451"/>
    </row>
    <row r="44" ht="19.5" customHeight="1">
      <c r="A44" s="18">
        <f t="shared" si="1"/>
        <v>42</v>
      </c>
      <c r="B44" s="447">
        <v>45813.0</v>
      </c>
      <c r="C44" s="448" t="s">
        <v>1169</v>
      </c>
      <c r="D44" s="448" t="s">
        <v>490</v>
      </c>
      <c r="E44" s="449" t="s">
        <v>1192</v>
      </c>
      <c r="F44" s="450" t="s">
        <v>1259</v>
      </c>
      <c r="G44" s="451"/>
      <c r="H44" s="451"/>
      <c r="I44" s="451"/>
      <c r="J44" s="451"/>
      <c r="K44" s="451"/>
      <c r="L44" s="451"/>
      <c r="M44" s="451"/>
      <c r="N44" s="451"/>
      <c r="O44" s="451"/>
      <c r="P44" s="451"/>
      <c r="Q44" s="451"/>
      <c r="R44" s="451"/>
      <c r="S44" s="451"/>
      <c r="T44" s="451"/>
      <c r="U44" s="451"/>
      <c r="V44" s="451"/>
      <c r="W44" s="451"/>
      <c r="X44" s="451"/>
      <c r="Y44" s="451"/>
      <c r="Z44" s="451"/>
    </row>
    <row r="45" ht="19.5" customHeight="1">
      <c r="A45" s="18">
        <f t="shared" si="1"/>
        <v>43</v>
      </c>
      <c r="B45" s="447">
        <v>45813.0</v>
      </c>
      <c r="C45" s="448" t="s">
        <v>1196</v>
      </c>
      <c r="D45" s="448" t="s">
        <v>1260</v>
      </c>
      <c r="E45" s="449" t="s">
        <v>1192</v>
      </c>
      <c r="F45" s="450" t="s">
        <v>1261</v>
      </c>
      <c r="G45" s="451"/>
      <c r="H45" s="451"/>
      <c r="I45" s="451"/>
      <c r="J45" s="451"/>
      <c r="K45" s="451"/>
      <c r="L45" s="451"/>
      <c r="M45" s="451"/>
      <c r="N45" s="451"/>
      <c r="O45" s="451"/>
      <c r="P45" s="451"/>
      <c r="Q45" s="451"/>
      <c r="R45" s="451"/>
      <c r="S45" s="451"/>
      <c r="T45" s="451"/>
      <c r="U45" s="451"/>
      <c r="V45" s="451"/>
      <c r="W45" s="451"/>
      <c r="X45" s="451"/>
      <c r="Y45" s="451"/>
      <c r="Z45" s="451"/>
    </row>
    <row r="46" ht="19.5" customHeight="1">
      <c r="A46" s="18">
        <f t="shared" si="1"/>
        <v>44</v>
      </c>
      <c r="B46" s="447">
        <v>45813.0</v>
      </c>
      <c r="C46" s="448" t="s">
        <v>94</v>
      </c>
      <c r="D46" s="448" t="s">
        <v>1262</v>
      </c>
      <c r="E46" s="449" t="s">
        <v>1192</v>
      </c>
      <c r="F46" s="450" t="s">
        <v>1263</v>
      </c>
      <c r="G46" s="451"/>
      <c r="H46" s="451"/>
      <c r="I46" s="451"/>
      <c r="J46" s="451"/>
      <c r="K46" s="451"/>
      <c r="L46" s="451"/>
      <c r="M46" s="451"/>
      <c r="N46" s="451"/>
      <c r="O46" s="451"/>
      <c r="P46" s="451"/>
      <c r="Q46" s="451"/>
      <c r="R46" s="451"/>
      <c r="S46" s="451"/>
      <c r="T46" s="451"/>
      <c r="U46" s="451"/>
      <c r="V46" s="451"/>
      <c r="W46" s="451"/>
      <c r="X46" s="451"/>
      <c r="Y46" s="451"/>
      <c r="Z46" s="451"/>
    </row>
    <row r="47" ht="19.5" customHeight="1">
      <c r="A47" s="18">
        <f t="shared" si="1"/>
        <v>45</v>
      </c>
      <c r="B47" s="447">
        <v>45813.0</v>
      </c>
      <c r="C47" s="448" t="s">
        <v>1196</v>
      </c>
      <c r="D47" s="448" t="s">
        <v>469</v>
      </c>
      <c r="E47" s="449" t="s">
        <v>1192</v>
      </c>
      <c r="F47" s="450" t="s">
        <v>1264</v>
      </c>
      <c r="G47" s="451"/>
      <c r="H47" s="451"/>
      <c r="I47" s="451"/>
      <c r="J47" s="451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1"/>
      <c r="Z47" s="451"/>
    </row>
    <row r="48" ht="19.5" customHeight="1">
      <c r="A48" s="18">
        <f t="shared" si="1"/>
        <v>46</v>
      </c>
      <c r="B48" s="447">
        <v>45813.0</v>
      </c>
      <c r="C48" s="448" t="s">
        <v>1169</v>
      </c>
      <c r="D48" s="448" t="s">
        <v>1265</v>
      </c>
      <c r="E48" s="449" t="s">
        <v>1192</v>
      </c>
      <c r="F48" s="450" t="s">
        <v>1266</v>
      </c>
      <c r="G48" s="451"/>
      <c r="H48" s="451"/>
      <c r="I48" s="451"/>
      <c r="J48" s="451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</row>
    <row r="49" ht="19.5" customHeight="1">
      <c r="A49" s="18">
        <f t="shared" si="1"/>
        <v>47</v>
      </c>
      <c r="B49" s="447">
        <v>45813.0</v>
      </c>
      <c r="C49" s="448" t="s">
        <v>1169</v>
      </c>
      <c r="D49" s="448" t="s">
        <v>1267</v>
      </c>
      <c r="E49" s="449" t="s">
        <v>1192</v>
      </c>
      <c r="F49" s="450" t="s">
        <v>1268</v>
      </c>
      <c r="G49" s="451"/>
      <c r="H49" s="451"/>
      <c r="I49" s="451"/>
      <c r="J49" s="451"/>
      <c r="K49" s="451"/>
      <c r="L49" s="451"/>
      <c r="M49" s="451"/>
      <c r="N49" s="451"/>
      <c r="O49" s="451"/>
      <c r="P49" s="451"/>
      <c r="Q49" s="451"/>
      <c r="R49" s="451"/>
      <c r="S49" s="451"/>
      <c r="T49" s="451"/>
      <c r="U49" s="451"/>
      <c r="V49" s="451"/>
      <c r="W49" s="451"/>
      <c r="X49" s="451"/>
      <c r="Y49" s="451"/>
      <c r="Z49" s="451"/>
    </row>
    <row r="50" ht="19.5" customHeight="1">
      <c r="A50" s="18">
        <f t="shared" si="1"/>
        <v>48</v>
      </c>
      <c r="B50" s="447">
        <v>45813.0</v>
      </c>
      <c r="C50" s="448" t="s">
        <v>1169</v>
      </c>
      <c r="D50" s="448" t="s">
        <v>1269</v>
      </c>
      <c r="E50" s="449" t="s">
        <v>1192</v>
      </c>
      <c r="F50" s="450" t="s">
        <v>1270</v>
      </c>
      <c r="G50" s="451"/>
      <c r="H50" s="451"/>
      <c r="I50" s="451"/>
      <c r="J50" s="451"/>
      <c r="K50" s="451"/>
      <c r="L50" s="451"/>
      <c r="M50" s="451"/>
      <c r="N50" s="451"/>
      <c r="O50" s="451"/>
      <c r="P50" s="451"/>
      <c r="Q50" s="451"/>
      <c r="R50" s="451"/>
      <c r="S50" s="451"/>
      <c r="T50" s="451"/>
      <c r="U50" s="451"/>
      <c r="V50" s="451"/>
      <c r="W50" s="451"/>
      <c r="X50" s="451"/>
      <c r="Y50" s="451"/>
      <c r="Z50" s="451"/>
    </row>
    <row r="51" ht="19.5" customHeight="1">
      <c r="A51" s="18">
        <f t="shared" si="1"/>
        <v>49</v>
      </c>
      <c r="B51" s="447">
        <v>45813.0</v>
      </c>
      <c r="C51" s="448" t="s">
        <v>1169</v>
      </c>
      <c r="D51" s="448" t="s">
        <v>1271</v>
      </c>
      <c r="E51" s="449" t="s">
        <v>1192</v>
      </c>
      <c r="F51" s="450" t="s">
        <v>1272</v>
      </c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1"/>
      <c r="Z51" s="451"/>
    </row>
    <row r="52" ht="19.5" customHeight="1">
      <c r="A52" s="18">
        <f t="shared" si="1"/>
        <v>50</v>
      </c>
      <c r="B52" s="447">
        <v>45813.0</v>
      </c>
      <c r="C52" s="448" t="s">
        <v>1169</v>
      </c>
      <c r="D52" s="448" t="s">
        <v>1273</v>
      </c>
      <c r="E52" s="449" t="s">
        <v>1192</v>
      </c>
      <c r="F52" s="450" t="s">
        <v>1274</v>
      </c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1"/>
      <c r="R52" s="451"/>
      <c r="S52" s="451"/>
      <c r="T52" s="451"/>
      <c r="U52" s="451"/>
      <c r="V52" s="451"/>
      <c r="W52" s="451"/>
      <c r="X52" s="451"/>
      <c r="Y52" s="451"/>
      <c r="Z52" s="451"/>
    </row>
    <row r="53" ht="19.5" customHeight="1">
      <c r="A53" s="18">
        <f t="shared" si="1"/>
        <v>51</v>
      </c>
      <c r="B53" s="447">
        <v>45813.0</v>
      </c>
      <c r="C53" s="448" t="s">
        <v>1169</v>
      </c>
      <c r="D53" s="448" t="s">
        <v>1275</v>
      </c>
      <c r="E53" s="449" t="s">
        <v>1192</v>
      </c>
      <c r="F53" s="450" t="s">
        <v>1276</v>
      </c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51"/>
      <c r="S53" s="451"/>
      <c r="T53" s="451"/>
      <c r="U53" s="451"/>
      <c r="V53" s="451"/>
      <c r="W53" s="451"/>
      <c r="X53" s="451"/>
      <c r="Y53" s="451"/>
      <c r="Z53" s="451"/>
    </row>
    <row r="54" ht="19.5" customHeight="1">
      <c r="A54" s="18">
        <f t="shared" si="1"/>
        <v>52</v>
      </c>
      <c r="B54" s="447">
        <v>45822.0</v>
      </c>
      <c r="C54" s="448" t="s">
        <v>94</v>
      </c>
      <c r="D54" s="448" t="s">
        <v>1277</v>
      </c>
      <c r="E54" s="449" t="s">
        <v>1192</v>
      </c>
      <c r="F54" s="450" t="s">
        <v>1278</v>
      </c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1"/>
      <c r="S54" s="451"/>
      <c r="T54" s="451"/>
      <c r="U54" s="451"/>
      <c r="V54" s="451"/>
      <c r="W54" s="451"/>
      <c r="X54" s="451"/>
      <c r="Y54" s="451"/>
      <c r="Z54" s="451"/>
    </row>
    <row r="55" ht="19.5" customHeight="1">
      <c r="A55" s="18">
        <f t="shared" si="1"/>
        <v>53</v>
      </c>
      <c r="B55" s="447">
        <v>45822.0</v>
      </c>
      <c r="C55" s="448" t="s">
        <v>94</v>
      </c>
      <c r="D55" s="448" t="s">
        <v>1279</v>
      </c>
      <c r="E55" s="449" t="s">
        <v>1192</v>
      </c>
      <c r="F55" s="450" t="s">
        <v>1280</v>
      </c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1"/>
      <c r="S55" s="451"/>
      <c r="T55" s="451"/>
      <c r="U55" s="451"/>
      <c r="V55" s="451"/>
      <c r="W55" s="451"/>
      <c r="X55" s="451"/>
      <c r="Y55" s="451"/>
      <c r="Z55" s="451"/>
    </row>
    <row r="56" ht="19.5" customHeight="1">
      <c r="A56" s="18">
        <f t="shared" si="1"/>
        <v>54</v>
      </c>
      <c r="B56" s="447">
        <v>45822.0</v>
      </c>
      <c r="C56" s="448" t="s">
        <v>94</v>
      </c>
      <c r="D56" s="448" t="s">
        <v>1281</v>
      </c>
      <c r="E56" s="449" t="s">
        <v>1192</v>
      </c>
      <c r="F56" s="450" t="s">
        <v>1282</v>
      </c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1"/>
      <c r="S56" s="451"/>
      <c r="T56" s="451"/>
      <c r="U56" s="451"/>
      <c r="V56" s="451"/>
      <c r="W56" s="451"/>
      <c r="X56" s="451"/>
      <c r="Y56" s="451"/>
      <c r="Z56" s="451"/>
    </row>
    <row r="57" ht="19.5" customHeight="1">
      <c r="A57" s="18">
        <f t="shared" si="1"/>
        <v>55</v>
      </c>
      <c r="B57" s="447">
        <v>45822.0</v>
      </c>
      <c r="C57" s="448" t="s">
        <v>94</v>
      </c>
      <c r="D57" s="448" t="s">
        <v>1283</v>
      </c>
      <c r="E57" s="449" t="s">
        <v>1192</v>
      </c>
      <c r="F57" s="450" t="s">
        <v>1284</v>
      </c>
      <c r="G57" s="451"/>
      <c r="H57" s="451"/>
      <c r="I57" s="451"/>
      <c r="J57" s="451"/>
      <c r="K57" s="451"/>
      <c r="L57" s="451"/>
      <c r="M57" s="451"/>
      <c r="N57" s="451"/>
      <c r="O57" s="451"/>
      <c r="P57" s="451"/>
      <c r="Q57" s="451"/>
      <c r="R57" s="451"/>
      <c r="S57" s="451"/>
      <c r="T57" s="451"/>
      <c r="U57" s="451"/>
      <c r="V57" s="451"/>
      <c r="W57" s="451"/>
      <c r="X57" s="451"/>
      <c r="Y57" s="451"/>
      <c r="Z57" s="451"/>
    </row>
    <row r="58" ht="19.5" customHeight="1">
      <c r="A58" s="18">
        <f t="shared" si="1"/>
        <v>56</v>
      </c>
      <c r="B58" s="447">
        <v>45822.0</v>
      </c>
      <c r="C58" s="448" t="s">
        <v>94</v>
      </c>
      <c r="D58" s="448" t="s">
        <v>1285</v>
      </c>
      <c r="E58" s="449" t="s">
        <v>1192</v>
      </c>
      <c r="F58" s="450" t="s">
        <v>1286</v>
      </c>
      <c r="G58" s="451"/>
      <c r="H58" s="451"/>
      <c r="I58" s="451"/>
      <c r="J58" s="451"/>
      <c r="K58" s="451"/>
      <c r="L58" s="451"/>
      <c r="M58" s="451"/>
      <c r="N58" s="451"/>
      <c r="O58" s="451"/>
      <c r="P58" s="451"/>
      <c r="Q58" s="451"/>
      <c r="R58" s="451"/>
      <c r="S58" s="451"/>
      <c r="T58" s="451"/>
      <c r="U58" s="451"/>
      <c r="V58" s="451"/>
      <c r="W58" s="451"/>
      <c r="X58" s="451"/>
      <c r="Y58" s="451"/>
      <c r="Z58" s="451"/>
    </row>
    <row r="59" ht="19.5" customHeight="1">
      <c r="A59" s="18">
        <f t="shared" si="1"/>
        <v>57</v>
      </c>
      <c r="B59" s="447">
        <v>45822.0</v>
      </c>
      <c r="C59" s="448" t="s">
        <v>1196</v>
      </c>
      <c r="D59" s="448" t="s">
        <v>1287</v>
      </c>
      <c r="E59" s="449" t="s">
        <v>1192</v>
      </c>
      <c r="F59" s="450" t="s">
        <v>1288</v>
      </c>
      <c r="G59" s="451"/>
      <c r="H59" s="451"/>
      <c r="I59" s="451"/>
      <c r="J59" s="451"/>
      <c r="K59" s="451"/>
      <c r="L59" s="451"/>
      <c r="M59" s="451"/>
      <c r="N59" s="451"/>
      <c r="O59" s="451"/>
      <c r="P59" s="451"/>
      <c r="Q59" s="451"/>
      <c r="R59" s="451"/>
      <c r="S59" s="451"/>
      <c r="T59" s="451"/>
      <c r="U59" s="451"/>
      <c r="V59" s="451"/>
      <c r="W59" s="451"/>
      <c r="X59" s="451"/>
      <c r="Y59" s="451"/>
      <c r="Z59" s="451"/>
    </row>
    <row r="60" ht="19.5" customHeight="1">
      <c r="A60" s="18">
        <f t="shared" si="1"/>
        <v>58</v>
      </c>
      <c r="B60" s="447">
        <v>45822.0</v>
      </c>
      <c r="C60" s="448" t="s">
        <v>1196</v>
      </c>
      <c r="D60" s="448" t="s">
        <v>1289</v>
      </c>
      <c r="E60" s="449" t="s">
        <v>1192</v>
      </c>
      <c r="F60" s="450" t="s">
        <v>1290</v>
      </c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  <c r="S60" s="451"/>
      <c r="T60" s="451"/>
      <c r="U60" s="451"/>
      <c r="V60" s="451"/>
      <c r="W60" s="451"/>
      <c r="X60" s="451"/>
      <c r="Y60" s="451"/>
      <c r="Z60" s="451"/>
    </row>
    <row r="61" ht="19.5" customHeight="1">
      <c r="A61" s="18">
        <f t="shared" si="1"/>
        <v>59</v>
      </c>
      <c r="B61" s="447">
        <v>45822.0</v>
      </c>
      <c r="C61" s="448" t="s">
        <v>1196</v>
      </c>
      <c r="D61" s="448" t="s">
        <v>1291</v>
      </c>
      <c r="E61" s="449" t="s">
        <v>1192</v>
      </c>
      <c r="F61" s="450" t="s">
        <v>1292</v>
      </c>
      <c r="G61" s="451"/>
      <c r="H61" s="451"/>
      <c r="I61" s="451"/>
      <c r="J61" s="451"/>
      <c r="K61" s="451"/>
      <c r="L61" s="451"/>
      <c r="M61" s="451"/>
      <c r="N61" s="451"/>
      <c r="O61" s="451"/>
      <c r="P61" s="451"/>
      <c r="Q61" s="451"/>
      <c r="R61" s="451"/>
      <c r="S61" s="451"/>
      <c r="T61" s="451"/>
      <c r="U61" s="451"/>
      <c r="V61" s="451"/>
      <c r="W61" s="451"/>
      <c r="X61" s="451"/>
      <c r="Y61" s="451"/>
      <c r="Z61" s="451"/>
    </row>
    <row r="62" ht="19.5" customHeight="1">
      <c r="A62" s="18">
        <f t="shared" si="1"/>
        <v>60</v>
      </c>
      <c r="B62" s="447">
        <v>45822.0</v>
      </c>
      <c r="C62" s="448" t="s">
        <v>94</v>
      </c>
      <c r="D62" s="452" t="s">
        <v>1293</v>
      </c>
      <c r="E62" s="449" t="s">
        <v>1192</v>
      </c>
      <c r="F62" s="453" t="s">
        <v>1294</v>
      </c>
      <c r="G62" s="442"/>
      <c r="H62" s="442"/>
      <c r="I62" s="442"/>
      <c r="J62" s="442"/>
      <c r="K62" s="442"/>
      <c r="L62" s="442"/>
      <c r="M62" s="442"/>
      <c r="N62" s="442"/>
      <c r="O62" s="442"/>
      <c r="P62" s="442"/>
      <c r="Q62" s="442"/>
      <c r="R62" s="442"/>
      <c r="S62" s="442"/>
      <c r="T62" s="442"/>
      <c r="U62" s="442"/>
      <c r="V62" s="442"/>
      <c r="W62" s="442"/>
      <c r="X62" s="442"/>
      <c r="Y62" s="442"/>
      <c r="Z62" s="442"/>
    </row>
    <row r="63" ht="19.5" customHeight="1">
      <c r="A63" s="18">
        <f t="shared" si="1"/>
        <v>61</v>
      </c>
      <c r="B63" s="447">
        <v>45822.0</v>
      </c>
      <c r="C63" s="448" t="s">
        <v>94</v>
      </c>
      <c r="D63" s="452" t="s">
        <v>1067</v>
      </c>
      <c r="E63" s="449" t="s">
        <v>1192</v>
      </c>
      <c r="F63" s="453" t="s">
        <v>1295</v>
      </c>
      <c r="G63" s="442"/>
      <c r="H63" s="442"/>
      <c r="I63" s="442"/>
      <c r="J63" s="442"/>
      <c r="K63" s="442"/>
      <c r="L63" s="442"/>
      <c r="M63" s="442"/>
      <c r="N63" s="442"/>
      <c r="O63" s="442"/>
      <c r="P63" s="442"/>
      <c r="Q63" s="442"/>
      <c r="R63" s="442"/>
      <c r="S63" s="442"/>
      <c r="T63" s="442"/>
      <c r="U63" s="442"/>
      <c r="V63" s="442"/>
      <c r="W63" s="442"/>
      <c r="X63" s="442"/>
      <c r="Y63" s="442"/>
      <c r="Z63" s="442"/>
    </row>
    <row r="64" ht="19.5" customHeight="1">
      <c r="A64" s="18">
        <f t="shared" si="1"/>
        <v>62</v>
      </c>
      <c r="B64" s="447">
        <v>45822.0</v>
      </c>
      <c r="C64" s="448" t="s">
        <v>94</v>
      </c>
      <c r="D64" s="452" t="s">
        <v>1097</v>
      </c>
      <c r="E64" s="449" t="s">
        <v>1192</v>
      </c>
      <c r="F64" s="453" t="s">
        <v>1296</v>
      </c>
      <c r="G64" s="442"/>
      <c r="H64" s="442"/>
      <c r="I64" s="442"/>
      <c r="J64" s="442"/>
      <c r="K64" s="442"/>
      <c r="L64" s="442"/>
      <c r="M64" s="442"/>
      <c r="N64" s="442"/>
      <c r="O64" s="442"/>
      <c r="P64" s="442"/>
      <c r="Q64" s="442"/>
      <c r="R64" s="442"/>
      <c r="S64" s="442"/>
      <c r="T64" s="442"/>
      <c r="U64" s="442"/>
      <c r="V64" s="442"/>
      <c r="W64" s="442"/>
      <c r="X64" s="442"/>
      <c r="Y64" s="442"/>
      <c r="Z64" s="442"/>
    </row>
    <row r="65" ht="19.5" customHeight="1">
      <c r="A65" s="18">
        <f t="shared" si="1"/>
        <v>63</v>
      </c>
      <c r="B65" s="447">
        <v>45822.0</v>
      </c>
      <c r="C65" s="452" t="s">
        <v>1297</v>
      </c>
      <c r="D65" s="452" t="s">
        <v>1298</v>
      </c>
      <c r="E65" s="449" t="s">
        <v>1192</v>
      </c>
      <c r="F65" s="453" t="s">
        <v>1299</v>
      </c>
      <c r="G65" s="442"/>
      <c r="H65" s="442"/>
      <c r="I65" s="442"/>
      <c r="J65" s="442"/>
      <c r="K65" s="442"/>
      <c r="L65" s="442"/>
      <c r="M65" s="442"/>
      <c r="N65" s="442"/>
      <c r="O65" s="442"/>
      <c r="P65" s="442"/>
      <c r="Q65" s="442"/>
      <c r="R65" s="442"/>
      <c r="S65" s="442"/>
      <c r="T65" s="442"/>
      <c r="U65" s="442"/>
      <c r="V65" s="442"/>
      <c r="W65" s="442"/>
      <c r="X65" s="442"/>
      <c r="Y65" s="442"/>
      <c r="Z65" s="442"/>
    </row>
    <row r="66" ht="19.5" customHeight="1">
      <c r="A66" s="18">
        <f t="shared" si="1"/>
        <v>64</v>
      </c>
      <c r="B66" s="447">
        <v>45822.0</v>
      </c>
      <c r="C66" s="452" t="s">
        <v>1297</v>
      </c>
      <c r="D66" s="452" t="s">
        <v>1300</v>
      </c>
      <c r="E66" s="449" t="s">
        <v>1192</v>
      </c>
      <c r="F66" s="453" t="s">
        <v>1301</v>
      </c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</row>
    <row r="67" ht="19.5" customHeight="1">
      <c r="A67" s="18">
        <f t="shared" si="1"/>
        <v>65</v>
      </c>
      <c r="B67" s="447">
        <v>45822.0</v>
      </c>
      <c r="C67" s="452" t="s">
        <v>1297</v>
      </c>
      <c r="D67" s="452" t="s">
        <v>1302</v>
      </c>
      <c r="E67" s="449" t="s">
        <v>1192</v>
      </c>
      <c r="F67" s="453" t="s">
        <v>1303</v>
      </c>
      <c r="G67" s="442"/>
      <c r="H67" s="442"/>
      <c r="I67" s="442"/>
      <c r="J67" s="442"/>
      <c r="K67" s="442"/>
      <c r="L67" s="442"/>
      <c r="M67" s="442"/>
      <c r="N67" s="442"/>
      <c r="O67" s="442"/>
      <c r="P67" s="442"/>
      <c r="Q67" s="442"/>
      <c r="R67" s="442"/>
      <c r="S67" s="442"/>
      <c r="T67" s="442"/>
      <c r="U67" s="442"/>
      <c r="V67" s="442"/>
      <c r="W67" s="442"/>
      <c r="X67" s="442"/>
      <c r="Y67" s="442"/>
      <c r="Z67" s="442"/>
    </row>
    <row r="68" ht="19.5" customHeight="1">
      <c r="A68" s="18">
        <f t="shared" si="1"/>
        <v>66</v>
      </c>
      <c r="B68" s="447">
        <v>45822.0</v>
      </c>
      <c r="C68" s="452" t="s">
        <v>1297</v>
      </c>
      <c r="D68" s="452" t="s">
        <v>1304</v>
      </c>
      <c r="E68" s="449" t="s">
        <v>1192</v>
      </c>
      <c r="F68" s="453" t="s">
        <v>1305</v>
      </c>
      <c r="G68" s="442"/>
      <c r="H68" s="442"/>
      <c r="I68" s="442"/>
      <c r="J68" s="442"/>
      <c r="K68" s="442"/>
      <c r="L68" s="442"/>
      <c r="M68" s="442"/>
      <c r="N68" s="442"/>
      <c r="O68" s="442"/>
      <c r="P68" s="442"/>
      <c r="Q68" s="442"/>
      <c r="R68" s="442"/>
      <c r="S68" s="442"/>
      <c r="T68" s="442"/>
      <c r="U68" s="442"/>
      <c r="V68" s="442"/>
      <c r="W68" s="442"/>
      <c r="X68" s="442"/>
      <c r="Y68" s="442"/>
      <c r="Z68" s="442"/>
    </row>
    <row r="69" ht="19.5" customHeight="1">
      <c r="A69" s="18">
        <f t="shared" si="1"/>
        <v>67</v>
      </c>
      <c r="B69" s="447">
        <v>45822.0</v>
      </c>
      <c r="C69" s="452" t="s">
        <v>1297</v>
      </c>
      <c r="D69" s="452" t="s">
        <v>1306</v>
      </c>
      <c r="E69" s="449" t="s">
        <v>1192</v>
      </c>
      <c r="F69" s="453" t="s">
        <v>1307</v>
      </c>
      <c r="G69" s="442"/>
      <c r="H69" s="442"/>
      <c r="I69" s="442"/>
      <c r="J69" s="442"/>
      <c r="K69" s="442"/>
      <c r="L69" s="442"/>
      <c r="M69" s="442"/>
      <c r="N69" s="442"/>
      <c r="O69" s="442"/>
      <c r="P69" s="442"/>
      <c r="Q69" s="442"/>
      <c r="R69" s="442"/>
      <c r="S69" s="442"/>
      <c r="T69" s="442"/>
      <c r="U69" s="442"/>
      <c r="V69" s="442"/>
      <c r="W69" s="442"/>
      <c r="X69" s="442"/>
      <c r="Y69" s="442"/>
      <c r="Z69" s="442"/>
    </row>
    <row r="70" ht="19.5" customHeight="1">
      <c r="A70" s="18">
        <f t="shared" si="1"/>
        <v>68</v>
      </c>
      <c r="B70" s="447">
        <v>45822.0</v>
      </c>
      <c r="C70" s="452" t="s">
        <v>1297</v>
      </c>
      <c r="D70" s="452" t="s">
        <v>1308</v>
      </c>
      <c r="E70" s="449" t="s">
        <v>1192</v>
      </c>
      <c r="F70" s="453" t="s">
        <v>1309</v>
      </c>
      <c r="G70" s="442"/>
      <c r="H70" s="442"/>
      <c r="I70" s="442"/>
      <c r="J70" s="442"/>
      <c r="K70" s="442"/>
      <c r="L70" s="442"/>
      <c r="M70" s="442"/>
      <c r="N70" s="442"/>
      <c r="O70" s="442"/>
      <c r="P70" s="442"/>
      <c r="Q70" s="442"/>
      <c r="R70" s="442"/>
      <c r="S70" s="442"/>
      <c r="T70" s="442"/>
      <c r="U70" s="442"/>
      <c r="V70" s="442"/>
      <c r="W70" s="442"/>
      <c r="X70" s="442"/>
      <c r="Y70" s="442"/>
      <c r="Z70" s="442"/>
    </row>
    <row r="71" ht="19.5" customHeight="1">
      <c r="A71" s="18">
        <f t="shared" si="1"/>
        <v>69</v>
      </c>
      <c r="B71" s="447">
        <v>45822.0</v>
      </c>
      <c r="C71" s="452" t="s">
        <v>1297</v>
      </c>
      <c r="D71" s="452" t="s">
        <v>1310</v>
      </c>
      <c r="E71" s="449" t="s">
        <v>1192</v>
      </c>
      <c r="F71" s="453" t="s">
        <v>1311</v>
      </c>
      <c r="G71" s="442"/>
      <c r="H71" s="442"/>
      <c r="I71" s="442"/>
      <c r="J71" s="442"/>
      <c r="K71" s="442"/>
      <c r="L71" s="442"/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  <c r="X71" s="442"/>
      <c r="Y71" s="442"/>
      <c r="Z71" s="442"/>
    </row>
    <row r="72" ht="19.5" customHeight="1">
      <c r="A72" s="18">
        <f t="shared" si="1"/>
        <v>70</v>
      </c>
      <c r="B72" s="447">
        <v>45822.0</v>
      </c>
      <c r="C72" s="452" t="s">
        <v>1297</v>
      </c>
      <c r="D72" s="452" t="s">
        <v>1312</v>
      </c>
      <c r="E72" s="449" t="s">
        <v>1192</v>
      </c>
      <c r="F72" s="453" t="s">
        <v>1313</v>
      </c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  <c r="Y72" s="442"/>
      <c r="Z72" s="442"/>
    </row>
    <row r="73" ht="19.5" customHeight="1">
      <c r="A73" s="18">
        <f t="shared" si="1"/>
        <v>71</v>
      </c>
      <c r="B73" s="447">
        <v>45822.0</v>
      </c>
      <c r="C73" s="452" t="s">
        <v>1297</v>
      </c>
      <c r="D73" s="452" t="s">
        <v>1314</v>
      </c>
      <c r="E73" s="449" t="s">
        <v>1192</v>
      </c>
      <c r="F73" s="453" t="s">
        <v>1315</v>
      </c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  <c r="Y73" s="442"/>
      <c r="Z73" s="442"/>
    </row>
    <row r="74" ht="19.5" customHeight="1">
      <c r="A74" s="18">
        <f t="shared" si="1"/>
        <v>72</v>
      </c>
      <c r="B74" s="447">
        <v>45822.0</v>
      </c>
      <c r="C74" s="452" t="s">
        <v>1297</v>
      </c>
      <c r="D74" s="452" t="s">
        <v>1316</v>
      </c>
      <c r="E74" s="449" t="s">
        <v>1192</v>
      </c>
      <c r="F74" s="453" t="s">
        <v>1317</v>
      </c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</row>
    <row r="75" ht="19.5" customHeight="1">
      <c r="A75" s="18">
        <f t="shared" si="1"/>
        <v>73</v>
      </c>
      <c r="B75" s="447">
        <v>45822.0</v>
      </c>
      <c r="C75" s="452" t="s">
        <v>1297</v>
      </c>
      <c r="D75" s="452" t="s">
        <v>1318</v>
      </c>
      <c r="E75" s="449" t="s">
        <v>1192</v>
      </c>
      <c r="F75" s="453" t="s">
        <v>1305</v>
      </c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  <c r="Y75" s="442"/>
      <c r="Z75" s="442"/>
    </row>
    <row r="76" ht="19.5" customHeight="1">
      <c r="A76" s="18">
        <f t="shared" si="1"/>
        <v>74</v>
      </c>
      <c r="B76" s="447">
        <v>45822.0</v>
      </c>
      <c r="C76" s="452" t="s">
        <v>1297</v>
      </c>
      <c r="D76" s="452" t="s">
        <v>1319</v>
      </c>
      <c r="E76" s="449" t="s">
        <v>1192</v>
      </c>
      <c r="F76" s="453" t="s">
        <v>1320</v>
      </c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  <c r="Y76" s="442"/>
      <c r="Z76" s="442"/>
    </row>
    <row r="77" ht="19.5" customHeight="1">
      <c r="A77" s="18">
        <f t="shared" si="1"/>
        <v>75</v>
      </c>
      <c r="B77" s="447">
        <v>45822.0</v>
      </c>
      <c r="C77" s="452" t="s">
        <v>1297</v>
      </c>
      <c r="D77" s="452" t="s">
        <v>1321</v>
      </c>
      <c r="E77" s="449" t="s">
        <v>1192</v>
      </c>
      <c r="F77" s="453" t="s">
        <v>1322</v>
      </c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  <c r="Y77" s="442"/>
      <c r="Z77" s="442"/>
    </row>
    <row r="78" ht="19.5" customHeight="1">
      <c r="A78" s="18">
        <f t="shared" si="1"/>
        <v>76</v>
      </c>
      <c r="B78" s="447">
        <v>45822.0</v>
      </c>
      <c r="C78" s="452" t="s">
        <v>1297</v>
      </c>
      <c r="D78" s="452" t="s">
        <v>1323</v>
      </c>
      <c r="E78" s="449" t="s">
        <v>1192</v>
      </c>
      <c r="F78" s="453" t="s">
        <v>1324</v>
      </c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  <c r="Y78" s="442"/>
      <c r="Z78" s="442"/>
    </row>
    <row r="79" ht="19.5" customHeight="1">
      <c r="A79" s="18">
        <f t="shared" si="1"/>
        <v>77</v>
      </c>
      <c r="B79" s="447">
        <v>45822.0</v>
      </c>
      <c r="C79" s="452" t="s">
        <v>1297</v>
      </c>
      <c r="D79" s="452" t="s">
        <v>1325</v>
      </c>
      <c r="E79" s="449" t="s">
        <v>1192</v>
      </c>
      <c r="F79" s="453" t="s">
        <v>1326</v>
      </c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  <c r="Y79" s="442"/>
      <c r="Z79" s="442"/>
    </row>
    <row r="80" ht="19.5" customHeight="1">
      <c r="A80" s="18">
        <f t="shared" si="1"/>
        <v>78</v>
      </c>
      <c r="B80" s="447">
        <v>45822.0</v>
      </c>
      <c r="C80" s="452" t="s">
        <v>1297</v>
      </c>
      <c r="D80" s="452" t="s">
        <v>1327</v>
      </c>
      <c r="E80" s="449" t="s">
        <v>1192</v>
      </c>
      <c r="F80" s="453" t="s">
        <v>1328</v>
      </c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</row>
    <row r="81" ht="19.5" customHeight="1">
      <c r="A81" s="18">
        <f t="shared" si="1"/>
        <v>79</v>
      </c>
      <c r="B81" s="447">
        <v>45822.0</v>
      </c>
      <c r="C81" s="452" t="s">
        <v>1297</v>
      </c>
      <c r="D81" s="452" t="s">
        <v>1329</v>
      </c>
      <c r="E81" s="449" t="s">
        <v>1192</v>
      </c>
      <c r="F81" s="453" t="s">
        <v>1330</v>
      </c>
      <c r="G81" s="442"/>
      <c r="H81" s="442"/>
      <c r="I81" s="442"/>
      <c r="J81" s="442"/>
      <c r="K81" s="442"/>
      <c r="L81" s="442"/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  <c r="X81" s="442"/>
      <c r="Y81" s="442"/>
      <c r="Z81" s="442"/>
    </row>
    <row r="82" ht="19.5" customHeight="1">
      <c r="A82" s="18">
        <f t="shared" si="1"/>
        <v>80</v>
      </c>
      <c r="B82" s="447">
        <v>45824.0</v>
      </c>
      <c r="C82" s="452" t="s">
        <v>1029</v>
      </c>
      <c r="D82" s="452" t="s">
        <v>1331</v>
      </c>
      <c r="E82" s="449" t="s">
        <v>1192</v>
      </c>
      <c r="F82" s="453" t="s">
        <v>1332</v>
      </c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</row>
    <row r="83" ht="19.5" customHeight="1">
      <c r="A83" s="18">
        <f t="shared" si="1"/>
        <v>81</v>
      </c>
      <c r="B83" s="447">
        <v>45824.0</v>
      </c>
      <c r="C83" s="452" t="s">
        <v>1029</v>
      </c>
      <c r="D83" s="452" t="s">
        <v>1333</v>
      </c>
      <c r="E83" s="449" t="s">
        <v>1192</v>
      </c>
      <c r="F83" s="453" t="s">
        <v>1334</v>
      </c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2"/>
    </row>
    <row r="84" ht="19.5" customHeight="1">
      <c r="A84" s="18">
        <f t="shared" si="1"/>
        <v>82</v>
      </c>
      <c r="B84" s="447">
        <v>45824.0</v>
      </c>
      <c r="C84" s="452" t="s">
        <v>1029</v>
      </c>
      <c r="D84" s="452" t="s">
        <v>1335</v>
      </c>
      <c r="E84" s="449" t="s">
        <v>1192</v>
      </c>
      <c r="F84" s="453" t="s">
        <v>1336</v>
      </c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  <c r="Y84" s="442"/>
      <c r="Z84" s="442"/>
    </row>
    <row r="85" ht="19.5" customHeight="1">
      <c r="A85" s="18">
        <f t="shared" si="1"/>
        <v>83</v>
      </c>
      <c r="B85" s="447">
        <v>45824.0</v>
      </c>
      <c r="C85" s="452" t="s">
        <v>1029</v>
      </c>
      <c r="D85" s="452" t="s">
        <v>1331</v>
      </c>
      <c r="E85" s="449" t="s">
        <v>1192</v>
      </c>
      <c r="F85" s="453" t="s">
        <v>1337</v>
      </c>
      <c r="G85" s="442"/>
      <c r="H85" s="442"/>
      <c r="I85" s="442"/>
      <c r="J85" s="442"/>
      <c r="K85" s="442"/>
      <c r="L85" s="442"/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  <c r="X85" s="442"/>
      <c r="Y85" s="442"/>
      <c r="Z85" s="442"/>
    </row>
    <row r="86" ht="19.5" customHeight="1">
      <c r="A86" s="18">
        <f t="shared" si="1"/>
        <v>84</v>
      </c>
      <c r="B86" s="447">
        <v>45824.0</v>
      </c>
      <c r="C86" s="452" t="s">
        <v>1029</v>
      </c>
      <c r="D86" s="452" t="s">
        <v>1333</v>
      </c>
      <c r="E86" s="449" t="s">
        <v>1192</v>
      </c>
      <c r="F86" s="453" t="s">
        <v>1338</v>
      </c>
      <c r="G86" s="442"/>
      <c r="H86" s="442"/>
      <c r="I86" s="442"/>
      <c r="J86" s="442"/>
      <c r="K86" s="442"/>
      <c r="L86" s="442"/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  <c r="X86" s="442"/>
      <c r="Y86" s="442"/>
      <c r="Z86" s="442"/>
    </row>
    <row r="87" ht="19.5" customHeight="1">
      <c r="A87" s="18">
        <f t="shared" si="1"/>
        <v>85</v>
      </c>
      <c r="B87" s="447">
        <v>45824.0</v>
      </c>
      <c r="C87" s="452" t="s">
        <v>1029</v>
      </c>
      <c r="D87" s="452" t="s">
        <v>1335</v>
      </c>
      <c r="E87" s="449" t="s">
        <v>1192</v>
      </c>
      <c r="F87" s="453" t="s">
        <v>1339</v>
      </c>
      <c r="G87" s="442"/>
      <c r="H87" s="442"/>
      <c r="I87" s="442"/>
      <c r="J87" s="442"/>
      <c r="K87" s="442"/>
      <c r="L87" s="442"/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  <c r="X87" s="442"/>
      <c r="Y87" s="442"/>
      <c r="Z87" s="442"/>
    </row>
    <row r="88" ht="19.5" customHeight="1">
      <c r="A88" s="18">
        <f t="shared" si="1"/>
        <v>86</v>
      </c>
      <c r="B88" s="447">
        <v>45824.0</v>
      </c>
      <c r="C88" s="452" t="s">
        <v>813</v>
      </c>
      <c r="D88" s="452" t="s">
        <v>1340</v>
      </c>
      <c r="E88" s="449" t="s">
        <v>1192</v>
      </c>
      <c r="F88" s="453" t="s">
        <v>1341</v>
      </c>
      <c r="G88" s="442"/>
      <c r="H88" s="442"/>
      <c r="I88" s="442"/>
      <c r="J88" s="442"/>
      <c r="K88" s="442"/>
      <c r="L88" s="442"/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  <c r="X88" s="442"/>
      <c r="Y88" s="442"/>
      <c r="Z88" s="442"/>
    </row>
    <row r="89" ht="19.5" customHeight="1">
      <c r="A89" s="18">
        <f t="shared" si="1"/>
        <v>87</v>
      </c>
      <c r="B89" s="447">
        <v>45827.0</v>
      </c>
      <c r="C89" s="452" t="s">
        <v>94</v>
      </c>
      <c r="D89" s="454" t="s">
        <v>1342</v>
      </c>
      <c r="E89" s="455" t="s">
        <v>1189</v>
      </c>
      <c r="F89" s="453" t="s">
        <v>1343</v>
      </c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  <c r="Y89" s="442"/>
      <c r="Z89" s="442"/>
    </row>
    <row r="90" ht="19.5" customHeight="1">
      <c r="A90" s="18">
        <f t="shared" si="1"/>
        <v>88</v>
      </c>
      <c r="B90" s="447">
        <v>45827.0</v>
      </c>
      <c r="C90" s="452" t="s">
        <v>1029</v>
      </c>
      <c r="D90" s="454" t="s">
        <v>1344</v>
      </c>
      <c r="E90" s="455" t="s">
        <v>1189</v>
      </c>
      <c r="F90" s="453" t="s">
        <v>1345</v>
      </c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</row>
    <row r="91" ht="19.5" customHeight="1">
      <c r="A91" s="18">
        <f t="shared" si="1"/>
        <v>89</v>
      </c>
      <c r="B91" s="447">
        <v>45827.0</v>
      </c>
      <c r="C91" s="452" t="s">
        <v>1029</v>
      </c>
      <c r="D91" s="454" t="s">
        <v>1346</v>
      </c>
      <c r="E91" s="455" t="s">
        <v>1189</v>
      </c>
      <c r="F91" s="453" t="s">
        <v>1347</v>
      </c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2"/>
    </row>
    <row r="92" ht="19.5" customHeight="1">
      <c r="A92" s="18">
        <f t="shared" si="1"/>
        <v>90</v>
      </c>
      <c r="B92" s="447">
        <v>45827.0</v>
      </c>
      <c r="C92" s="452" t="s">
        <v>1029</v>
      </c>
      <c r="D92" s="454" t="s">
        <v>1348</v>
      </c>
      <c r="E92" s="455" t="s">
        <v>1189</v>
      </c>
      <c r="F92" s="453" t="s">
        <v>1349</v>
      </c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  <c r="Y92" s="442"/>
      <c r="Z92" s="442"/>
    </row>
    <row r="93" ht="19.5" customHeight="1">
      <c r="A93" s="18">
        <f t="shared" si="1"/>
        <v>91</v>
      </c>
      <c r="B93" s="447">
        <v>45827.0</v>
      </c>
      <c r="C93" s="452" t="s">
        <v>1029</v>
      </c>
      <c r="D93" s="454" t="s">
        <v>1350</v>
      </c>
      <c r="E93" s="455" t="s">
        <v>1189</v>
      </c>
      <c r="F93" s="453" t="s">
        <v>1351</v>
      </c>
      <c r="G93" s="442"/>
      <c r="H93" s="442"/>
      <c r="I93" s="442"/>
      <c r="J93" s="442"/>
      <c r="K93" s="442"/>
      <c r="L93" s="442"/>
      <c r="M93" s="442"/>
      <c r="N93" s="442"/>
      <c r="O93" s="442"/>
      <c r="P93" s="442"/>
      <c r="Q93" s="442"/>
      <c r="R93" s="442"/>
      <c r="S93" s="442"/>
      <c r="T93" s="442"/>
      <c r="U93" s="442"/>
      <c r="V93" s="442"/>
      <c r="W93" s="442"/>
      <c r="X93" s="442"/>
      <c r="Y93" s="442"/>
      <c r="Z93" s="442"/>
    </row>
    <row r="94" ht="19.5" customHeight="1">
      <c r="A94" s="18">
        <f t="shared" si="1"/>
        <v>92</v>
      </c>
      <c r="B94" s="447">
        <v>45827.0</v>
      </c>
      <c r="C94" s="452" t="s">
        <v>1029</v>
      </c>
      <c r="D94" s="454" t="s">
        <v>1352</v>
      </c>
      <c r="E94" s="455" t="s">
        <v>1189</v>
      </c>
      <c r="F94" s="453" t="s">
        <v>1353</v>
      </c>
      <c r="G94" s="442"/>
      <c r="H94" s="442"/>
      <c r="I94" s="442"/>
      <c r="J94" s="442"/>
      <c r="K94" s="442"/>
      <c r="L94" s="442"/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  <c r="X94" s="442"/>
      <c r="Y94" s="442"/>
      <c r="Z94" s="442"/>
    </row>
    <row r="95" ht="19.5" customHeight="1">
      <c r="A95" s="18">
        <f t="shared" si="1"/>
        <v>93</v>
      </c>
      <c r="B95" s="447">
        <v>45827.0</v>
      </c>
      <c r="C95" s="452" t="s">
        <v>1029</v>
      </c>
      <c r="D95" s="454" t="s">
        <v>1354</v>
      </c>
      <c r="E95" s="455" t="s">
        <v>1189</v>
      </c>
      <c r="F95" s="453" t="s">
        <v>1355</v>
      </c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  <c r="Y95" s="442"/>
      <c r="Z95" s="442"/>
    </row>
    <row r="96" ht="19.5" customHeight="1">
      <c r="A96" s="18">
        <f t="shared" si="1"/>
        <v>94</v>
      </c>
      <c r="B96" s="447">
        <v>45827.0</v>
      </c>
      <c r="C96" s="452" t="s">
        <v>813</v>
      </c>
      <c r="D96" s="454" t="s">
        <v>1356</v>
      </c>
      <c r="E96" s="455" t="s">
        <v>1189</v>
      </c>
      <c r="F96" s="453" t="s">
        <v>1357</v>
      </c>
      <c r="G96" s="442"/>
      <c r="H96" s="442"/>
      <c r="I96" s="442"/>
      <c r="J96" s="442"/>
      <c r="K96" s="442"/>
      <c r="L96" s="442"/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  <c r="X96" s="442"/>
      <c r="Y96" s="442"/>
      <c r="Z96" s="442"/>
    </row>
    <row r="97" ht="19.5" customHeight="1">
      <c r="A97" s="18">
        <f t="shared" si="1"/>
        <v>95</v>
      </c>
      <c r="B97" s="447">
        <v>45827.0</v>
      </c>
      <c r="C97" s="452" t="s">
        <v>1029</v>
      </c>
      <c r="D97" s="454" t="s">
        <v>1358</v>
      </c>
      <c r="E97" s="455" t="s">
        <v>1189</v>
      </c>
      <c r="F97" s="453" t="s">
        <v>1359</v>
      </c>
      <c r="G97" s="442"/>
      <c r="H97" s="442"/>
      <c r="I97" s="442"/>
      <c r="J97" s="442"/>
      <c r="K97" s="442"/>
      <c r="L97" s="442"/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  <c r="X97" s="442"/>
      <c r="Y97" s="442"/>
      <c r="Z97" s="442"/>
    </row>
    <row r="98" ht="19.5" customHeight="1">
      <c r="A98" s="18">
        <f t="shared" si="1"/>
        <v>96</v>
      </c>
      <c r="B98" s="447">
        <v>45827.0</v>
      </c>
      <c r="C98" s="452" t="s">
        <v>1029</v>
      </c>
      <c r="D98" s="454" t="s">
        <v>1360</v>
      </c>
      <c r="E98" s="455" t="s">
        <v>1189</v>
      </c>
      <c r="F98" s="453" t="s">
        <v>1361</v>
      </c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</row>
    <row r="99" ht="19.5" customHeight="1">
      <c r="A99" s="18">
        <f t="shared" si="1"/>
        <v>97</v>
      </c>
      <c r="B99" s="447">
        <v>45827.0</v>
      </c>
      <c r="C99" s="452" t="s">
        <v>437</v>
      </c>
      <c r="D99" s="454" t="s">
        <v>1362</v>
      </c>
      <c r="E99" s="455" t="s">
        <v>1189</v>
      </c>
      <c r="F99" s="453" t="s">
        <v>1363</v>
      </c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  <c r="Y99" s="442"/>
      <c r="Z99" s="442"/>
    </row>
    <row r="100" ht="19.5" customHeight="1">
      <c r="A100" s="18">
        <f t="shared" si="1"/>
        <v>98</v>
      </c>
      <c r="B100" s="447">
        <v>45827.0</v>
      </c>
      <c r="C100" s="452" t="s">
        <v>437</v>
      </c>
      <c r="D100" s="454" t="s">
        <v>1364</v>
      </c>
      <c r="E100" s="455" t="s">
        <v>1189</v>
      </c>
      <c r="F100" s="453" t="s">
        <v>1365</v>
      </c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  <c r="Y100" s="442"/>
      <c r="Z100" s="442"/>
    </row>
    <row r="101" ht="19.5" customHeight="1">
      <c r="A101" s="18">
        <f t="shared" si="1"/>
        <v>99</v>
      </c>
      <c r="B101" s="447">
        <v>45827.0</v>
      </c>
      <c r="C101" s="452" t="s">
        <v>437</v>
      </c>
      <c r="D101" s="454" t="s">
        <v>1366</v>
      </c>
      <c r="E101" s="455" t="s">
        <v>1189</v>
      </c>
      <c r="F101" s="453" t="s">
        <v>1367</v>
      </c>
      <c r="G101" s="442"/>
      <c r="H101" s="442"/>
      <c r="I101" s="442"/>
      <c r="J101" s="442"/>
      <c r="K101" s="442"/>
      <c r="L101" s="442"/>
      <c r="M101" s="442"/>
      <c r="N101" s="442"/>
      <c r="O101" s="442"/>
      <c r="P101" s="442"/>
      <c r="Q101" s="442"/>
      <c r="R101" s="442"/>
      <c r="S101" s="442"/>
      <c r="T101" s="442"/>
      <c r="U101" s="442"/>
      <c r="V101" s="442"/>
      <c r="W101" s="442"/>
      <c r="X101" s="442"/>
      <c r="Y101" s="442"/>
      <c r="Z101" s="442"/>
    </row>
    <row r="102" ht="19.5" customHeight="1">
      <c r="A102" s="18">
        <f t="shared" si="1"/>
        <v>100</v>
      </c>
      <c r="B102" s="447">
        <v>45827.0</v>
      </c>
      <c r="C102" s="456"/>
      <c r="D102" s="454" t="s">
        <v>1368</v>
      </c>
      <c r="E102" s="455" t="s">
        <v>1189</v>
      </c>
      <c r="F102" s="453" t="s">
        <v>1369</v>
      </c>
      <c r="G102" s="442"/>
      <c r="H102" s="442"/>
      <c r="I102" s="442"/>
      <c r="J102" s="442"/>
      <c r="K102" s="442"/>
      <c r="L102" s="442"/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  <c r="X102" s="442"/>
      <c r="Y102" s="442"/>
      <c r="Z102" s="442"/>
    </row>
    <row r="103" ht="19.5" customHeight="1">
      <c r="A103" s="18">
        <f t="shared" si="1"/>
        <v>101</v>
      </c>
      <c r="B103" s="447">
        <v>45827.0</v>
      </c>
      <c r="C103" s="456"/>
      <c r="D103" s="454" t="s">
        <v>1370</v>
      </c>
      <c r="E103" s="455" t="s">
        <v>1189</v>
      </c>
      <c r="F103" s="453" t="s">
        <v>1371</v>
      </c>
      <c r="G103" s="442"/>
      <c r="H103" s="442"/>
      <c r="I103" s="442"/>
      <c r="J103" s="442"/>
      <c r="K103" s="442"/>
      <c r="L103" s="442"/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  <c r="X103" s="442"/>
      <c r="Y103" s="442"/>
      <c r="Z103" s="442"/>
    </row>
    <row r="104" ht="19.5" customHeight="1">
      <c r="A104" s="18">
        <f t="shared" si="1"/>
        <v>102</v>
      </c>
      <c r="B104" s="447">
        <v>45827.0</v>
      </c>
      <c r="C104" s="456"/>
      <c r="D104" s="454" t="s">
        <v>1372</v>
      </c>
      <c r="E104" s="455" t="s">
        <v>1189</v>
      </c>
      <c r="F104" s="453" t="s">
        <v>1373</v>
      </c>
      <c r="G104" s="442"/>
      <c r="H104" s="442"/>
      <c r="I104" s="442"/>
      <c r="J104" s="442"/>
      <c r="K104" s="442"/>
      <c r="L104" s="442"/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  <c r="X104" s="442"/>
      <c r="Y104" s="442"/>
      <c r="Z104" s="442"/>
    </row>
    <row r="105" ht="19.5" customHeight="1">
      <c r="A105" s="18">
        <f t="shared" si="1"/>
        <v>103</v>
      </c>
      <c r="B105" s="447">
        <v>45827.0</v>
      </c>
      <c r="C105" s="456"/>
      <c r="D105" s="454" t="s">
        <v>1374</v>
      </c>
      <c r="E105" s="455" t="s">
        <v>1189</v>
      </c>
      <c r="F105" s="453" t="s">
        <v>1375</v>
      </c>
      <c r="G105" s="442"/>
      <c r="H105" s="442"/>
      <c r="I105" s="442"/>
      <c r="J105" s="442"/>
      <c r="K105" s="442"/>
      <c r="L105" s="442"/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  <c r="X105" s="442"/>
      <c r="Y105" s="442"/>
      <c r="Z105" s="442"/>
    </row>
    <row r="106" ht="19.5" customHeight="1">
      <c r="A106" s="18">
        <f t="shared" si="1"/>
        <v>104</v>
      </c>
      <c r="B106" s="447">
        <v>45827.0</v>
      </c>
      <c r="C106" s="456"/>
      <c r="D106" s="454" t="s">
        <v>1376</v>
      </c>
      <c r="E106" s="455" t="s">
        <v>1189</v>
      </c>
      <c r="F106" s="453" t="s">
        <v>1377</v>
      </c>
      <c r="G106" s="442"/>
      <c r="H106" s="442"/>
      <c r="I106" s="442"/>
      <c r="J106" s="442"/>
      <c r="K106" s="442"/>
      <c r="L106" s="442"/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  <c r="X106" s="442"/>
      <c r="Y106" s="442"/>
      <c r="Z106" s="442"/>
    </row>
    <row r="107" ht="19.5" customHeight="1">
      <c r="A107" s="18">
        <f t="shared" si="1"/>
        <v>105</v>
      </c>
      <c r="B107" s="447">
        <v>45827.0</v>
      </c>
      <c r="C107" s="456"/>
      <c r="D107" s="454" t="s">
        <v>1378</v>
      </c>
      <c r="E107" s="455" t="s">
        <v>1189</v>
      </c>
      <c r="F107" s="453" t="s">
        <v>1379</v>
      </c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  <c r="Y107" s="442"/>
      <c r="Z107" s="442"/>
    </row>
    <row r="108" ht="19.5" customHeight="1">
      <c r="A108" s="18">
        <f t="shared" si="1"/>
        <v>106</v>
      </c>
      <c r="B108" s="447">
        <v>45827.0</v>
      </c>
      <c r="C108" s="456"/>
      <c r="D108" s="454" t="s">
        <v>1380</v>
      </c>
      <c r="E108" s="455" t="s">
        <v>1189</v>
      </c>
      <c r="F108" s="453" t="s">
        <v>1381</v>
      </c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  <c r="Y108" s="442"/>
      <c r="Z108" s="442"/>
    </row>
    <row r="109" ht="19.5" customHeight="1">
      <c r="A109" s="18">
        <f t="shared" si="1"/>
        <v>107</v>
      </c>
      <c r="B109" s="447">
        <v>45827.0</v>
      </c>
      <c r="C109" s="456"/>
      <c r="D109" s="454" t="s">
        <v>1382</v>
      </c>
      <c r="E109" s="455" t="s">
        <v>1189</v>
      </c>
      <c r="F109" s="453" t="s">
        <v>1383</v>
      </c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  <c r="Y109" s="442"/>
      <c r="Z109" s="442"/>
    </row>
    <row r="110" ht="19.5" customHeight="1">
      <c r="A110" s="18">
        <f t="shared" si="1"/>
        <v>108</v>
      </c>
      <c r="B110" s="447">
        <v>45827.0</v>
      </c>
      <c r="C110" s="456"/>
      <c r="D110" s="454" t="s">
        <v>1384</v>
      </c>
      <c r="E110" s="455" t="s">
        <v>1189</v>
      </c>
      <c r="F110" s="453" t="s">
        <v>1385</v>
      </c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  <c r="X110" s="442"/>
      <c r="Y110" s="442"/>
      <c r="Z110" s="442"/>
    </row>
    <row r="111" ht="19.5" customHeight="1">
      <c r="A111" s="18">
        <f t="shared" si="1"/>
        <v>109</v>
      </c>
      <c r="B111" s="447">
        <v>45827.0</v>
      </c>
      <c r="C111" s="456"/>
      <c r="D111" s="454" t="s">
        <v>1386</v>
      </c>
      <c r="E111" s="455" t="s">
        <v>1189</v>
      </c>
      <c r="F111" s="453" t="s">
        <v>1387</v>
      </c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  <c r="X111" s="442"/>
      <c r="Y111" s="442"/>
      <c r="Z111" s="442"/>
    </row>
    <row r="112" ht="19.5" customHeight="1">
      <c r="A112" s="18">
        <f t="shared" si="1"/>
        <v>110</v>
      </c>
      <c r="B112" s="447">
        <v>45827.0</v>
      </c>
      <c r="C112" s="456"/>
      <c r="D112" s="454" t="s">
        <v>1388</v>
      </c>
      <c r="E112" s="455" t="s">
        <v>1189</v>
      </c>
      <c r="F112" s="453" t="s">
        <v>1389</v>
      </c>
      <c r="G112" s="442"/>
      <c r="H112" s="442"/>
      <c r="I112" s="442"/>
      <c r="J112" s="442"/>
      <c r="K112" s="442"/>
      <c r="L112" s="442"/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  <c r="X112" s="442"/>
      <c r="Y112" s="442"/>
      <c r="Z112" s="442"/>
    </row>
    <row r="113" ht="19.5" customHeight="1">
      <c r="A113" s="18">
        <f t="shared" si="1"/>
        <v>111</v>
      </c>
      <c r="B113" s="447">
        <v>45827.0</v>
      </c>
      <c r="C113" s="456"/>
      <c r="D113" s="454" t="s">
        <v>1390</v>
      </c>
      <c r="E113" s="455" t="s">
        <v>1189</v>
      </c>
      <c r="F113" s="453" t="s">
        <v>1391</v>
      </c>
      <c r="G113" s="442"/>
      <c r="H113" s="442"/>
      <c r="I113" s="442"/>
      <c r="J113" s="442"/>
      <c r="K113" s="442"/>
      <c r="L113" s="442"/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  <c r="X113" s="442"/>
      <c r="Y113" s="442"/>
      <c r="Z113" s="442"/>
    </row>
    <row r="114" ht="19.5" customHeight="1">
      <c r="A114" s="18">
        <f t="shared" si="1"/>
        <v>112</v>
      </c>
      <c r="B114" s="447">
        <v>45827.0</v>
      </c>
      <c r="C114" s="456"/>
      <c r="D114" s="454" t="s">
        <v>1392</v>
      </c>
      <c r="E114" s="455" t="s">
        <v>1189</v>
      </c>
      <c r="F114" s="453" t="s">
        <v>1393</v>
      </c>
      <c r="G114" s="442"/>
      <c r="H114" s="442"/>
      <c r="I114" s="442"/>
      <c r="J114" s="442"/>
      <c r="K114" s="442"/>
      <c r="L114" s="442"/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  <c r="X114" s="442"/>
      <c r="Y114" s="442"/>
      <c r="Z114" s="442"/>
    </row>
    <row r="115" ht="19.5" customHeight="1">
      <c r="A115" s="18">
        <f t="shared" si="1"/>
        <v>113</v>
      </c>
      <c r="B115" s="447">
        <v>45827.0</v>
      </c>
      <c r="C115" s="456"/>
      <c r="D115" s="454" t="s">
        <v>1394</v>
      </c>
      <c r="E115" s="455" t="s">
        <v>1189</v>
      </c>
      <c r="F115" s="453" t="s">
        <v>1395</v>
      </c>
      <c r="G115" s="442"/>
      <c r="H115" s="442"/>
      <c r="I115" s="442"/>
      <c r="J115" s="442"/>
      <c r="K115" s="442"/>
      <c r="L115" s="442"/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  <c r="X115" s="442"/>
      <c r="Y115" s="442"/>
      <c r="Z115" s="442"/>
    </row>
    <row r="116" ht="19.5" customHeight="1">
      <c r="A116" s="18">
        <f t="shared" si="1"/>
        <v>114</v>
      </c>
      <c r="B116" s="447">
        <v>45827.0</v>
      </c>
      <c r="C116" s="456"/>
      <c r="D116" s="454" t="s">
        <v>1396</v>
      </c>
      <c r="E116" s="455" t="s">
        <v>1189</v>
      </c>
      <c r="F116" s="453" t="s">
        <v>1397</v>
      </c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  <c r="Y116" s="442"/>
      <c r="Z116" s="442"/>
    </row>
    <row r="117" ht="19.5" customHeight="1">
      <c r="A117" s="18">
        <f t="shared" si="1"/>
        <v>115</v>
      </c>
      <c r="B117" s="447">
        <v>45827.0</v>
      </c>
      <c r="C117" s="456"/>
      <c r="D117" s="454" t="s">
        <v>1398</v>
      </c>
      <c r="E117" s="455" t="s">
        <v>1189</v>
      </c>
      <c r="F117" s="453" t="s">
        <v>1399</v>
      </c>
      <c r="G117" s="442"/>
      <c r="H117" s="442"/>
      <c r="I117" s="442"/>
      <c r="J117" s="442"/>
      <c r="K117" s="442"/>
      <c r="L117" s="442"/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  <c r="X117" s="442"/>
      <c r="Y117" s="442"/>
      <c r="Z117" s="442"/>
    </row>
    <row r="118" ht="19.5" customHeight="1">
      <c r="A118" s="18">
        <f t="shared" si="1"/>
        <v>116</v>
      </c>
      <c r="B118" s="447">
        <v>45827.0</v>
      </c>
      <c r="C118" s="456"/>
      <c r="D118" s="454" t="s">
        <v>1400</v>
      </c>
      <c r="E118" s="455" t="s">
        <v>1189</v>
      </c>
      <c r="F118" s="453" t="s">
        <v>1401</v>
      </c>
      <c r="G118" s="442"/>
      <c r="H118" s="442"/>
      <c r="I118" s="442"/>
      <c r="J118" s="442"/>
      <c r="K118" s="442"/>
      <c r="L118" s="442"/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  <c r="X118" s="442"/>
      <c r="Y118" s="442"/>
      <c r="Z118" s="442"/>
    </row>
    <row r="119" ht="19.5" customHeight="1">
      <c r="A119" s="18">
        <f t="shared" si="1"/>
        <v>117</v>
      </c>
      <c r="B119" s="447">
        <v>45827.0</v>
      </c>
      <c r="C119" s="456"/>
      <c r="D119" s="454" t="s">
        <v>1402</v>
      </c>
      <c r="E119" s="455" t="s">
        <v>1189</v>
      </c>
      <c r="F119" s="453" t="s">
        <v>1403</v>
      </c>
      <c r="G119" s="442"/>
      <c r="H119" s="442"/>
      <c r="I119" s="442"/>
      <c r="J119" s="442"/>
      <c r="K119" s="442"/>
      <c r="L119" s="442"/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  <c r="X119" s="442"/>
      <c r="Y119" s="442"/>
      <c r="Z119" s="442"/>
    </row>
    <row r="120" ht="19.5" customHeight="1">
      <c r="A120" s="18">
        <f t="shared" si="1"/>
        <v>118</v>
      </c>
      <c r="B120" s="447">
        <v>45827.0</v>
      </c>
      <c r="C120" s="456"/>
      <c r="D120" s="454" t="s">
        <v>1404</v>
      </c>
      <c r="E120" s="455" t="s">
        <v>1189</v>
      </c>
      <c r="F120" s="453" t="s">
        <v>1405</v>
      </c>
      <c r="G120" s="442"/>
      <c r="H120" s="442"/>
      <c r="I120" s="442"/>
      <c r="J120" s="442"/>
      <c r="K120" s="442"/>
      <c r="L120" s="442"/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  <c r="X120" s="442"/>
      <c r="Y120" s="442"/>
      <c r="Z120" s="442"/>
    </row>
    <row r="121" ht="19.5" customHeight="1">
      <c r="A121" s="18">
        <f t="shared" si="1"/>
        <v>119</v>
      </c>
      <c r="B121" s="447">
        <v>45827.0</v>
      </c>
      <c r="C121" s="456"/>
      <c r="D121" s="454" t="s">
        <v>1406</v>
      </c>
      <c r="E121" s="455" t="s">
        <v>1189</v>
      </c>
      <c r="F121" s="453" t="s">
        <v>1407</v>
      </c>
      <c r="G121" s="442"/>
      <c r="H121" s="442"/>
      <c r="I121" s="442"/>
      <c r="J121" s="442"/>
      <c r="K121" s="442"/>
      <c r="L121" s="442"/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  <c r="X121" s="442"/>
      <c r="Y121" s="442"/>
      <c r="Z121" s="442"/>
    </row>
    <row r="122" ht="19.5" customHeight="1">
      <c r="A122" s="18">
        <f t="shared" si="1"/>
        <v>120</v>
      </c>
      <c r="B122" s="447">
        <v>45827.0</v>
      </c>
      <c r="C122" s="456"/>
      <c r="D122" s="454" t="s">
        <v>1408</v>
      </c>
      <c r="E122" s="455" t="s">
        <v>1189</v>
      </c>
      <c r="F122" s="453" t="s">
        <v>1409</v>
      </c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  <c r="Y122" s="442"/>
      <c r="Z122" s="442"/>
    </row>
    <row r="123" ht="19.5" customHeight="1">
      <c r="A123" s="18">
        <f t="shared" si="1"/>
        <v>121</v>
      </c>
      <c r="B123" s="447">
        <v>45827.0</v>
      </c>
      <c r="C123" s="456"/>
      <c r="D123" s="454" t="s">
        <v>1410</v>
      </c>
      <c r="E123" s="455" t="s">
        <v>1189</v>
      </c>
      <c r="F123" s="453" t="s">
        <v>1411</v>
      </c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  <c r="Y123" s="442"/>
      <c r="Z123" s="442"/>
    </row>
    <row r="124" ht="19.5" customHeight="1">
      <c r="A124" s="18">
        <f t="shared" si="1"/>
        <v>122</v>
      </c>
      <c r="B124" s="447">
        <v>45827.0</v>
      </c>
      <c r="C124" s="456"/>
      <c r="D124" s="454" t="s">
        <v>1412</v>
      </c>
      <c r="E124" s="455" t="s">
        <v>1189</v>
      </c>
      <c r="F124" s="453" t="s">
        <v>1413</v>
      </c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  <c r="Y124" s="442"/>
      <c r="Z124" s="442"/>
    </row>
    <row r="125" ht="19.5" customHeight="1">
      <c r="A125" s="18">
        <f t="shared" si="1"/>
        <v>123</v>
      </c>
      <c r="B125" s="447">
        <v>45827.0</v>
      </c>
      <c r="C125" s="456"/>
      <c r="D125" s="454" t="s">
        <v>1414</v>
      </c>
      <c r="E125" s="455" t="s">
        <v>1189</v>
      </c>
      <c r="F125" s="453" t="s">
        <v>1415</v>
      </c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  <c r="Y125" s="442"/>
      <c r="Z125" s="442"/>
    </row>
    <row r="126" ht="19.5" customHeight="1">
      <c r="A126" s="18">
        <f t="shared" si="1"/>
        <v>124</v>
      </c>
      <c r="B126" s="447">
        <v>45827.0</v>
      </c>
      <c r="C126" s="456"/>
      <c r="D126" s="454" t="s">
        <v>1416</v>
      </c>
      <c r="E126" s="455" t="s">
        <v>1189</v>
      </c>
      <c r="F126" s="453" t="s">
        <v>1417</v>
      </c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  <c r="Y126" s="442"/>
      <c r="Z126" s="442"/>
    </row>
    <row r="127" ht="19.5" customHeight="1">
      <c r="A127" s="18">
        <f t="shared" si="1"/>
        <v>125</v>
      </c>
      <c r="B127" s="447">
        <v>45827.0</v>
      </c>
      <c r="C127" s="456"/>
      <c r="D127" s="454" t="s">
        <v>1418</v>
      </c>
      <c r="E127" s="455" t="s">
        <v>1189</v>
      </c>
      <c r="F127" s="453" t="s">
        <v>1419</v>
      </c>
      <c r="G127" s="442"/>
      <c r="H127" s="442"/>
      <c r="I127" s="442"/>
      <c r="J127" s="442"/>
      <c r="K127" s="442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  <c r="X127" s="442"/>
      <c r="Y127" s="442"/>
      <c r="Z127" s="442"/>
    </row>
    <row r="128" ht="19.5" customHeight="1">
      <c r="A128" s="18">
        <f t="shared" si="1"/>
        <v>126</v>
      </c>
      <c r="B128" s="447">
        <v>45827.0</v>
      </c>
      <c r="C128" s="456"/>
      <c r="D128" s="454" t="s">
        <v>1420</v>
      </c>
      <c r="E128" s="455" t="s">
        <v>1189</v>
      </c>
      <c r="F128" s="453" t="s">
        <v>1421</v>
      </c>
      <c r="G128" s="442"/>
      <c r="H128" s="442"/>
      <c r="I128" s="442"/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  <c r="X128" s="442"/>
      <c r="Y128" s="442"/>
      <c r="Z128" s="442"/>
    </row>
    <row r="129" ht="19.5" customHeight="1">
      <c r="A129" s="18">
        <f t="shared" si="1"/>
        <v>127</v>
      </c>
      <c r="B129" s="447">
        <v>45827.0</v>
      </c>
      <c r="C129" s="456"/>
      <c r="D129" s="454" t="s">
        <v>1422</v>
      </c>
      <c r="E129" s="455" t="s">
        <v>1189</v>
      </c>
      <c r="F129" s="453" t="s">
        <v>1423</v>
      </c>
      <c r="G129" s="442"/>
      <c r="H129" s="442"/>
      <c r="I129" s="442"/>
      <c r="J129" s="442"/>
      <c r="K129" s="442"/>
      <c r="L129" s="442"/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  <c r="X129" s="442"/>
      <c r="Y129" s="442"/>
      <c r="Z129" s="442"/>
    </row>
    <row r="130" ht="19.5" customHeight="1">
      <c r="A130" s="18">
        <f t="shared" si="1"/>
        <v>128</v>
      </c>
      <c r="B130" s="447">
        <v>45827.0</v>
      </c>
      <c r="C130" s="456"/>
      <c r="D130" s="454" t="s">
        <v>1424</v>
      </c>
      <c r="E130" s="455" t="s">
        <v>1189</v>
      </c>
      <c r="F130" s="453" t="s">
        <v>1425</v>
      </c>
      <c r="G130" s="442"/>
      <c r="H130" s="442"/>
      <c r="I130" s="442"/>
      <c r="J130" s="442"/>
      <c r="K130" s="442"/>
      <c r="L130" s="442"/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  <c r="X130" s="442"/>
      <c r="Y130" s="442"/>
      <c r="Z130" s="442"/>
    </row>
    <row r="131" ht="19.5" customHeight="1">
      <c r="A131" s="18">
        <f t="shared" si="1"/>
        <v>129</v>
      </c>
      <c r="B131" s="447">
        <v>45827.0</v>
      </c>
      <c r="C131" s="456"/>
      <c r="D131" s="454" t="s">
        <v>1426</v>
      </c>
      <c r="E131" s="455" t="s">
        <v>1189</v>
      </c>
      <c r="F131" s="453" t="s">
        <v>1427</v>
      </c>
      <c r="G131" s="442"/>
      <c r="H131" s="442"/>
      <c r="I131" s="442"/>
      <c r="J131" s="442"/>
      <c r="K131" s="442"/>
      <c r="L131" s="442"/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  <c r="X131" s="442"/>
      <c r="Y131" s="442"/>
      <c r="Z131" s="442"/>
    </row>
    <row r="132" ht="19.5" customHeight="1">
      <c r="A132" s="18">
        <f t="shared" si="1"/>
        <v>130</v>
      </c>
      <c r="B132" s="457">
        <v>45833.0</v>
      </c>
      <c r="C132" s="456"/>
      <c r="D132" s="452" t="s">
        <v>1428</v>
      </c>
      <c r="E132" s="455" t="s">
        <v>1189</v>
      </c>
      <c r="F132" s="453" t="s">
        <v>1429</v>
      </c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</row>
    <row r="133" ht="19.5" customHeight="1">
      <c r="A133" s="18">
        <f t="shared" si="1"/>
        <v>131</v>
      </c>
      <c r="B133" s="457">
        <v>45833.0</v>
      </c>
      <c r="C133" s="456"/>
      <c r="D133" s="452" t="s">
        <v>1430</v>
      </c>
      <c r="E133" s="455" t="s">
        <v>1189</v>
      </c>
      <c r="F133" s="453" t="s">
        <v>1431</v>
      </c>
      <c r="G133" s="442"/>
      <c r="H133" s="442"/>
      <c r="I133" s="442"/>
      <c r="J133" s="442"/>
      <c r="K133" s="442"/>
      <c r="L133" s="442"/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  <c r="X133" s="442"/>
      <c r="Y133" s="442"/>
      <c r="Z133" s="442"/>
    </row>
    <row r="134" ht="19.5" customHeight="1">
      <c r="A134" s="18">
        <f t="shared" si="1"/>
        <v>132</v>
      </c>
      <c r="B134" s="457">
        <v>45833.0</v>
      </c>
      <c r="C134" s="456"/>
      <c r="D134" s="452" t="s">
        <v>1432</v>
      </c>
      <c r="E134" s="455" t="s">
        <v>1189</v>
      </c>
      <c r="F134" s="453" t="s">
        <v>1433</v>
      </c>
      <c r="G134" s="442"/>
      <c r="H134" s="442"/>
      <c r="I134" s="442"/>
      <c r="J134" s="442"/>
      <c r="K134" s="442"/>
      <c r="L134" s="442"/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  <c r="X134" s="442"/>
      <c r="Y134" s="442"/>
      <c r="Z134" s="442"/>
    </row>
    <row r="135" ht="19.5" customHeight="1">
      <c r="A135" s="18">
        <f t="shared" si="1"/>
        <v>133</v>
      </c>
      <c r="B135" s="457">
        <v>45833.0</v>
      </c>
      <c r="C135" s="456"/>
      <c r="D135" s="452" t="s">
        <v>1434</v>
      </c>
      <c r="E135" s="455" t="s">
        <v>1189</v>
      </c>
      <c r="F135" s="453" t="s">
        <v>1435</v>
      </c>
      <c r="G135" s="442"/>
      <c r="H135" s="442"/>
      <c r="I135" s="442"/>
      <c r="J135" s="442"/>
      <c r="K135" s="442"/>
      <c r="L135" s="442"/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  <c r="X135" s="442"/>
      <c r="Y135" s="442"/>
      <c r="Z135" s="442"/>
    </row>
    <row r="136" ht="19.5" customHeight="1">
      <c r="A136" s="18">
        <f t="shared" si="1"/>
        <v>134</v>
      </c>
      <c r="B136" s="457">
        <v>45849.0</v>
      </c>
      <c r="C136" s="456"/>
      <c r="D136" s="452" t="s">
        <v>1436</v>
      </c>
      <c r="E136" s="455" t="s">
        <v>1192</v>
      </c>
      <c r="F136" s="453" t="s">
        <v>1437</v>
      </c>
      <c r="G136" s="442"/>
      <c r="H136" s="442"/>
      <c r="I136" s="442"/>
      <c r="J136" s="442"/>
      <c r="K136" s="442"/>
      <c r="L136" s="442"/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  <c r="X136" s="442"/>
      <c r="Y136" s="442"/>
      <c r="Z136" s="442"/>
    </row>
    <row r="137" ht="19.5" customHeight="1">
      <c r="A137" s="18">
        <f t="shared" si="1"/>
        <v>135</v>
      </c>
      <c r="B137" s="457">
        <v>45849.0</v>
      </c>
      <c r="C137" s="456"/>
      <c r="D137" s="452" t="s">
        <v>1438</v>
      </c>
      <c r="E137" s="455" t="s">
        <v>1192</v>
      </c>
      <c r="F137" s="453" t="s">
        <v>1439</v>
      </c>
      <c r="G137" s="442"/>
      <c r="H137" s="442"/>
      <c r="I137" s="442"/>
      <c r="J137" s="442"/>
      <c r="K137" s="442"/>
      <c r="L137" s="442"/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  <c r="X137" s="442"/>
      <c r="Y137" s="442"/>
      <c r="Z137" s="442"/>
    </row>
    <row r="138" ht="19.5" customHeight="1">
      <c r="A138" s="18">
        <f t="shared" si="1"/>
        <v>136</v>
      </c>
      <c r="B138" s="457">
        <v>45849.0</v>
      </c>
      <c r="C138" s="456"/>
      <c r="D138" s="452" t="s">
        <v>1440</v>
      </c>
      <c r="E138" s="455" t="s">
        <v>1192</v>
      </c>
      <c r="F138" s="453" t="s">
        <v>1441</v>
      </c>
      <c r="G138" s="442"/>
      <c r="H138" s="442"/>
      <c r="I138" s="442"/>
      <c r="J138" s="442"/>
      <c r="K138" s="442"/>
      <c r="L138" s="442"/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  <c r="X138" s="442"/>
      <c r="Y138" s="442"/>
      <c r="Z138" s="442"/>
    </row>
    <row r="139" ht="19.5" customHeight="1">
      <c r="A139" s="18">
        <f t="shared" si="1"/>
        <v>137</v>
      </c>
      <c r="B139" s="457">
        <v>45849.0</v>
      </c>
      <c r="C139" s="456"/>
      <c r="D139" s="452" t="s">
        <v>1442</v>
      </c>
      <c r="E139" s="455" t="s">
        <v>1192</v>
      </c>
      <c r="F139" s="453" t="s">
        <v>1443</v>
      </c>
      <c r="G139" s="442"/>
      <c r="H139" s="442"/>
      <c r="I139" s="442"/>
      <c r="J139" s="442"/>
      <c r="K139" s="442"/>
      <c r="L139" s="442"/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  <c r="X139" s="442"/>
      <c r="Y139" s="442"/>
      <c r="Z139" s="442"/>
    </row>
    <row r="140" ht="19.5" customHeight="1">
      <c r="A140" s="18">
        <f t="shared" si="1"/>
        <v>138</v>
      </c>
      <c r="B140" s="457">
        <v>45849.0</v>
      </c>
      <c r="C140" s="456"/>
      <c r="D140" s="452" t="s">
        <v>1444</v>
      </c>
      <c r="E140" s="455" t="s">
        <v>1192</v>
      </c>
      <c r="F140" s="453" t="s">
        <v>1445</v>
      </c>
      <c r="G140" s="442"/>
      <c r="H140" s="442"/>
      <c r="I140" s="442"/>
      <c r="J140" s="442"/>
      <c r="K140" s="442"/>
      <c r="L140" s="442"/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  <c r="X140" s="442"/>
      <c r="Y140" s="442"/>
      <c r="Z140" s="442"/>
    </row>
    <row r="141" ht="19.5" customHeight="1">
      <c r="A141" s="18" t="str">
        <f t="shared" si="1"/>
        <v/>
      </c>
      <c r="B141" s="457"/>
      <c r="C141" s="456"/>
      <c r="D141" s="456"/>
      <c r="E141" s="458"/>
      <c r="F141" s="456"/>
      <c r="G141" s="442"/>
      <c r="H141" s="442"/>
      <c r="I141" s="442"/>
      <c r="J141" s="442"/>
      <c r="K141" s="442"/>
      <c r="L141" s="442"/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  <c r="X141" s="442"/>
      <c r="Y141" s="442"/>
      <c r="Z141" s="442"/>
    </row>
    <row r="142" ht="19.5" customHeight="1">
      <c r="A142" s="18" t="str">
        <f t="shared" si="1"/>
        <v/>
      </c>
      <c r="B142" s="457"/>
      <c r="C142" s="456"/>
      <c r="D142" s="456"/>
      <c r="E142" s="458"/>
      <c r="F142" s="456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  <c r="X142" s="442"/>
      <c r="Y142" s="442"/>
      <c r="Z142" s="442"/>
    </row>
    <row r="143" ht="19.5" customHeight="1">
      <c r="A143" s="18" t="str">
        <f t="shared" si="1"/>
        <v/>
      </c>
      <c r="B143" s="457"/>
      <c r="C143" s="456"/>
      <c r="D143" s="456"/>
      <c r="E143" s="458"/>
      <c r="F143" s="456"/>
      <c r="G143" s="442"/>
      <c r="H143" s="442"/>
      <c r="I143" s="442"/>
      <c r="J143" s="442"/>
      <c r="K143" s="442"/>
      <c r="L143" s="442"/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  <c r="X143" s="442"/>
      <c r="Y143" s="442"/>
      <c r="Z143" s="442"/>
    </row>
    <row r="144" ht="19.5" customHeight="1">
      <c r="A144" s="442"/>
      <c r="B144" s="459"/>
      <c r="C144" s="442"/>
      <c r="D144" s="442"/>
      <c r="E144" s="460"/>
      <c r="F144" s="442"/>
      <c r="G144" s="442"/>
      <c r="H144" s="442"/>
      <c r="I144" s="442"/>
      <c r="J144" s="442"/>
      <c r="K144" s="442"/>
      <c r="L144" s="442"/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  <c r="X144" s="442"/>
      <c r="Y144" s="442"/>
      <c r="Z144" s="442"/>
    </row>
    <row r="145" ht="19.5" customHeight="1">
      <c r="A145" s="442"/>
      <c r="B145" s="459"/>
      <c r="C145" s="442"/>
      <c r="D145" s="442"/>
      <c r="E145" s="460"/>
      <c r="F145" s="442"/>
      <c r="G145" s="442"/>
      <c r="H145" s="442"/>
      <c r="I145" s="442"/>
      <c r="J145" s="442"/>
      <c r="K145" s="442"/>
      <c r="L145" s="442"/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  <c r="X145" s="442"/>
      <c r="Y145" s="442"/>
      <c r="Z145" s="442"/>
    </row>
    <row r="146" ht="19.5" customHeight="1">
      <c r="A146" s="442"/>
      <c r="B146" s="459"/>
      <c r="C146" s="442"/>
      <c r="D146" s="442"/>
      <c r="E146" s="460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  <c r="X146" s="442"/>
      <c r="Y146" s="442"/>
      <c r="Z146" s="442"/>
    </row>
    <row r="147" ht="19.5" customHeight="1">
      <c r="A147" s="442"/>
      <c r="B147" s="459"/>
      <c r="C147" s="442"/>
      <c r="D147" s="442"/>
      <c r="E147" s="460"/>
      <c r="F147" s="442"/>
      <c r="G147" s="442"/>
      <c r="H147" s="442"/>
      <c r="I147" s="442"/>
      <c r="J147" s="442"/>
      <c r="K147" s="442"/>
      <c r="L147" s="442"/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  <c r="X147" s="442"/>
      <c r="Y147" s="442"/>
      <c r="Z147" s="442"/>
    </row>
    <row r="148" ht="19.5" customHeight="1">
      <c r="A148" s="442"/>
      <c r="B148" s="459"/>
      <c r="C148" s="442"/>
      <c r="D148" s="442"/>
      <c r="E148" s="460"/>
      <c r="F148" s="442"/>
      <c r="G148" s="442"/>
      <c r="H148" s="442"/>
      <c r="I148" s="442"/>
      <c r="J148" s="442"/>
      <c r="K148" s="442"/>
      <c r="L148" s="442"/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  <c r="X148" s="442"/>
      <c r="Y148" s="442"/>
      <c r="Z148" s="442"/>
    </row>
    <row r="149" ht="19.5" customHeight="1">
      <c r="A149" s="442"/>
      <c r="B149" s="459"/>
      <c r="C149" s="442"/>
      <c r="D149" s="442"/>
      <c r="E149" s="460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  <c r="Y149" s="442"/>
      <c r="Z149" s="442"/>
    </row>
    <row r="150" ht="19.5" customHeight="1">
      <c r="A150" s="442"/>
      <c r="B150" s="459"/>
      <c r="C150" s="442"/>
      <c r="D150" s="442"/>
      <c r="E150" s="460"/>
      <c r="F150" s="442"/>
      <c r="G150" s="442"/>
      <c r="H150" s="442"/>
      <c r="I150" s="442"/>
      <c r="J150" s="442"/>
      <c r="K150" s="442"/>
      <c r="L150" s="442"/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  <c r="X150" s="442"/>
      <c r="Y150" s="442"/>
      <c r="Z150" s="442"/>
    </row>
    <row r="151" ht="19.5" customHeight="1">
      <c r="A151" s="442"/>
      <c r="B151" s="459"/>
      <c r="C151" s="442"/>
      <c r="D151" s="442"/>
      <c r="E151" s="460"/>
      <c r="F151" s="442"/>
      <c r="G151" s="442"/>
      <c r="H151" s="442"/>
      <c r="I151" s="442"/>
      <c r="J151" s="442"/>
      <c r="K151" s="442"/>
      <c r="L151" s="442"/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  <c r="X151" s="442"/>
      <c r="Y151" s="442"/>
      <c r="Z151" s="442"/>
    </row>
    <row r="152" ht="19.5" customHeight="1">
      <c r="A152" s="442"/>
      <c r="B152" s="459"/>
      <c r="C152" s="442"/>
      <c r="D152" s="442"/>
      <c r="E152" s="460"/>
      <c r="F152" s="442"/>
      <c r="G152" s="442"/>
      <c r="H152" s="442"/>
      <c r="I152" s="442"/>
      <c r="J152" s="442"/>
      <c r="K152" s="442"/>
      <c r="L152" s="442"/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  <c r="X152" s="442"/>
      <c r="Y152" s="442"/>
      <c r="Z152" s="442"/>
    </row>
    <row r="153" ht="19.5" customHeight="1">
      <c r="A153" s="442"/>
      <c r="B153" s="459"/>
      <c r="C153" s="442"/>
      <c r="D153" s="442"/>
      <c r="E153" s="460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  <c r="Y153" s="442"/>
      <c r="Z153" s="442"/>
    </row>
    <row r="154" ht="19.5" customHeight="1">
      <c r="A154" s="442"/>
      <c r="B154" s="459"/>
      <c r="C154" s="442"/>
      <c r="D154" s="442"/>
      <c r="E154" s="460"/>
      <c r="F154" s="442"/>
      <c r="G154" s="442"/>
      <c r="H154" s="442"/>
      <c r="I154" s="442"/>
      <c r="J154" s="442"/>
      <c r="K154" s="442"/>
      <c r="L154" s="442"/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  <c r="Y154" s="442"/>
      <c r="Z154" s="442"/>
    </row>
    <row r="155" ht="19.5" customHeight="1">
      <c r="A155" s="442"/>
      <c r="B155" s="459"/>
      <c r="C155" s="442"/>
      <c r="D155" s="442"/>
      <c r="E155" s="460"/>
      <c r="F155" s="442"/>
      <c r="G155" s="442"/>
      <c r="H155" s="442"/>
      <c r="I155" s="442"/>
      <c r="J155" s="442"/>
      <c r="K155" s="442"/>
      <c r="L155" s="442"/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  <c r="Y155" s="442"/>
      <c r="Z155" s="442"/>
    </row>
    <row r="156" ht="19.5" customHeight="1">
      <c r="A156" s="442"/>
      <c r="B156" s="459"/>
      <c r="C156" s="442"/>
      <c r="D156" s="442"/>
      <c r="E156" s="460"/>
      <c r="F156" s="442"/>
      <c r="G156" s="442"/>
      <c r="H156" s="442"/>
      <c r="I156" s="442"/>
      <c r="J156" s="442"/>
      <c r="K156" s="442"/>
      <c r="L156" s="442"/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  <c r="Y156" s="442"/>
      <c r="Z156" s="442"/>
    </row>
    <row r="157" ht="19.5" customHeight="1">
      <c r="A157" s="442"/>
      <c r="B157" s="459"/>
      <c r="C157" s="442"/>
      <c r="D157" s="442"/>
      <c r="E157" s="460"/>
      <c r="F157" s="442"/>
      <c r="G157" s="442"/>
      <c r="H157" s="442"/>
      <c r="I157" s="442"/>
      <c r="J157" s="442"/>
      <c r="K157" s="442"/>
      <c r="L157" s="442"/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  <c r="X157" s="442"/>
      <c r="Y157" s="442"/>
      <c r="Z157" s="442"/>
    </row>
    <row r="158" ht="19.5" customHeight="1">
      <c r="A158" s="442"/>
      <c r="B158" s="459"/>
      <c r="C158" s="442"/>
      <c r="D158" s="442"/>
      <c r="E158" s="460"/>
      <c r="F158" s="442"/>
      <c r="G158" s="442"/>
      <c r="H158" s="442"/>
      <c r="I158" s="442"/>
      <c r="J158" s="442"/>
      <c r="K158" s="442"/>
      <c r="L158" s="442"/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  <c r="X158" s="442"/>
      <c r="Y158" s="442"/>
      <c r="Z158" s="442"/>
    </row>
    <row r="159" ht="19.5" customHeight="1">
      <c r="A159" s="442"/>
      <c r="B159" s="459"/>
      <c r="C159" s="442"/>
      <c r="D159" s="442"/>
      <c r="E159" s="460"/>
      <c r="F159" s="442"/>
      <c r="G159" s="442"/>
      <c r="H159" s="442"/>
      <c r="I159" s="442"/>
      <c r="J159" s="442"/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  <c r="Y159" s="442"/>
      <c r="Z159" s="442"/>
    </row>
    <row r="160" ht="19.5" customHeight="1">
      <c r="A160" s="442"/>
      <c r="B160" s="459"/>
      <c r="C160" s="442"/>
      <c r="D160" s="442"/>
      <c r="E160" s="460"/>
      <c r="F160" s="442"/>
      <c r="G160" s="442"/>
      <c r="H160" s="442"/>
      <c r="I160" s="442"/>
      <c r="J160" s="442"/>
      <c r="K160" s="442"/>
      <c r="L160" s="442"/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  <c r="X160" s="442"/>
      <c r="Y160" s="442"/>
      <c r="Z160" s="442"/>
    </row>
    <row r="161" ht="19.5" customHeight="1">
      <c r="A161" s="442"/>
      <c r="B161" s="459"/>
      <c r="C161" s="442"/>
      <c r="D161" s="442"/>
      <c r="E161" s="460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  <c r="X161" s="442"/>
      <c r="Y161" s="442"/>
      <c r="Z161" s="442"/>
    </row>
    <row r="162" ht="19.5" customHeight="1">
      <c r="A162" s="442"/>
      <c r="B162" s="459"/>
      <c r="C162" s="442"/>
      <c r="D162" s="442"/>
      <c r="E162" s="460"/>
      <c r="F162" s="442"/>
      <c r="G162" s="442"/>
      <c r="H162" s="442"/>
      <c r="I162" s="442"/>
      <c r="J162" s="442"/>
      <c r="K162" s="442"/>
      <c r="L162" s="442"/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  <c r="X162" s="442"/>
      <c r="Y162" s="442"/>
      <c r="Z162" s="442"/>
    </row>
    <row r="163" ht="19.5" customHeight="1">
      <c r="A163" s="442"/>
      <c r="B163" s="459"/>
      <c r="C163" s="442"/>
      <c r="D163" s="442"/>
      <c r="E163" s="460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  <c r="X163" s="442"/>
      <c r="Y163" s="442"/>
      <c r="Z163" s="442"/>
    </row>
    <row r="164" ht="19.5" customHeight="1">
      <c r="A164" s="442"/>
      <c r="B164" s="459"/>
      <c r="C164" s="442"/>
      <c r="D164" s="442"/>
      <c r="E164" s="460"/>
      <c r="F164" s="442"/>
      <c r="G164" s="442"/>
      <c r="H164" s="442"/>
      <c r="I164" s="442"/>
      <c r="J164" s="442"/>
      <c r="K164" s="442"/>
      <c r="L164" s="442"/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  <c r="X164" s="442"/>
      <c r="Y164" s="442"/>
      <c r="Z164" s="442"/>
    </row>
    <row r="165" ht="19.5" customHeight="1">
      <c r="A165" s="442"/>
      <c r="B165" s="459"/>
      <c r="C165" s="442"/>
      <c r="D165" s="442"/>
      <c r="E165" s="460"/>
      <c r="F165" s="442"/>
      <c r="G165" s="442"/>
      <c r="H165" s="442"/>
      <c r="I165" s="442"/>
      <c r="J165" s="442"/>
      <c r="K165" s="442"/>
      <c r="L165" s="442"/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  <c r="X165" s="442"/>
      <c r="Y165" s="442"/>
      <c r="Z165" s="442"/>
    </row>
    <row r="166" ht="19.5" customHeight="1">
      <c r="A166" s="442"/>
      <c r="B166" s="459"/>
      <c r="C166" s="442"/>
      <c r="D166" s="442"/>
      <c r="E166" s="460"/>
      <c r="F166" s="442"/>
      <c r="G166" s="442"/>
      <c r="H166" s="442"/>
      <c r="I166" s="442"/>
      <c r="J166" s="442"/>
      <c r="K166" s="442"/>
      <c r="L166" s="442"/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  <c r="X166" s="442"/>
      <c r="Y166" s="442"/>
      <c r="Z166" s="442"/>
    </row>
    <row r="167" ht="19.5" customHeight="1">
      <c r="A167" s="442"/>
      <c r="B167" s="459"/>
      <c r="C167" s="442"/>
      <c r="D167" s="442"/>
      <c r="E167" s="460"/>
      <c r="F167" s="442"/>
      <c r="G167" s="442"/>
      <c r="H167" s="442"/>
      <c r="I167" s="442"/>
      <c r="J167" s="442"/>
      <c r="K167" s="442"/>
      <c r="L167" s="442"/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  <c r="X167" s="442"/>
      <c r="Y167" s="442"/>
      <c r="Z167" s="442"/>
    </row>
    <row r="168" ht="19.5" customHeight="1">
      <c r="A168" s="442"/>
      <c r="B168" s="459"/>
      <c r="C168" s="442"/>
      <c r="D168" s="442"/>
      <c r="E168" s="460"/>
      <c r="F168" s="442"/>
      <c r="G168" s="442"/>
      <c r="H168" s="442"/>
      <c r="I168" s="442"/>
      <c r="J168" s="442"/>
      <c r="K168" s="442"/>
      <c r="L168" s="442"/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  <c r="X168" s="442"/>
      <c r="Y168" s="442"/>
      <c r="Z168" s="442"/>
    </row>
    <row r="169" ht="19.5" customHeight="1">
      <c r="A169" s="442"/>
      <c r="B169" s="459"/>
      <c r="C169" s="442"/>
      <c r="D169" s="442"/>
      <c r="E169" s="460"/>
      <c r="F169" s="442"/>
      <c r="G169" s="442"/>
      <c r="H169" s="442"/>
      <c r="I169" s="442"/>
      <c r="J169" s="442"/>
      <c r="K169" s="442"/>
      <c r="L169" s="442"/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  <c r="X169" s="442"/>
      <c r="Y169" s="442"/>
      <c r="Z169" s="442"/>
    </row>
    <row r="170" ht="19.5" customHeight="1">
      <c r="A170" s="442"/>
      <c r="B170" s="459"/>
      <c r="C170" s="442"/>
      <c r="D170" s="442"/>
      <c r="E170" s="460"/>
      <c r="F170" s="442"/>
      <c r="G170" s="442"/>
      <c r="H170" s="442"/>
      <c r="I170" s="442"/>
      <c r="J170" s="442"/>
      <c r="K170" s="442"/>
      <c r="L170" s="442"/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  <c r="X170" s="442"/>
      <c r="Y170" s="442"/>
      <c r="Z170" s="442"/>
    </row>
    <row r="171" ht="19.5" customHeight="1">
      <c r="A171" s="442"/>
      <c r="B171" s="459"/>
      <c r="C171" s="442"/>
      <c r="D171" s="442"/>
      <c r="E171" s="460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  <c r="X171" s="442"/>
      <c r="Y171" s="442"/>
      <c r="Z171" s="442"/>
    </row>
    <row r="172" ht="19.5" customHeight="1">
      <c r="A172" s="442"/>
      <c r="B172" s="459"/>
      <c r="C172" s="442"/>
      <c r="D172" s="442"/>
      <c r="E172" s="460"/>
      <c r="F172" s="442"/>
      <c r="G172" s="442"/>
      <c r="H172" s="442"/>
      <c r="I172" s="442"/>
      <c r="J172" s="442"/>
      <c r="K172" s="442"/>
      <c r="L172" s="442"/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  <c r="X172" s="442"/>
      <c r="Y172" s="442"/>
      <c r="Z172" s="442"/>
    </row>
    <row r="173" ht="19.5" customHeight="1">
      <c r="A173" s="442"/>
      <c r="B173" s="459"/>
      <c r="C173" s="442"/>
      <c r="D173" s="442"/>
      <c r="E173" s="460"/>
      <c r="F173" s="442"/>
      <c r="G173" s="442"/>
      <c r="H173" s="442"/>
      <c r="I173" s="442"/>
      <c r="J173" s="442"/>
      <c r="K173" s="442"/>
      <c r="L173" s="442"/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  <c r="X173" s="442"/>
      <c r="Y173" s="442"/>
      <c r="Z173" s="442"/>
    </row>
    <row r="174" ht="19.5" customHeight="1">
      <c r="A174" s="442"/>
      <c r="B174" s="459"/>
      <c r="C174" s="442"/>
      <c r="D174" s="442"/>
      <c r="E174" s="460"/>
      <c r="F174" s="442"/>
      <c r="G174" s="442"/>
      <c r="H174" s="442"/>
      <c r="I174" s="442"/>
      <c r="J174" s="442"/>
      <c r="K174" s="442"/>
      <c r="L174" s="442"/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  <c r="X174" s="442"/>
      <c r="Y174" s="442"/>
      <c r="Z174" s="442"/>
    </row>
    <row r="175" ht="19.5" customHeight="1">
      <c r="A175" s="442"/>
      <c r="B175" s="459"/>
      <c r="C175" s="442"/>
      <c r="D175" s="442"/>
      <c r="E175" s="460"/>
      <c r="F175" s="442"/>
      <c r="G175" s="442"/>
      <c r="H175" s="442"/>
      <c r="I175" s="442"/>
      <c r="J175" s="442"/>
      <c r="K175" s="442"/>
      <c r="L175" s="442"/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  <c r="X175" s="442"/>
      <c r="Y175" s="442"/>
      <c r="Z175" s="442"/>
    </row>
    <row r="176" ht="19.5" customHeight="1">
      <c r="A176" s="442"/>
      <c r="B176" s="459"/>
      <c r="C176" s="442"/>
      <c r="D176" s="442"/>
      <c r="E176" s="460"/>
      <c r="F176" s="442"/>
      <c r="G176" s="442"/>
      <c r="H176" s="442"/>
      <c r="I176" s="442"/>
      <c r="J176" s="442"/>
      <c r="K176" s="442"/>
      <c r="L176" s="442"/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  <c r="X176" s="442"/>
      <c r="Y176" s="442"/>
      <c r="Z176" s="442"/>
    </row>
    <row r="177" ht="19.5" customHeight="1">
      <c r="A177" s="442"/>
      <c r="B177" s="459"/>
      <c r="C177" s="442"/>
      <c r="D177" s="442"/>
      <c r="E177" s="460"/>
      <c r="F177" s="442"/>
      <c r="G177" s="442"/>
      <c r="H177" s="442"/>
      <c r="I177" s="442"/>
      <c r="J177" s="442"/>
      <c r="K177" s="442"/>
      <c r="L177" s="442"/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  <c r="X177" s="442"/>
      <c r="Y177" s="442"/>
      <c r="Z177" s="442"/>
    </row>
    <row r="178" ht="19.5" customHeight="1">
      <c r="A178" s="442"/>
      <c r="B178" s="459"/>
      <c r="C178" s="442"/>
      <c r="D178" s="442"/>
      <c r="E178" s="460"/>
      <c r="F178" s="442"/>
      <c r="G178" s="442"/>
      <c r="H178" s="442"/>
      <c r="I178" s="442"/>
      <c r="J178" s="442"/>
      <c r="K178" s="442"/>
      <c r="L178" s="442"/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  <c r="X178" s="442"/>
      <c r="Y178" s="442"/>
      <c r="Z178" s="442"/>
    </row>
    <row r="179" ht="19.5" customHeight="1">
      <c r="A179" s="442"/>
      <c r="B179" s="459"/>
      <c r="C179" s="442"/>
      <c r="D179" s="442"/>
      <c r="E179" s="460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  <c r="Y179" s="442"/>
      <c r="Z179" s="442"/>
    </row>
    <row r="180" ht="19.5" customHeight="1">
      <c r="A180" s="442"/>
      <c r="B180" s="459"/>
      <c r="C180" s="442"/>
      <c r="D180" s="442"/>
      <c r="E180" s="460"/>
      <c r="F180" s="442"/>
      <c r="G180" s="442"/>
      <c r="H180" s="442"/>
      <c r="I180" s="442"/>
      <c r="J180" s="442"/>
      <c r="K180" s="442"/>
      <c r="L180" s="442"/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  <c r="X180" s="442"/>
      <c r="Y180" s="442"/>
      <c r="Z180" s="442"/>
    </row>
    <row r="181" ht="19.5" customHeight="1">
      <c r="A181" s="442"/>
      <c r="B181" s="459"/>
      <c r="C181" s="442"/>
      <c r="D181" s="442"/>
      <c r="E181" s="460"/>
      <c r="F181" s="442"/>
      <c r="G181" s="442"/>
      <c r="H181" s="442"/>
      <c r="I181" s="442"/>
      <c r="J181" s="442"/>
      <c r="K181" s="442"/>
      <c r="L181" s="442"/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  <c r="X181" s="442"/>
      <c r="Y181" s="442"/>
      <c r="Z181" s="442"/>
    </row>
    <row r="182" ht="19.5" customHeight="1">
      <c r="A182" s="442"/>
      <c r="B182" s="459"/>
      <c r="C182" s="442"/>
      <c r="D182" s="442"/>
      <c r="E182" s="460"/>
      <c r="F182" s="442"/>
      <c r="G182" s="442"/>
      <c r="H182" s="442"/>
      <c r="I182" s="442"/>
      <c r="J182" s="442"/>
      <c r="K182" s="442"/>
      <c r="L182" s="442"/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  <c r="X182" s="442"/>
      <c r="Y182" s="442"/>
      <c r="Z182" s="442"/>
    </row>
    <row r="183" ht="19.5" customHeight="1">
      <c r="A183" s="442"/>
      <c r="B183" s="459"/>
      <c r="C183" s="442"/>
      <c r="D183" s="442"/>
      <c r="E183" s="460"/>
      <c r="F183" s="442"/>
      <c r="G183" s="442"/>
      <c r="H183" s="442"/>
      <c r="I183" s="442"/>
      <c r="J183" s="442"/>
      <c r="K183" s="442"/>
      <c r="L183" s="442"/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  <c r="X183" s="442"/>
      <c r="Y183" s="442"/>
      <c r="Z183" s="442"/>
    </row>
    <row r="184" ht="19.5" customHeight="1">
      <c r="A184" s="442"/>
      <c r="B184" s="459"/>
      <c r="C184" s="442"/>
      <c r="D184" s="442"/>
      <c r="E184" s="460"/>
      <c r="F184" s="442"/>
      <c r="G184" s="442"/>
      <c r="H184" s="442"/>
      <c r="I184" s="442"/>
      <c r="J184" s="442"/>
      <c r="K184" s="442"/>
      <c r="L184" s="442"/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  <c r="X184" s="442"/>
      <c r="Y184" s="442"/>
      <c r="Z184" s="442"/>
    </row>
    <row r="185" ht="19.5" customHeight="1">
      <c r="A185" s="442"/>
      <c r="B185" s="459"/>
      <c r="C185" s="442"/>
      <c r="D185" s="442"/>
      <c r="E185" s="460"/>
      <c r="F185" s="442"/>
      <c r="G185" s="442"/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  <c r="X185" s="442"/>
      <c r="Y185" s="442"/>
      <c r="Z185" s="442"/>
    </row>
    <row r="186" ht="19.5" customHeight="1">
      <c r="A186" s="442"/>
      <c r="B186" s="459"/>
      <c r="C186" s="442"/>
      <c r="D186" s="442"/>
      <c r="E186" s="460"/>
      <c r="F186" s="442"/>
      <c r="G186" s="442"/>
      <c r="H186" s="442"/>
      <c r="I186" s="442"/>
      <c r="J186" s="442"/>
      <c r="K186" s="442"/>
      <c r="L186" s="442"/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  <c r="X186" s="442"/>
      <c r="Y186" s="442"/>
      <c r="Z186" s="442"/>
    </row>
    <row r="187" ht="19.5" customHeight="1">
      <c r="A187" s="442"/>
      <c r="B187" s="459"/>
      <c r="C187" s="442"/>
      <c r="D187" s="442"/>
      <c r="E187" s="460"/>
      <c r="F187" s="442"/>
      <c r="G187" s="442"/>
      <c r="H187" s="442"/>
      <c r="I187" s="442"/>
      <c r="J187" s="442"/>
      <c r="K187" s="442"/>
      <c r="L187" s="442"/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  <c r="X187" s="442"/>
      <c r="Y187" s="442"/>
      <c r="Z187" s="442"/>
    </row>
    <row r="188" ht="19.5" customHeight="1">
      <c r="A188" s="442"/>
      <c r="B188" s="459"/>
      <c r="C188" s="442"/>
      <c r="D188" s="442"/>
      <c r="E188" s="460"/>
      <c r="F188" s="442"/>
      <c r="G188" s="442"/>
      <c r="H188" s="442"/>
      <c r="I188" s="442"/>
      <c r="J188" s="442"/>
      <c r="K188" s="442"/>
      <c r="L188" s="442"/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  <c r="X188" s="442"/>
      <c r="Y188" s="442"/>
      <c r="Z188" s="442"/>
    </row>
    <row r="189" ht="19.5" customHeight="1">
      <c r="A189" s="442"/>
      <c r="B189" s="459"/>
      <c r="C189" s="442"/>
      <c r="D189" s="442"/>
      <c r="E189" s="460"/>
      <c r="F189" s="442"/>
      <c r="G189" s="442"/>
      <c r="H189" s="442"/>
      <c r="I189" s="442"/>
      <c r="J189" s="442"/>
      <c r="K189" s="442"/>
      <c r="L189" s="442"/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  <c r="X189" s="442"/>
      <c r="Y189" s="442"/>
      <c r="Z189" s="442"/>
    </row>
    <row r="190" ht="19.5" customHeight="1">
      <c r="A190" s="442"/>
      <c r="B190" s="459"/>
      <c r="C190" s="442"/>
      <c r="D190" s="442"/>
      <c r="E190" s="460"/>
      <c r="F190" s="442"/>
      <c r="G190" s="442"/>
      <c r="H190" s="442"/>
      <c r="I190" s="442"/>
      <c r="J190" s="442"/>
      <c r="K190" s="442"/>
      <c r="L190" s="442"/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  <c r="X190" s="442"/>
      <c r="Y190" s="442"/>
      <c r="Z190" s="442"/>
    </row>
    <row r="191" ht="19.5" customHeight="1">
      <c r="A191" s="442"/>
      <c r="B191" s="459"/>
      <c r="C191" s="442"/>
      <c r="D191" s="442"/>
      <c r="E191" s="460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  <c r="Y191" s="442"/>
      <c r="Z191" s="442"/>
    </row>
    <row r="192" ht="19.5" customHeight="1">
      <c r="A192" s="442"/>
      <c r="B192" s="459"/>
      <c r="C192" s="442"/>
      <c r="D192" s="442"/>
      <c r="E192" s="460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  <c r="Y192" s="442"/>
      <c r="Z192" s="442"/>
    </row>
    <row r="193" ht="19.5" customHeight="1">
      <c r="A193" s="442"/>
      <c r="B193" s="459"/>
      <c r="C193" s="442"/>
      <c r="D193" s="442"/>
      <c r="E193" s="460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  <c r="Y193" s="442"/>
      <c r="Z193" s="442"/>
    </row>
    <row r="194" ht="19.5" customHeight="1">
      <c r="A194" s="442"/>
      <c r="B194" s="459"/>
      <c r="C194" s="442"/>
      <c r="D194" s="442"/>
      <c r="E194" s="460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  <c r="Y194" s="442"/>
      <c r="Z194" s="442"/>
    </row>
    <row r="195" ht="19.5" customHeight="1">
      <c r="A195" s="442"/>
      <c r="B195" s="459"/>
      <c r="C195" s="442"/>
      <c r="D195" s="442"/>
      <c r="E195" s="460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  <c r="Y195" s="442"/>
      <c r="Z195" s="442"/>
    </row>
    <row r="196" ht="19.5" customHeight="1">
      <c r="A196" s="442"/>
      <c r="B196" s="459"/>
      <c r="C196" s="442"/>
      <c r="D196" s="442"/>
      <c r="E196" s="460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  <c r="Y196" s="442"/>
      <c r="Z196" s="442"/>
    </row>
    <row r="197" ht="19.5" customHeight="1">
      <c r="A197" s="442"/>
      <c r="B197" s="459"/>
      <c r="C197" s="442"/>
      <c r="D197" s="442"/>
      <c r="E197" s="460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  <c r="Y197" s="442"/>
      <c r="Z197" s="442"/>
    </row>
    <row r="198" ht="19.5" customHeight="1">
      <c r="A198" s="442"/>
      <c r="B198" s="459"/>
      <c r="C198" s="442"/>
      <c r="D198" s="442"/>
      <c r="E198" s="460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  <c r="Y198" s="442"/>
      <c r="Z198" s="442"/>
    </row>
    <row r="199" ht="19.5" customHeight="1">
      <c r="A199" s="442"/>
      <c r="B199" s="459"/>
      <c r="C199" s="442"/>
      <c r="D199" s="442"/>
      <c r="E199" s="460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  <c r="Y199" s="442"/>
      <c r="Z199" s="442"/>
    </row>
    <row r="200" ht="19.5" customHeight="1">
      <c r="A200" s="442"/>
      <c r="B200" s="459"/>
      <c r="C200" s="442"/>
      <c r="D200" s="442"/>
      <c r="E200" s="460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  <c r="Y200" s="442"/>
      <c r="Z200" s="442"/>
    </row>
    <row r="201" ht="19.5" customHeight="1">
      <c r="A201" s="442"/>
      <c r="B201" s="459"/>
      <c r="C201" s="442"/>
      <c r="D201" s="442"/>
      <c r="E201" s="460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  <c r="Y201" s="442"/>
      <c r="Z201" s="442"/>
    </row>
    <row r="202" ht="19.5" customHeight="1">
      <c r="A202" s="442"/>
      <c r="B202" s="459"/>
      <c r="C202" s="442"/>
      <c r="D202" s="442"/>
      <c r="E202" s="460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  <c r="Y202" s="442"/>
      <c r="Z202" s="442"/>
    </row>
    <row r="203" ht="19.5" customHeight="1">
      <c r="A203" s="442"/>
      <c r="B203" s="459"/>
      <c r="C203" s="442"/>
      <c r="D203" s="442"/>
      <c r="E203" s="460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  <c r="Y203" s="442"/>
      <c r="Z203" s="442"/>
    </row>
    <row r="204" ht="19.5" customHeight="1">
      <c r="A204" s="442"/>
      <c r="B204" s="459"/>
      <c r="C204" s="442"/>
      <c r="D204" s="442"/>
      <c r="E204" s="460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  <c r="Y204" s="442"/>
      <c r="Z204" s="442"/>
    </row>
    <row r="205" ht="19.5" customHeight="1">
      <c r="A205" s="442"/>
      <c r="B205" s="459"/>
      <c r="C205" s="442"/>
      <c r="D205" s="442"/>
      <c r="E205" s="460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  <c r="Y205" s="442"/>
      <c r="Z205" s="442"/>
    </row>
    <row r="206" ht="19.5" customHeight="1">
      <c r="A206" s="442"/>
      <c r="B206" s="459"/>
      <c r="C206" s="442"/>
      <c r="D206" s="442"/>
      <c r="E206" s="460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  <c r="Y206" s="442"/>
      <c r="Z206" s="442"/>
    </row>
    <row r="207" ht="19.5" customHeight="1">
      <c r="A207" s="442"/>
      <c r="B207" s="459"/>
      <c r="C207" s="442"/>
      <c r="D207" s="442"/>
      <c r="E207" s="460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  <c r="Y207" s="442"/>
      <c r="Z207" s="442"/>
    </row>
    <row r="208" ht="19.5" customHeight="1">
      <c r="A208" s="442"/>
      <c r="B208" s="459"/>
      <c r="C208" s="442"/>
      <c r="D208" s="442"/>
      <c r="E208" s="460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  <c r="Y208" s="442"/>
      <c r="Z208" s="442"/>
    </row>
    <row r="209" ht="19.5" customHeight="1">
      <c r="A209" s="442"/>
      <c r="B209" s="459"/>
      <c r="C209" s="442"/>
      <c r="D209" s="442"/>
      <c r="E209" s="460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  <c r="Y209" s="442"/>
      <c r="Z209" s="442"/>
    </row>
    <row r="210" ht="19.5" customHeight="1">
      <c r="A210" s="442"/>
      <c r="B210" s="459"/>
      <c r="C210" s="442"/>
      <c r="D210" s="442"/>
      <c r="E210" s="460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  <c r="Y210" s="442"/>
      <c r="Z210" s="442"/>
    </row>
    <row r="211" ht="19.5" customHeight="1">
      <c r="A211" s="442"/>
      <c r="B211" s="459"/>
      <c r="C211" s="442"/>
      <c r="D211" s="442"/>
      <c r="E211" s="460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  <c r="Y211" s="442"/>
      <c r="Z211" s="442"/>
    </row>
    <row r="212" ht="19.5" customHeight="1">
      <c r="A212" s="442"/>
      <c r="B212" s="459"/>
      <c r="C212" s="442"/>
      <c r="D212" s="442"/>
      <c r="E212" s="460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  <c r="Y212" s="442"/>
      <c r="Z212" s="442"/>
    </row>
    <row r="213" ht="19.5" customHeight="1">
      <c r="A213" s="442"/>
      <c r="B213" s="459"/>
      <c r="C213" s="442"/>
      <c r="D213" s="442"/>
      <c r="E213" s="460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  <c r="Y213" s="442"/>
      <c r="Z213" s="442"/>
    </row>
    <row r="214" ht="19.5" customHeight="1">
      <c r="A214" s="442"/>
      <c r="B214" s="459"/>
      <c r="C214" s="442"/>
      <c r="D214" s="442"/>
      <c r="E214" s="460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  <c r="Y214" s="442"/>
      <c r="Z214" s="442"/>
    </row>
    <row r="215" ht="19.5" customHeight="1">
      <c r="A215" s="442"/>
      <c r="B215" s="459"/>
      <c r="C215" s="442"/>
      <c r="D215" s="442"/>
      <c r="E215" s="460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  <c r="Y215" s="442"/>
      <c r="Z215" s="442"/>
    </row>
    <row r="216" ht="19.5" customHeight="1">
      <c r="A216" s="442"/>
      <c r="B216" s="459"/>
      <c r="C216" s="442"/>
      <c r="D216" s="442"/>
      <c r="E216" s="460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  <c r="Y216" s="442"/>
      <c r="Z216" s="442"/>
    </row>
    <row r="217" ht="19.5" customHeight="1">
      <c r="A217" s="442"/>
      <c r="B217" s="459"/>
      <c r="C217" s="442"/>
      <c r="D217" s="442"/>
      <c r="E217" s="460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  <c r="Y217" s="442"/>
      <c r="Z217" s="442"/>
    </row>
    <row r="218" ht="19.5" customHeight="1">
      <c r="A218" s="442"/>
      <c r="B218" s="459"/>
      <c r="C218" s="442"/>
      <c r="D218" s="442"/>
      <c r="E218" s="460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  <c r="Y218" s="442"/>
      <c r="Z218" s="442"/>
    </row>
    <row r="219" ht="19.5" customHeight="1">
      <c r="A219" s="442"/>
      <c r="B219" s="459"/>
      <c r="C219" s="442"/>
      <c r="D219" s="442"/>
      <c r="E219" s="460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  <c r="Y219" s="442"/>
      <c r="Z219" s="442"/>
    </row>
    <row r="220" ht="19.5" customHeight="1">
      <c r="A220" s="442"/>
      <c r="B220" s="459"/>
      <c r="C220" s="442"/>
      <c r="D220" s="442"/>
      <c r="E220" s="460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  <c r="Y220" s="442"/>
      <c r="Z220" s="442"/>
    </row>
    <row r="221" ht="19.5" customHeight="1">
      <c r="A221" s="442"/>
      <c r="B221" s="459"/>
      <c r="C221" s="442"/>
      <c r="D221" s="442"/>
      <c r="E221" s="460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  <c r="Y221" s="442"/>
      <c r="Z221" s="442"/>
    </row>
    <row r="222" ht="19.5" customHeight="1">
      <c r="A222" s="442"/>
      <c r="B222" s="459"/>
      <c r="C222" s="442"/>
      <c r="D222" s="442"/>
      <c r="E222" s="460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  <c r="Y222" s="442"/>
      <c r="Z222" s="442"/>
    </row>
    <row r="223" ht="19.5" customHeight="1">
      <c r="A223" s="442"/>
      <c r="B223" s="459"/>
      <c r="C223" s="442"/>
      <c r="D223" s="442"/>
      <c r="E223" s="460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  <c r="Y223" s="442"/>
      <c r="Z223" s="442"/>
    </row>
    <row r="224" ht="19.5" customHeight="1">
      <c r="A224" s="442"/>
      <c r="B224" s="459"/>
      <c r="C224" s="442"/>
      <c r="D224" s="442"/>
      <c r="E224" s="460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  <c r="Y224" s="442"/>
      <c r="Z224" s="442"/>
    </row>
    <row r="225" ht="19.5" customHeight="1">
      <c r="A225" s="442"/>
      <c r="B225" s="459"/>
      <c r="C225" s="442"/>
      <c r="D225" s="442"/>
      <c r="E225" s="460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  <c r="Y225" s="442"/>
      <c r="Z225" s="442"/>
    </row>
    <row r="226" ht="19.5" customHeight="1">
      <c r="A226" s="442"/>
      <c r="B226" s="459"/>
      <c r="C226" s="442"/>
      <c r="D226" s="442"/>
      <c r="E226" s="460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  <c r="Y226" s="442"/>
      <c r="Z226" s="442"/>
    </row>
    <row r="227" ht="19.5" customHeight="1">
      <c r="A227" s="442"/>
      <c r="B227" s="459"/>
      <c r="C227" s="442"/>
      <c r="D227" s="442"/>
      <c r="E227" s="460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  <c r="Y227" s="442"/>
      <c r="Z227" s="442"/>
    </row>
    <row r="228" ht="19.5" customHeight="1">
      <c r="A228" s="442"/>
      <c r="B228" s="459"/>
      <c r="C228" s="442"/>
      <c r="D228" s="442"/>
      <c r="E228" s="460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  <c r="Y228" s="442"/>
      <c r="Z228" s="442"/>
    </row>
    <row r="229" ht="19.5" customHeight="1">
      <c r="A229" s="442"/>
      <c r="B229" s="459"/>
      <c r="C229" s="442"/>
      <c r="D229" s="442"/>
      <c r="E229" s="460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  <c r="Y229" s="442"/>
      <c r="Z229" s="442"/>
    </row>
    <row r="230" ht="19.5" customHeight="1">
      <c r="A230" s="442"/>
      <c r="B230" s="459"/>
      <c r="C230" s="442"/>
      <c r="D230" s="442"/>
      <c r="E230" s="460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  <c r="Y230" s="442"/>
      <c r="Z230" s="442"/>
    </row>
    <row r="231" ht="19.5" customHeight="1">
      <c r="A231" s="442"/>
      <c r="B231" s="459"/>
      <c r="C231" s="442"/>
      <c r="D231" s="442"/>
      <c r="E231" s="460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  <c r="Y231" s="442"/>
      <c r="Z231" s="442"/>
    </row>
    <row r="232" ht="19.5" customHeight="1">
      <c r="A232" s="442"/>
      <c r="B232" s="459"/>
      <c r="C232" s="442"/>
      <c r="D232" s="442"/>
      <c r="E232" s="460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  <c r="Y232" s="442"/>
      <c r="Z232" s="442"/>
    </row>
    <row r="233" ht="19.5" customHeight="1">
      <c r="A233" s="442"/>
      <c r="B233" s="459"/>
      <c r="C233" s="442"/>
      <c r="D233" s="442"/>
      <c r="E233" s="460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  <c r="Y233" s="442"/>
      <c r="Z233" s="442"/>
    </row>
    <row r="234" ht="19.5" customHeight="1">
      <c r="A234" s="442"/>
      <c r="B234" s="459"/>
      <c r="C234" s="442"/>
      <c r="D234" s="442"/>
      <c r="E234" s="460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  <c r="Y234" s="442"/>
      <c r="Z234" s="442"/>
    </row>
    <row r="235" ht="19.5" customHeight="1">
      <c r="A235" s="442"/>
      <c r="B235" s="459"/>
      <c r="C235" s="442"/>
      <c r="D235" s="442"/>
      <c r="E235" s="460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  <c r="Y235" s="442"/>
      <c r="Z235" s="442"/>
    </row>
    <row r="236" ht="19.5" customHeight="1">
      <c r="A236" s="442"/>
      <c r="B236" s="459"/>
      <c r="C236" s="442"/>
      <c r="D236" s="442"/>
      <c r="E236" s="460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  <c r="Y236" s="442"/>
      <c r="Z236" s="442"/>
    </row>
    <row r="237" ht="19.5" customHeight="1">
      <c r="A237" s="442"/>
      <c r="B237" s="459"/>
      <c r="C237" s="442"/>
      <c r="D237" s="442"/>
      <c r="E237" s="460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  <c r="Y237" s="442"/>
      <c r="Z237" s="442"/>
    </row>
    <row r="238" ht="19.5" customHeight="1">
      <c r="A238" s="442"/>
      <c r="B238" s="459"/>
      <c r="C238" s="442"/>
      <c r="D238" s="442"/>
      <c r="E238" s="460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  <c r="Y238" s="442"/>
      <c r="Z238" s="442"/>
    </row>
    <row r="239" ht="19.5" customHeight="1">
      <c r="A239" s="442"/>
      <c r="B239" s="459"/>
      <c r="C239" s="442"/>
      <c r="D239" s="442"/>
      <c r="E239" s="460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  <c r="Y239" s="442"/>
      <c r="Z239" s="442"/>
    </row>
    <row r="240" ht="19.5" customHeight="1">
      <c r="A240" s="442"/>
      <c r="B240" s="459"/>
      <c r="C240" s="442"/>
      <c r="D240" s="442"/>
      <c r="E240" s="460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  <c r="Y240" s="442"/>
      <c r="Z240" s="442"/>
    </row>
    <row r="241" ht="19.5" customHeight="1">
      <c r="A241" s="442"/>
      <c r="B241" s="459"/>
      <c r="C241" s="442"/>
      <c r="D241" s="442"/>
      <c r="E241" s="460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  <c r="Y241" s="442"/>
      <c r="Z241" s="442"/>
    </row>
    <row r="242" ht="19.5" customHeight="1">
      <c r="A242" s="442"/>
      <c r="B242" s="459"/>
      <c r="C242" s="442"/>
      <c r="D242" s="442"/>
      <c r="E242" s="460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  <c r="Y242" s="442"/>
      <c r="Z242" s="442"/>
    </row>
    <row r="243" ht="19.5" customHeight="1">
      <c r="A243" s="442"/>
      <c r="B243" s="459"/>
      <c r="C243" s="442"/>
      <c r="D243" s="442"/>
      <c r="E243" s="460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</row>
    <row r="244" ht="19.5" customHeight="1">
      <c r="A244" s="442"/>
      <c r="B244" s="459"/>
      <c r="C244" s="442"/>
      <c r="D244" s="442"/>
      <c r="E244" s="460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  <c r="Y244" s="442"/>
      <c r="Z244" s="442"/>
    </row>
    <row r="245" ht="19.5" customHeight="1">
      <c r="A245" s="442"/>
      <c r="B245" s="459"/>
      <c r="C245" s="442"/>
      <c r="D245" s="442"/>
      <c r="E245" s="460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  <c r="Y245" s="442"/>
      <c r="Z245" s="442"/>
    </row>
    <row r="246" ht="19.5" customHeight="1">
      <c r="A246" s="442"/>
      <c r="B246" s="459"/>
      <c r="C246" s="442"/>
      <c r="D246" s="442"/>
      <c r="E246" s="460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  <c r="Y246" s="442"/>
      <c r="Z246" s="442"/>
    </row>
    <row r="247" ht="19.5" customHeight="1">
      <c r="A247" s="442"/>
      <c r="B247" s="459"/>
      <c r="C247" s="442"/>
      <c r="D247" s="442"/>
      <c r="E247" s="460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  <c r="Y247" s="442"/>
      <c r="Z247" s="442"/>
    </row>
    <row r="248" ht="19.5" customHeight="1">
      <c r="A248" s="442"/>
      <c r="B248" s="459"/>
      <c r="C248" s="442"/>
      <c r="D248" s="442"/>
      <c r="E248" s="460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  <c r="Y248" s="442"/>
      <c r="Z248" s="442"/>
    </row>
    <row r="249" ht="19.5" customHeight="1">
      <c r="A249" s="442"/>
      <c r="B249" s="459"/>
      <c r="C249" s="442"/>
      <c r="D249" s="442"/>
      <c r="E249" s="460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  <c r="Y249" s="442"/>
      <c r="Z249" s="442"/>
    </row>
    <row r="250" ht="19.5" customHeight="1">
      <c r="A250" s="442"/>
      <c r="B250" s="459"/>
      <c r="C250" s="442"/>
      <c r="D250" s="442"/>
      <c r="E250" s="460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</row>
    <row r="251" ht="19.5" customHeight="1">
      <c r="A251" s="442"/>
      <c r="B251" s="459"/>
      <c r="C251" s="442"/>
      <c r="D251" s="442"/>
      <c r="E251" s="460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  <c r="Y251" s="442"/>
      <c r="Z251" s="442"/>
    </row>
    <row r="252" ht="19.5" customHeight="1">
      <c r="A252" s="442"/>
      <c r="B252" s="459"/>
      <c r="C252" s="442"/>
      <c r="D252" s="442"/>
      <c r="E252" s="460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  <c r="Y252" s="442"/>
      <c r="Z252" s="442"/>
    </row>
    <row r="253" ht="19.5" customHeight="1">
      <c r="A253" s="442"/>
      <c r="B253" s="459"/>
      <c r="C253" s="442"/>
      <c r="D253" s="442"/>
      <c r="E253" s="460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  <c r="Y253" s="442"/>
      <c r="Z253" s="442"/>
    </row>
    <row r="254" ht="19.5" customHeight="1">
      <c r="A254" s="442"/>
      <c r="B254" s="459"/>
      <c r="C254" s="442"/>
      <c r="D254" s="442"/>
      <c r="E254" s="460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  <c r="Y254" s="442"/>
      <c r="Z254" s="442"/>
    </row>
    <row r="255" ht="19.5" customHeight="1">
      <c r="A255" s="442"/>
      <c r="B255" s="459"/>
      <c r="C255" s="442"/>
      <c r="D255" s="442"/>
      <c r="E255" s="460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  <c r="Y255" s="442"/>
      <c r="Z255" s="442"/>
    </row>
    <row r="256" ht="19.5" customHeight="1">
      <c r="A256" s="442"/>
      <c r="B256" s="459"/>
      <c r="C256" s="442"/>
      <c r="D256" s="442"/>
      <c r="E256" s="460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  <c r="Y256" s="442"/>
      <c r="Z256" s="442"/>
    </row>
    <row r="257" ht="19.5" customHeight="1">
      <c r="A257" s="442"/>
      <c r="B257" s="459"/>
      <c r="C257" s="442"/>
      <c r="D257" s="442"/>
      <c r="E257" s="460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  <c r="Y257" s="442"/>
      <c r="Z257" s="442"/>
    </row>
    <row r="258" ht="19.5" customHeight="1">
      <c r="A258" s="442"/>
      <c r="B258" s="459"/>
      <c r="C258" s="442"/>
      <c r="D258" s="442"/>
      <c r="E258" s="460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  <c r="Y258" s="442"/>
      <c r="Z258" s="442"/>
    </row>
    <row r="259" ht="19.5" customHeight="1">
      <c r="A259" s="442"/>
      <c r="B259" s="459"/>
      <c r="C259" s="442"/>
      <c r="D259" s="442"/>
      <c r="E259" s="460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  <c r="Y259" s="442"/>
      <c r="Z259" s="442"/>
    </row>
    <row r="260" ht="19.5" customHeight="1">
      <c r="A260" s="442"/>
      <c r="B260" s="459"/>
      <c r="C260" s="442"/>
      <c r="D260" s="442"/>
      <c r="E260" s="460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  <c r="Y260" s="442"/>
      <c r="Z260" s="442"/>
    </row>
    <row r="261" ht="19.5" customHeight="1">
      <c r="A261" s="442"/>
      <c r="B261" s="459"/>
      <c r="C261" s="442"/>
      <c r="D261" s="442"/>
      <c r="E261" s="460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  <c r="Y261" s="442"/>
      <c r="Z261" s="442"/>
    </row>
    <row r="262" ht="19.5" customHeight="1">
      <c r="A262" s="442"/>
      <c r="B262" s="459"/>
      <c r="C262" s="442"/>
      <c r="D262" s="442"/>
      <c r="E262" s="460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  <c r="Y262" s="442"/>
      <c r="Z262" s="442"/>
    </row>
    <row r="263" ht="19.5" customHeight="1">
      <c r="A263" s="442"/>
      <c r="B263" s="459"/>
      <c r="C263" s="442"/>
      <c r="D263" s="442"/>
      <c r="E263" s="460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  <c r="Y263" s="442"/>
      <c r="Z263" s="442"/>
    </row>
    <row r="264" ht="19.5" customHeight="1">
      <c r="A264" s="442"/>
      <c r="B264" s="459"/>
      <c r="C264" s="442"/>
      <c r="D264" s="442"/>
      <c r="E264" s="460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  <c r="Y264" s="442"/>
      <c r="Z264" s="442"/>
    </row>
    <row r="265" ht="19.5" customHeight="1">
      <c r="A265" s="442"/>
      <c r="B265" s="459"/>
      <c r="C265" s="442"/>
      <c r="D265" s="442"/>
      <c r="E265" s="460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  <c r="Y265" s="442"/>
      <c r="Z265" s="442"/>
    </row>
    <row r="266" ht="19.5" customHeight="1">
      <c r="A266" s="442"/>
      <c r="B266" s="459"/>
      <c r="C266" s="442"/>
      <c r="D266" s="442"/>
      <c r="E266" s="460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  <c r="Y266" s="442"/>
      <c r="Z266" s="442"/>
    </row>
    <row r="267" ht="19.5" customHeight="1">
      <c r="A267" s="442"/>
      <c r="B267" s="459"/>
      <c r="C267" s="442"/>
      <c r="D267" s="442"/>
      <c r="E267" s="460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  <c r="Y267" s="442"/>
      <c r="Z267" s="442"/>
    </row>
    <row r="268" ht="19.5" customHeight="1">
      <c r="A268" s="442"/>
      <c r="B268" s="459"/>
      <c r="C268" s="442"/>
      <c r="D268" s="442"/>
      <c r="E268" s="460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  <c r="Y268" s="442"/>
      <c r="Z268" s="442"/>
    </row>
    <row r="269" ht="19.5" customHeight="1">
      <c r="A269" s="442"/>
      <c r="B269" s="459"/>
      <c r="C269" s="442"/>
      <c r="D269" s="442"/>
      <c r="E269" s="460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  <c r="Y269" s="442"/>
      <c r="Z269" s="442"/>
    </row>
    <row r="270" ht="19.5" customHeight="1">
      <c r="A270" s="442"/>
      <c r="B270" s="459"/>
      <c r="C270" s="442"/>
      <c r="D270" s="442"/>
      <c r="E270" s="460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  <c r="Y270" s="442"/>
      <c r="Z270" s="442"/>
    </row>
    <row r="271" ht="19.5" customHeight="1">
      <c r="A271" s="442"/>
      <c r="B271" s="459"/>
      <c r="C271" s="442"/>
      <c r="D271" s="442"/>
      <c r="E271" s="460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  <c r="Y271" s="442"/>
      <c r="Z271" s="442"/>
    </row>
    <row r="272" ht="19.5" customHeight="1">
      <c r="A272" s="442"/>
      <c r="B272" s="459"/>
      <c r="C272" s="442"/>
      <c r="D272" s="442"/>
      <c r="E272" s="460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  <c r="Y272" s="442"/>
      <c r="Z272" s="442"/>
    </row>
    <row r="273" ht="19.5" customHeight="1">
      <c r="A273" s="442"/>
      <c r="B273" s="459"/>
      <c r="C273" s="442"/>
      <c r="D273" s="442"/>
      <c r="E273" s="460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  <c r="Y273" s="442"/>
      <c r="Z273" s="442"/>
    </row>
    <row r="274" ht="19.5" customHeight="1">
      <c r="A274" s="442"/>
      <c r="B274" s="459"/>
      <c r="C274" s="442"/>
      <c r="D274" s="442"/>
      <c r="E274" s="460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  <c r="Y274" s="442"/>
      <c r="Z274" s="442"/>
    </row>
    <row r="275" ht="19.5" customHeight="1">
      <c r="A275" s="442"/>
      <c r="B275" s="459"/>
      <c r="C275" s="442"/>
      <c r="D275" s="442"/>
      <c r="E275" s="460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  <c r="Y275" s="442"/>
      <c r="Z275" s="442"/>
    </row>
    <row r="276" ht="19.5" customHeight="1">
      <c r="A276" s="442"/>
      <c r="B276" s="459"/>
      <c r="C276" s="442"/>
      <c r="D276" s="442"/>
      <c r="E276" s="460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  <c r="Y276" s="442"/>
      <c r="Z276" s="442"/>
    </row>
    <row r="277" ht="19.5" customHeight="1">
      <c r="A277" s="442"/>
      <c r="B277" s="459"/>
      <c r="C277" s="442"/>
      <c r="D277" s="442"/>
      <c r="E277" s="460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  <c r="Y277" s="442"/>
      <c r="Z277" s="442"/>
    </row>
    <row r="278" ht="19.5" customHeight="1">
      <c r="A278" s="442"/>
      <c r="B278" s="459"/>
      <c r="C278" s="442"/>
      <c r="D278" s="442"/>
      <c r="E278" s="460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  <c r="Y278" s="442"/>
      <c r="Z278" s="442"/>
    </row>
    <row r="279" ht="19.5" customHeight="1">
      <c r="A279" s="442"/>
      <c r="B279" s="459"/>
      <c r="C279" s="442"/>
      <c r="D279" s="442"/>
      <c r="E279" s="460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  <c r="Y279" s="442"/>
      <c r="Z279" s="442"/>
    </row>
    <row r="280" ht="19.5" customHeight="1">
      <c r="A280" s="442"/>
      <c r="B280" s="459"/>
      <c r="C280" s="442"/>
      <c r="D280" s="442"/>
      <c r="E280" s="460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  <c r="Y280" s="442"/>
      <c r="Z280" s="442"/>
    </row>
    <row r="281" ht="19.5" customHeight="1">
      <c r="A281" s="442"/>
      <c r="B281" s="459"/>
      <c r="C281" s="442"/>
      <c r="D281" s="442"/>
      <c r="E281" s="460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  <c r="Y281" s="442"/>
      <c r="Z281" s="442"/>
    </row>
    <row r="282" ht="19.5" customHeight="1">
      <c r="A282" s="442"/>
      <c r="B282" s="459"/>
      <c r="C282" s="442"/>
      <c r="D282" s="442"/>
      <c r="E282" s="460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  <c r="Y282" s="442"/>
      <c r="Z282" s="442"/>
    </row>
    <row r="283" ht="19.5" customHeight="1">
      <c r="A283" s="442"/>
      <c r="B283" s="459"/>
      <c r="C283" s="442"/>
      <c r="D283" s="442"/>
      <c r="E283" s="460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  <c r="Y283" s="442"/>
      <c r="Z283" s="442"/>
    </row>
    <row r="284" ht="19.5" customHeight="1">
      <c r="A284" s="442"/>
      <c r="B284" s="459"/>
      <c r="C284" s="442"/>
      <c r="D284" s="442"/>
      <c r="E284" s="460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  <c r="Y284" s="442"/>
      <c r="Z284" s="442"/>
    </row>
    <row r="285" ht="19.5" customHeight="1">
      <c r="A285" s="442"/>
      <c r="B285" s="459"/>
      <c r="C285" s="442"/>
      <c r="D285" s="442"/>
      <c r="E285" s="460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  <c r="Y285" s="442"/>
      <c r="Z285" s="442"/>
    </row>
    <row r="286" ht="19.5" customHeight="1">
      <c r="A286" s="442"/>
      <c r="B286" s="459"/>
      <c r="C286" s="442"/>
      <c r="D286" s="442"/>
      <c r="E286" s="460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</row>
    <row r="287" ht="19.5" customHeight="1">
      <c r="A287" s="442"/>
      <c r="B287" s="459"/>
      <c r="C287" s="442"/>
      <c r="D287" s="442"/>
      <c r="E287" s="460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  <c r="Y287" s="442"/>
      <c r="Z287" s="442"/>
    </row>
    <row r="288" ht="19.5" customHeight="1">
      <c r="A288" s="442"/>
      <c r="B288" s="459"/>
      <c r="C288" s="442"/>
      <c r="D288" s="442"/>
      <c r="E288" s="460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  <c r="Y288" s="442"/>
      <c r="Z288" s="442"/>
    </row>
    <row r="289" ht="19.5" customHeight="1">
      <c r="A289" s="442"/>
      <c r="B289" s="459"/>
      <c r="C289" s="442"/>
      <c r="D289" s="442"/>
      <c r="E289" s="460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  <c r="Y289" s="442"/>
      <c r="Z289" s="442"/>
    </row>
    <row r="290" ht="19.5" customHeight="1">
      <c r="A290" s="442"/>
      <c r="B290" s="459"/>
      <c r="C290" s="442"/>
      <c r="D290" s="442"/>
      <c r="E290" s="460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  <c r="Y290" s="442"/>
      <c r="Z290" s="442"/>
    </row>
    <row r="291" ht="19.5" customHeight="1">
      <c r="A291" s="442"/>
      <c r="B291" s="459"/>
      <c r="C291" s="442"/>
      <c r="D291" s="442"/>
      <c r="E291" s="460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  <c r="Y291" s="442"/>
      <c r="Z291" s="442"/>
    </row>
    <row r="292" ht="19.5" customHeight="1">
      <c r="A292" s="442"/>
      <c r="B292" s="459"/>
      <c r="C292" s="442"/>
      <c r="D292" s="442"/>
      <c r="E292" s="460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  <c r="Y292" s="442"/>
      <c r="Z292" s="442"/>
    </row>
    <row r="293" ht="19.5" customHeight="1">
      <c r="A293" s="442"/>
      <c r="B293" s="459"/>
      <c r="C293" s="442"/>
      <c r="D293" s="442"/>
      <c r="E293" s="460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  <c r="Y293" s="442"/>
      <c r="Z293" s="442"/>
    </row>
    <row r="294" ht="19.5" customHeight="1">
      <c r="A294" s="442"/>
      <c r="B294" s="459"/>
      <c r="C294" s="442"/>
      <c r="D294" s="442"/>
      <c r="E294" s="460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  <c r="Y294" s="442"/>
      <c r="Z294" s="442"/>
    </row>
    <row r="295" ht="19.5" customHeight="1">
      <c r="A295" s="442"/>
      <c r="B295" s="459"/>
      <c r="C295" s="442"/>
      <c r="D295" s="442"/>
      <c r="E295" s="460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  <c r="Y295" s="442"/>
      <c r="Z295" s="442"/>
    </row>
    <row r="296" ht="19.5" customHeight="1">
      <c r="A296" s="442"/>
      <c r="B296" s="459"/>
      <c r="C296" s="442"/>
      <c r="D296" s="442"/>
      <c r="E296" s="460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  <c r="Y296" s="442"/>
      <c r="Z296" s="442"/>
    </row>
    <row r="297" ht="19.5" customHeight="1">
      <c r="A297" s="442"/>
      <c r="B297" s="459"/>
      <c r="C297" s="442"/>
      <c r="D297" s="442"/>
      <c r="E297" s="460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  <c r="Y297" s="442"/>
      <c r="Z297" s="442"/>
    </row>
    <row r="298" ht="19.5" customHeight="1">
      <c r="A298" s="442"/>
      <c r="B298" s="459"/>
      <c r="C298" s="442"/>
      <c r="D298" s="442"/>
      <c r="E298" s="460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  <c r="Y298" s="442"/>
      <c r="Z298" s="442"/>
    </row>
    <row r="299" ht="19.5" customHeight="1">
      <c r="A299" s="442"/>
      <c r="B299" s="459"/>
      <c r="C299" s="442"/>
      <c r="D299" s="442"/>
      <c r="E299" s="460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  <c r="Y299" s="442"/>
      <c r="Z299" s="442"/>
    </row>
    <row r="300" ht="19.5" customHeight="1">
      <c r="A300" s="442"/>
      <c r="B300" s="459"/>
      <c r="C300" s="442"/>
      <c r="D300" s="442"/>
      <c r="E300" s="460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  <c r="Y300" s="442"/>
      <c r="Z300" s="442"/>
    </row>
    <row r="301" ht="19.5" customHeight="1">
      <c r="A301" s="442"/>
      <c r="B301" s="459"/>
      <c r="C301" s="442"/>
      <c r="D301" s="442"/>
      <c r="E301" s="460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  <c r="Y301" s="442"/>
      <c r="Z301" s="442"/>
    </row>
    <row r="302" ht="19.5" customHeight="1">
      <c r="A302" s="442"/>
      <c r="B302" s="459"/>
      <c r="C302" s="442"/>
      <c r="D302" s="442"/>
      <c r="E302" s="460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  <c r="Y302" s="442"/>
      <c r="Z302" s="442"/>
    </row>
    <row r="303" ht="19.5" customHeight="1">
      <c r="A303" s="442"/>
      <c r="B303" s="459"/>
      <c r="C303" s="442"/>
      <c r="D303" s="442"/>
      <c r="E303" s="460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  <c r="Y303" s="442"/>
      <c r="Z303" s="442"/>
    </row>
    <row r="304" ht="19.5" customHeight="1">
      <c r="A304" s="442"/>
      <c r="B304" s="459"/>
      <c r="C304" s="442"/>
      <c r="D304" s="442"/>
      <c r="E304" s="460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  <c r="Y304" s="442"/>
      <c r="Z304" s="442"/>
    </row>
    <row r="305" ht="19.5" customHeight="1">
      <c r="A305" s="442"/>
      <c r="B305" s="459"/>
      <c r="C305" s="442"/>
      <c r="D305" s="442"/>
      <c r="E305" s="460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  <c r="Y305" s="442"/>
      <c r="Z305" s="442"/>
    </row>
    <row r="306" ht="19.5" customHeight="1">
      <c r="A306" s="442"/>
      <c r="B306" s="459"/>
      <c r="C306" s="442"/>
      <c r="D306" s="442"/>
      <c r="E306" s="460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  <c r="Y306" s="442"/>
      <c r="Z306" s="442"/>
    </row>
    <row r="307" ht="19.5" customHeight="1">
      <c r="A307" s="442"/>
      <c r="B307" s="459"/>
      <c r="C307" s="442"/>
      <c r="D307" s="442"/>
      <c r="E307" s="460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  <c r="Y307" s="442"/>
      <c r="Z307" s="442"/>
    </row>
    <row r="308" ht="19.5" customHeight="1">
      <c r="A308" s="442"/>
      <c r="B308" s="459"/>
      <c r="C308" s="442"/>
      <c r="D308" s="442"/>
      <c r="E308" s="460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</row>
    <row r="309" ht="19.5" customHeight="1">
      <c r="A309" s="442"/>
      <c r="B309" s="459"/>
      <c r="C309" s="442"/>
      <c r="D309" s="442"/>
      <c r="E309" s="460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  <c r="Y309" s="442"/>
      <c r="Z309" s="442"/>
    </row>
    <row r="310" ht="19.5" customHeight="1">
      <c r="A310" s="442"/>
      <c r="B310" s="459"/>
      <c r="C310" s="442"/>
      <c r="D310" s="442"/>
      <c r="E310" s="460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  <c r="Y310" s="442"/>
      <c r="Z310" s="442"/>
    </row>
    <row r="311" ht="19.5" customHeight="1">
      <c r="A311" s="442"/>
      <c r="B311" s="459"/>
      <c r="C311" s="442"/>
      <c r="D311" s="442"/>
      <c r="E311" s="460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  <c r="Y311" s="442"/>
      <c r="Z311" s="442"/>
    </row>
    <row r="312" ht="19.5" customHeight="1">
      <c r="A312" s="442"/>
      <c r="B312" s="459"/>
      <c r="C312" s="442"/>
      <c r="D312" s="442"/>
      <c r="E312" s="460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  <c r="Y312" s="442"/>
      <c r="Z312" s="442"/>
    </row>
    <row r="313" ht="19.5" customHeight="1">
      <c r="A313" s="442"/>
      <c r="B313" s="459"/>
      <c r="C313" s="442"/>
      <c r="D313" s="442"/>
      <c r="E313" s="460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  <c r="Y313" s="442"/>
      <c r="Z313" s="442"/>
    </row>
    <row r="314" ht="19.5" customHeight="1">
      <c r="A314" s="442"/>
      <c r="B314" s="459"/>
      <c r="C314" s="442"/>
      <c r="D314" s="442"/>
      <c r="E314" s="460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  <c r="Y314" s="442"/>
      <c r="Z314" s="442"/>
    </row>
    <row r="315" ht="19.5" customHeight="1">
      <c r="A315" s="442"/>
      <c r="B315" s="459"/>
      <c r="C315" s="442"/>
      <c r="D315" s="442"/>
      <c r="E315" s="460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  <c r="Y315" s="442"/>
      <c r="Z315" s="442"/>
    </row>
    <row r="316" ht="19.5" customHeight="1">
      <c r="A316" s="442"/>
      <c r="B316" s="459"/>
      <c r="C316" s="442"/>
      <c r="D316" s="442"/>
      <c r="E316" s="460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  <c r="Y316" s="442"/>
      <c r="Z316" s="442"/>
    </row>
    <row r="317" ht="19.5" customHeight="1">
      <c r="A317" s="442"/>
      <c r="B317" s="459"/>
      <c r="C317" s="442"/>
      <c r="D317" s="442"/>
      <c r="E317" s="460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  <c r="Y317" s="442"/>
      <c r="Z317" s="442"/>
    </row>
    <row r="318" ht="19.5" customHeight="1">
      <c r="A318" s="442"/>
      <c r="B318" s="459"/>
      <c r="C318" s="442"/>
      <c r="D318" s="442"/>
      <c r="E318" s="460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  <c r="Y318" s="442"/>
      <c r="Z318" s="442"/>
    </row>
    <row r="319" ht="19.5" customHeight="1">
      <c r="A319" s="442"/>
      <c r="B319" s="459"/>
      <c r="C319" s="442"/>
      <c r="D319" s="442"/>
      <c r="E319" s="460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  <c r="Y319" s="442"/>
      <c r="Z319" s="442"/>
    </row>
    <row r="320" ht="19.5" customHeight="1">
      <c r="A320" s="442"/>
      <c r="B320" s="459"/>
      <c r="C320" s="442"/>
      <c r="D320" s="442"/>
      <c r="E320" s="460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  <c r="Y320" s="442"/>
      <c r="Z320" s="442"/>
    </row>
    <row r="321" ht="19.5" customHeight="1">
      <c r="A321" s="442"/>
      <c r="B321" s="459"/>
      <c r="C321" s="442"/>
      <c r="D321" s="442"/>
      <c r="E321" s="460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  <c r="Y321" s="442"/>
      <c r="Z321" s="442"/>
    </row>
    <row r="322" ht="19.5" customHeight="1">
      <c r="A322" s="442"/>
      <c r="B322" s="459"/>
      <c r="C322" s="442"/>
      <c r="D322" s="442"/>
      <c r="E322" s="460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  <c r="Y322" s="442"/>
      <c r="Z322" s="442"/>
    </row>
    <row r="323" ht="19.5" customHeight="1">
      <c r="A323" s="442"/>
      <c r="B323" s="459"/>
      <c r="C323" s="442"/>
      <c r="D323" s="442"/>
      <c r="E323" s="460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  <c r="Y323" s="442"/>
      <c r="Z323" s="442"/>
    </row>
    <row r="324" ht="19.5" customHeight="1">
      <c r="A324" s="442"/>
      <c r="B324" s="459"/>
      <c r="C324" s="442"/>
      <c r="D324" s="442"/>
      <c r="E324" s="460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  <c r="Y324" s="442"/>
      <c r="Z324" s="442"/>
    </row>
    <row r="325" ht="19.5" customHeight="1">
      <c r="A325" s="442"/>
      <c r="B325" s="459"/>
      <c r="C325" s="442"/>
      <c r="D325" s="442"/>
      <c r="E325" s="460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  <c r="Y325" s="442"/>
      <c r="Z325" s="442"/>
    </row>
    <row r="326" ht="19.5" customHeight="1">
      <c r="A326" s="442"/>
      <c r="B326" s="459"/>
      <c r="C326" s="442"/>
      <c r="D326" s="442"/>
      <c r="E326" s="460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  <c r="Y326" s="442"/>
      <c r="Z326" s="442"/>
    </row>
    <row r="327" ht="19.5" customHeight="1">
      <c r="A327" s="442"/>
      <c r="B327" s="459"/>
      <c r="C327" s="442"/>
      <c r="D327" s="442"/>
      <c r="E327" s="460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  <c r="Y327" s="442"/>
      <c r="Z327" s="442"/>
    </row>
    <row r="328" ht="19.5" customHeight="1">
      <c r="A328" s="442"/>
      <c r="B328" s="459"/>
      <c r="C328" s="442"/>
      <c r="D328" s="442"/>
      <c r="E328" s="460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  <c r="Y328" s="442"/>
      <c r="Z328" s="442"/>
    </row>
    <row r="329" ht="19.5" customHeight="1">
      <c r="A329" s="442"/>
      <c r="B329" s="459"/>
      <c r="C329" s="442"/>
      <c r="D329" s="442"/>
      <c r="E329" s="460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  <c r="Y329" s="442"/>
      <c r="Z329" s="442"/>
    </row>
    <row r="330" ht="19.5" customHeight="1">
      <c r="A330" s="442"/>
      <c r="B330" s="459"/>
      <c r="C330" s="442"/>
      <c r="D330" s="442"/>
      <c r="E330" s="460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  <c r="Y330" s="442"/>
      <c r="Z330" s="442"/>
    </row>
    <row r="331" ht="19.5" customHeight="1">
      <c r="A331" s="442"/>
      <c r="B331" s="459"/>
      <c r="C331" s="442"/>
      <c r="D331" s="442"/>
      <c r="E331" s="460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  <c r="Y331" s="442"/>
      <c r="Z331" s="442"/>
    </row>
    <row r="332" ht="19.5" customHeight="1">
      <c r="A332" s="442"/>
      <c r="B332" s="459"/>
      <c r="C332" s="442"/>
      <c r="D332" s="442"/>
      <c r="E332" s="460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  <c r="Y332" s="442"/>
      <c r="Z332" s="442"/>
    </row>
    <row r="333" ht="19.5" customHeight="1">
      <c r="A333" s="442"/>
      <c r="B333" s="459"/>
      <c r="C333" s="442"/>
      <c r="D333" s="442"/>
      <c r="E333" s="460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  <c r="Y333" s="442"/>
      <c r="Z333" s="442"/>
    </row>
    <row r="334" ht="19.5" customHeight="1">
      <c r="A334" s="442"/>
      <c r="B334" s="459"/>
      <c r="C334" s="442"/>
      <c r="D334" s="442"/>
      <c r="E334" s="460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  <c r="Y334" s="442"/>
      <c r="Z334" s="442"/>
    </row>
    <row r="335" ht="19.5" customHeight="1">
      <c r="A335" s="442"/>
      <c r="B335" s="459"/>
      <c r="C335" s="442"/>
      <c r="D335" s="442"/>
      <c r="E335" s="460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  <c r="Y335" s="442"/>
      <c r="Z335" s="442"/>
    </row>
    <row r="336" ht="19.5" customHeight="1">
      <c r="A336" s="442"/>
      <c r="B336" s="459"/>
      <c r="C336" s="442"/>
      <c r="D336" s="442"/>
      <c r="E336" s="460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  <c r="Y336" s="442"/>
      <c r="Z336" s="442"/>
    </row>
    <row r="337" ht="19.5" customHeight="1">
      <c r="A337" s="442"/>
      <c r="B337" s="459"/>
      <c r="C337" s="442"/>
      <c r="D337" s="442"/>
      <c r="E337" s="460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  <c r="Y337" s="442"/>
      <c r="Z337" s="442"/>
    </row>
    <row r="338" ht="19.5" customHeight="1">
      <c r="A338" s="442"/>
      <c r="B338" s="459"/>
      <c r="C338" s="442"/>
      <c r="D338" s="442"/>
      <c r="E338" s="460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  <c r="Y338" s="442"/>
      <c r="Z338" s="442"/>
    </row>
    <row r="339" ht="19.5" customHeight="1">
      <c r="A339" s="442"/>
      <c r="B339" s="459"/>
      <c r="C339" s="442"/>
      <c r="D339" s="442"/>
      <c r="E339" s="460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  <c r="Y339" s="442"/>
      <c r="Z339" s="442"/>
    </row>
    <row r="340" ht="19.5" customHeight="1">
      <c r="A340" s="442"/>
      <c r="B340" s="459"/>
      <c r="C340" s="442"/>
      <c r="D340" s="442"/>
      <c r="E340" s="460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  <c r="Y340" s="442"/>
      <c r="Z340" s="442"/>
    </row>
    <row r="341" ht="19.5" customHeight="1">
      <c r="A341" s="442"/>
      <c r="B341" s="459"/>
      <c r="C341" s="442"/>
      <c r="D341" s="442"/>
      <c r="E341" s="460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  <c r="Y341" s="442"/>
      <c r="Z341" s="442"/>
    </row>
    <row r="342" ht="19.5" customHeight="1">
      <c r="A342" s="442"/>
      <c r="B342" s="459"/>
      <c r="C342" s="442"/>
      <c r="D342" s="442"/>
      <c r="E342" s="460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  <c r="Y342" s="442"/>
      <c r="Z342" s="442"/>
    </row>
    <row r="343" ht="19.5" customHeight="1">
      <c r="A343" s="442"/>
      <c r="B343" s="459"/>
      <c r="C343" s="442"/>
      <c r="D343" s="442"/>
      <c r="E343" s="460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  <c r="Y343" s="442"/>
      <c r="Z343" s="442"/>
    </row>
    <row r="344" ht="19.5" customHeight="1">
      <c r="A344" s="442"/>
      <c r="B344" s="459"/>
      <c r="C344" s="442"/>
      <c r="D344" s="442"/>
      <c r="E344" s="460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  <c r="Y344" s="442"/>
      <c r="Z344" s="442"/>
    </row>
    <row r="345" ht="19.5" customHeight="1">
      <c r="A345" s="442"/>
      <c r="B345" s="459"/>
      <c r="C345" s="442"/>
      <c r="D345" s="442"/>
      <c r="E345" s="460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  <c r="Y345" s="442"/>
      <c r="Z345" s="442"/>
    </row>
    <row r="346" ht="19.5" customHeight="1">
      <c r="A346" s="442"/>
      <c r="B346" s="459"/>
      <c r="C346" s="442"/>
      <c r="D346" s="442"/>
      <c r="E346" s="460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  <c r="Y346" s="442"/>
      <c r="Z346" s="442"/>
    </row>
    <row r="347" ht="19.5" customHeight="1">
      <c r="A347" s="442"/>
      <c r="B347" s="459"/>
      <c r="C347" s="442"/>
      <c r="D347" s="442"/>
      <c r="E347" s="460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  <c r="Y347" s="442"/>
      <c r="Z347" s="442"/>
    </row>
    <row r="348" ht="19.5" customHeight="1">
      <c r="A348" s="442"/>
      <c r="B348" s="459"/>
      <c r="C348" s="442"/>
      <c r="D348" s="442"/>
      <c r="E348" s="460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  <c r="Y348" s="442"/>
      <c r="Z348" s="442"/>
    </row>
    <row r="349" ht="19.5" customHeight="1">
      <c r="A349" s="442"/>
      <c r="B349" s="459"/>
      <c r="C349" s="442"/>
      <c r="D349" s="442"/>
      <c r="E349" s="460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  <c r="Y349" s="442"/>
      <c r="Z349" s="442"/>
    </row>
    <row r="350" ht="19.5" customHeight="1">
      <c r="A350" s="442"/>
      <c r="B350" s="459"/>
      <c r="C350" s="442"/>
      <c r="D350" s="442"/>
      <c r="E350" s="460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  <c r="Y350" s="442"/>
      <c r="Z350" s="442"/>
    </row>
    <row r="351" ht="19.5" customHeight="1">
      <c r="A351" s="442"/>
      <c r="B351" s="459"/>
      <c r="C351" s="442"/>
      <c r="D351" s="442"/>
      <c r="E351" s="460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  <c r="Y351" s="442"/>
      <c r="Z351" s="442"/>
    </row>
    <row r="352" ht="19.5" customHeight="1">
      <c r="A352" s="442"/>
      <c r="B352" s="459"/>
      <c r="C352" s="442"/>
      <c r="D352" s="442"/>
      <c r="E352" s="460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  <c r="Y352" s="442"/>
      <c r="Z352" s="442"/>
    </row>
    <row r="353" ht="19.5" customHeight="1">
      <c r="A353" s="442"/>
      <c r="B353" s="459"/>
      <c r="C353" s="442"/>
      <c r="D353" s="442"/>
      <c r="E353" s="460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  <c r="Y353" s="442"/>
      <c r="Z353" s="442"/>
    </row>
    <row r="354" ht="19.5" customHeight="1">
      <c r="A354" s="442"/>
      <c r="B354" s="459"/>
      <c r="C354" s="442"/>
      <c r="D354" s="442"/>
      <c r="E354" s="460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  <c r="Y354" s="442"/>
      <c r="Z354" s="442"/>
    </row>
    <row r="355" ht="19.5" customHeight="1">
      <c r="A355" s="442"/>
      <c r="B355" s="459"/>
      <c r="C355" s="442"/>
      <c r="D355" s="442"/>
      <c r="E355" s="460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  <c r="Y355" s="442"/>
      <c r="Z355" s="442"/>
    </row>
    <row r="356" ht="19.5" customHeight="1">
      <c r="A356" s="442"/>
      <c r="B356" s="459"/>
      <c r="C356" s="442"/>
      <c r="D356" s="442"/>
      <c r="E356" s="460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  <c r="Y356" s="442"/>
      <c r="Z356" s="442"/>
    </row>
    <row r="357" ht="19.5" customHeight="1">
      <c r="A357" s="442"/>
      <c r="B357" s="459"/>
      <c r="C357" s="442"/>
      <c r="D357" s="442"/>
      <c r="E357" s="460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  <c r="Y357" s="442"/>
      <c r="Z357" s="442"/>
    </row>
    <row r="358" ht="19.5" customHeight="1">
      <c r="A358" s="442"/>
      <c r="B358" s="459"/>
      <c r="C358" s="442"/>
      <c r="D358" s="442"/>
      <c r="E358" s="460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  <c r="Y358" s="442"/>
      <c r="Z358" s="442"/>
    </row>
    <row r="359" ht="19.5" customHeight="1">
      <c r="A359" s="442"/>
      <c r="B359" s="459"/>
      <c r="C359" s="442"/>
      <c r="D359" s="442"/>
      <c r="E359" s="460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  <c r="Y359" s="442"/>
      <c r="Z359" s="442"/>
    </row>
    <row r="360" ht="19.5" customHeight="1">
      <c r="A360" s="442"/>
      <c r="B360" s="459"/>
      <c r="C360" s="442"/>
      <c r="D360" s="442"/>
      <c r="E360" s="460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  <c r="Y360" s="442"/>
      <c r="Z360" s="442"/>
    </row>
    <row r="361" ht="19.5" customHeight="1">
      <c r="A361" s="442"/>
      <c r="B361" s="459"/>
      <c r="C361" s="442"/>
      <c r="D361" s="442"/>
      <c r="E361" s="460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  <c r="Y361" s="442"/>
      <c r="Z361" s="442"/>
    </row>
    <row r="362" ht="19.5" customHeight="1">
      <c r="A362" s="442"/>
      <c r="B362" s="459"/>
      <c r="C362" s="442"/>
      <c r="D362" s="442"/>
      <c r="E362" s="460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  <c r="Y362" s="442"/>
      <c r="Z362" s="442"/>
    </row>
    <row r="363" ht="19.5" customHeight="1">
      <c r="A363" s="442"/>
      <c r="B363" s="459"/>
      <c r="C363" s="442"/>
      <c r="D363" s="442"/>
      <c r="E363" s="460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  <c r="Y363" s="442"/>
      <c r="Z363" s="442"/>
    </row>
    <row r="364" ht="19.5" customHeight="1">
      <c r="A364" s="442"/>
      <c r="B364" s="459"/>
      <c r="C364" s="442"/>
      <c r="D364" s="442"/>
      <c r="E364" s="460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  <c r="Y364" s="442"/>
      <c r="Z364" s="442"/>
    </row>
    <row r="365" ht="19.5" customHeight="1">
      <c r="A365" s="442"/>
      <c r="B365" s="459"/>
      <c r="C365" s="442"/>
      <c r="D365" s="442"/>
      <c r="E365" s="460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  <c r="Y365" s="442"/>
      <c r="Z365" s="442"/>
    </row>
    <row r="366" ht="19.5" customHeight="1">
      <c r="A366" s="442"/>
      <c r="B366" s="459"/>
      <c r="C366" s="442"/>
      <c r="D366" s="442"/>
      <c r="E366" s="460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  <c r="Y366" s="442"/>
      <c r="Z366" s="442"/>
    </row>
    <row r="367" ht="19.5" customHeight="1">
      <c r="A367" s="442"/>
      <c r="B367" s="459"/>
      <c r="C367" s="442"/>
      <c r="D367" s="442"/>
      <c r="E367" s="460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  <c r="Y367" s="442"/>
      <c r="Z367" s="442"/>
    </row>
    <row r="368" ht="19.5" customHeight="1">
      <c r="A368" s="442"/>
      <c r="B368" s="459"/>
      <c r="C368" s="442"/>
      <c r="D368" s="442"/>
      <c r="E368" s="460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  <c r="Y368" s="442"/>
      <c r="Z368" s="442"/>
    </row>
    <row r="369" ht="19.5" customHeight="1">
      <c r="A369" s="442"/>
      <c r="B369" s="459"/>
      <c r="C369" s="442"/>
      <c r="D369" s="442"/>
      <c r="E369" s="460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  <c r="Y369" s="442"/>
      <c r="Z369" s="442"/>
    </row>
    <row r="370" ht="19.5" customHeight="1">
      <c r="A370" s="442"/>
      <c r="B370" s="459"/>
      <c r="C370" s="442"/>
      <c r="D370" s="442"/>
      <c r="E370" s="460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  <c r="Y370" s="442"/>
      <c r="Z370" s="442"/>
    </row>
    <row r="371" ht="19.5" customHeight="1">
      <c r="A371" s="442"/>
      <c r="B371" s="459"/>
      <c r="C371" s="442"/>
      <c r="D371" s="442"/>
      <c r="E371" s="460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  <c r="Y371" s="442"/>
      <c r="Z371" s="442"/>
    </row>
    <row r="372" ht="19.5" customHeight="1">
      <c r="A372" s="442"/>
      <c r="B372" s="459"/>
      <c r="C372" s="442"/>
      <c r="D372" s="442"/>
      <c r="E372" s="460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  <c r="Y372" s="442"/>
      <c r="Z372" s="442"/>
    </row>
    <row r="373" ht="19.5" customHeight="1">
      <c r="A373" s="442"/>
      <c r="B373" s="459"/>
      <c r="C373" s="442"/>
      <c r="D373" s="442"/>
      <c r="E373" s="460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  <c r="Y373" s="442"/>
      <c r="Z373" s="442"/>
    </row>
    <row r="374" ht="19.5" customHeight="1">
      <c r="A374" s="442"/>
      <c r="B374" s="459"/>
      <c r="C374" s="442"/>
      <c r="D374" s="442"/>
      <c r="E374" s="460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  <c r="Y374" s="442"/>
      <c r="Z374" s="442"/>
    </row>
    <row r="375" ht="19.5" customHeight="1">
      <c r="A375" s="442"/>
      <c r="B375" s="459"/>
      <c r="C375" s="442"/>
      <c r="D375" s="442"/>
      <c r="E375" s="460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  <c r="Y375" s="442"/>
      <c r="Z375" s="442"/>
    </row>
    <row r="376" ht="19.5" customHeight="1">
      <c r="A376" s="442"/>
      <c r="B376" s="459"/>
      <c r="C376" s="442"/>
      <c r="D376" s="442"/>
      <c r="E376" s="460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  <c r="Y376" s="442"/>
      <c r="Z376" s="442"/>
    </row>
    <row r="377" ht="19.5" customHeight="1">
      <c r="A377" s="442"/>
      <c r="B377" s="459"/>
      <c r="C377" s="442"/>
      <c r="D377" s="442"/>
      <c r="E377" s="460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  <c r="Y377" s="442"/>
      <c r="Z377" s="442"/>
    </row>
    <row r="378" ht="19.5" customHeight="1">
      <c r="A378" s="442"/>
      <c r="B378" s="459"/>
      <c r="C378" s="442"/>
      <c r="D378" s="442"/>
      <c r="E378" s="460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  <c r="Y378" s="442"/>
      <c r="Z378" s="442"/>
    </row>
    <row r="379" ht="19.5" customHeight="1">
      <c r="A379" s="442"/>
      <c r="B379" s="459"/>
      <c r="C379" s="442"/>
      <c r="D379" s="442"/>
      <c r="E379" s="460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  <c r="Y379" s="442"/>
      <c r="Z379" s="442"/>
    </row>
    <row r="380" ht="19.5" customHeight="1">
      <c r="A380" s="442"/>
      <c r="B380" s="459"/>
      <c r="C380" s="442"/>
      <c r="D380" s="442"/>
      <c r="E380" s="460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  <c r="Y380" s="442"/>
      <c r="Z380" s="442"/>
    </row>
    <row r="381" ht="19.5" customHeight="1">
      <c r="A381" s="442"/>
      <c r="B381" s="459"/>
      <c r="C381" s="442"/>
      <c r="D381" s="442"/>
      <c r="E381" s="460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  <c r="Y381" s="442"/>
      <c r="Z381" s="442"/>
    </row>
    <row r="382" ht="19.5" customHeight="1">
      <c r="A382" s="442"/>
      <c r="B382" s="459"/>
      <c r="C382" s="442"/>
      <c r="D382" s="442"/>
      <c r="E382" s="460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  <c r="Y382" s="442"/>
      <c r="Z382" s="442"/>
    </row>
    <row r="383" ht="19.5" customHeight="1">
      <c r="A383" s="442"/>
      <c r="B383" s="459"/>
      <c r="C383" s="442"/>
      <c r="D383" s="442"/>
      <c r="E383" s="460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  <c r="Y383" s="442"/>
      <c r="Z383" s="442"/>
    </row>
    <row r="384" ht="19.5" customHeight="1">
      <c r="A384" s="442"/>
      <c r="B384" s="459"/>
      <c r="C384" s="442"/>
      <c r="D384" s="442"/>
      <c r="E384" s="460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  <c r="Y384" s="442"/>
      <c r="Z384" s="442"/>
    </row>
    <row r="385" ht="19.5" customHeight="1">
      <c r="A385" s="442"/>
      <c r="B385" s="459"/>
      <c r="C385" s="442"/>
      <c r="D385" s="442"/>
      <c r="E385" s="460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  <c r="Y385" s="442"/>
      <c r="Z385" s="442"/>
    </row>
    <row r="386" ht="19.5" customHeight="1">
      <c r="A386" s="442"/>
      <c r="B386" s="459"/>
      <c r="C386" s="442"/>
      <c r="D386" s="442"/>
      <c r="E386" s="460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  <c r="Y386" s="442"/>
      <c r="Z386" s="442"/>
    </row>
    <row r="387" ht="19.5" customHeight="1">
      <c r="A387" s="442"/>
      <c r="B387" s="459"/>
      <c r="C387" s="442"/>
      <c r="D387" s="442"/>
      <c r="E387" s="460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  <c r="Y387" s="442"/>
      <c r="Z387" s="442"/>
    </row>
    <row r="388" ht="19.5" customHeight="1">
      <c r="A388" s="442"/>
      <c r="B388" s="459"/>
      <c r="C388" s="442"/>
      <c r="D388" s="442"/>
      <c r="E388" s="460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  <c r="Y388" s="442"/>
      <c r="Z388" s="442"/>
    </row>
    <row r="389" ht="19.5" customHeight="1">
      <c r="A389" s="442"/>
      <c r="B389" s="459"/>
      <c r="C389" s="442"/>
      <c r="D389" s="442"/>
      <c r="E389" s="460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  <c r="Y389" s="442"/>
      <c r="Z389" s="442"/>
    </row>
    <row r="390" ht="19.5" customHeight="1">
      <c r="A390" s="442"/>
      <c r="B390" s="459"/>
      <c r="C390" s="442"/>
      <c r="D390" s="442"/>
      <c r="E390" s="460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  <c r="Y390" s="442"/>
      <c r="Z390" s="442"/>
    </row>
    <row r="391" ht="19.5" customHeight="1">
      <c r="A391" s="442"/>
      <c r="B391" s="459"/>
      <c r="C391" s="442"/>
      <c r="D391" s="442"/>
      <c r="E391" s="460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  <c r="Y391" s="442"/>
      <c r="Z391" s="442"/>
    </row>
    <row r="392" ht="19.5" customHeight="1">
      <c r="A392" s="442"/>
      <c r="B392" s="459"/>
      <c r="C392" s="442"/>
      <c r="D392" s="442"/>
      <c r="E392" s="460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  <c r="Y392" s="442"/>
      <c r="Z392" s="442"/>
    </row>
    <row r="393" ht="19.5" customHeight="1">
      <c r="A393" s="442"/>
      <c r="B393" s="459"/>
      <c r="C393" s="442"/>
      <c r="D393" s="442"/>
      <c r="E393" s="460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  <c r="Y393" s="442"/>
      <c r="Z393" s="442"/>
    </row>
    <row r="394" ht="19.5" customHeight="1">
      <c r="A394" s="442"/>
      <c r="B394" s="459"/>
      <c r="C394" s="442"/>
      <c r="D394" s="442"/>
      <c r="E394" s="460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  <c r="Y394" s="442"/>
      <c r="Z394" s="442"/>
    </row>
    <row r="395" ht="19.5" customHeight="1">
      <c r="A395" s="442"/>
      <c r="B395" s="459"/>
      <c r="C395" s="442"/>
      <c r="D395" s="442"/>
      <c r="E395" s="460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  <c r="Y395" s="442"/>
      <c r="Z395" s="442"/>
    </row>
    <row r="396" ht="19.5" customHeight="1">
      <c r="A396" s="442"/>
      <c r="B396" s="459"/>
      <c r="C396" s="442"/>
      <c r="D396" s="442"/>
      <c r="E396" s="460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  <c r="Y396" s="442"/>
      <c r="Z396" s="442"/>
    </row>
    <row r="397" ht="19.5" customHeight="1">
      <c r="A397" s="442"/>
      <c r="B397" s="459"/>
      <c r="C397" s="442"/>
      <c r="D397" s="442"/>
      <c r="E397" s="460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  <c r="Y397" s="442"/>
      <c r="Z397" s="442"/>
    </row>
    <row r="398" ht="19.5" customHeight="1">
      <c r="A398" s="442"/>
      <c r="B398" s="459"/>
      <c r="C398" s="442"/>
      <c r="D398" s="442"/>
      <c r="E398" s="460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  <c r="Y398" s="442"/>
      <c r="Z398" s="442"/>
    </row>
    <row r="399" ht="19.5" customHeight="1">
      <c r="A399" s="442"/>
      <c r="B399" s="459"/>
      <c r="C399" s="442"/>
      <c r="D399" s="442"/>
      <c r="E399" s="460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  <c r="Y399" s="442"/>
      <c r="Z399" s="442"/>
    </row>
    <row r="400" ht="19.5" customHeight="1">
      <c r="A400" s="442"/>
      <c r="B400" s="459"/>
      <c r="C400" s="442"/>
      <c r="D400" s="442"/>
      <c r="E400" s="460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  <c r="Y400" s="442"/>
      <c r="Z400" s="442"/>
    </row>
    <row r="401" ht="19.5" customHeight="1">
      <c r="A401" s="442"/>
      <c r="B401" s="459"/>
      <c r="C401" s="442"/>
      <c r="D401" s="442"/>
      <c r="E401" s="460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  <c r="Y401" s="442"/>
      <c r="Z401" s="442"/>
    </row>
    <row r="402" ht="19.5" customHeight="1">
      <c r="A402" s="442"/>
      <c r="B402" s="459"/>
      <c r="C402" s="442"/>
      <c r="D402" s="442"/>
      <c r="E402" s="460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  <c r="Y402" s="442"/>
      <c r="Z402" s="442"/>
    </row>
    <row r="403" ht="19.5" customHeight="1">
      <c r="A403" s="442"/>
      <c r="B403" s="459"/>
      <c r="C403" s="442"/>
      <c r="D403" s="442"/>
      <c r="E403" s="460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  <c r="Y403" s="442"/>
      <c r="Z403" s="442"/>
    </row>
    <row r="404" ht="19.5" customHeight="1">
      <c r="A404" s="442"/>
      <c r="B404" s="459"/>
      <c r="C404" s="442"/>
      <c r="D404" s="442"/>
      <c r="E404" s="460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  <c r="Y404" s="442"/>
      <c r="Z404" s="442"/>
    </row>
    <row r="405" ht="19.5" customHeight="1">
      <c r="A405" s="442"/>
      <c r="B405" s="459"/>
      <c r="C405" s="442"/>
      <c r="D405" s="442"/>
      <c r="E405" s="460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  <c r="Y405" s="442"/>
      <c r="Z405" s="442"/>
    </row>
    <row r="406" ht="19.5" customHeight="1">
      <c r="A406" s="442"/>
      <c r="B406" s="459"/>
      <c r="C406" s="442"/>
      <c r="D406" s="442"/>
      <c r="E406" s="460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  <c r="Y406" s="442"/>
      <c r="Z406" s="442"/>
    </row>
    <row r="407" ht="19.5" customHeight="1">
      <c r="A407" s="442"/>
      <c r="B407" s="459"/>
      <c r="C407" s="442"/>
      <c r="D407" s="442"/>
      <c r="E407" s="460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  <c r="Y407" s="442"/>
      <c r="Z407" s="442"/>
    </row>
    <row r="408" ht="19.5" customHeight="1">
      <c r="A408" s="442"/>
      <c r="B408" s="459"/>
      <c r="C408" s="442"/>
      <c r="D408" s="442"/>
      <c r="E408" s="460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  <c r="Y408" s="442"/>
      <c r="Z408" s="442"/>
    </row>
    <row r="409" ht="19.5" customHeight="1">
      <c r="A409" s="442"/>
      <c r="B409" s="459"/>
      <c r="C409" s="442"/>
      <c r="D409" s="442"/>
      <c r="E409" s="460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  <c r="Y409" s="442"/>
      <c r="Z409" s="442"/>
    </row>
    <row r="410" ht="19.5" customHeight="1">
      <c r="A410" s="442"/>
      <c r="B410" s="459"/>
      <c r="C410" s="442"/>
      <c r="D410" s="442"/>
      <c r="E410" s="460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  <c r="Y410" s="442"/>
      <c r="Z410" s="442"/>
    </row>
    <row r="411" ht="19.5" customHeight="1">
      <c r="A411" s="442"/>
      <c r="B411" s="459"/>
      <c r="C411" s="442"/>
      <c r="D411" s="442"/>
      <c r="E411" s="460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  <c r="Y411" s="442"/>
      <c r="Z411" s="442"/>
    </row>
    <row r="412" ht="19.5" customHeight="1">
      <c r="A412" s="442"/>
      <c r="B412" s="459"/>
      <c r="C412" s="442"/>
      <c r="D412" s="442"/>
      <c r="E412" s="460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  <c r="Y412" s="442"/>
      <c r="Z412" s="442"/>
    </row>
    <row r="413" ht="19.5" customHeight="1">
      <c r="A413" s="442"/>
      <c r="B413" s="459"/>
      <c r="C413" s="442"/>
      <c r="D413" s="442"/>
      <c r="E413" s="460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  <c r="Y413" s="442"/>
      <c r="Z413" s="442"/>
    </row>
    <row r="414" ht="19.5" customHeight="1">
      <c r="A414" s="442"/>
      <c r="B414" s="459"/>
      <c r="C414" s="442"/>
      <c r="D414" s="442"/>
      <c r="E414" s="460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  <c r="Y414" s="442"/>
      <c r="Z414" s="442"/>
    </row>
    <row r="415" ht="19.5" customHeight="1">
      <c r="A415" s="442"/>
      <c r="B415" s="459"/>
      <c r="C415" s="442"/>
      <c r="D415" s="442"/>
      <c r="E415" s="460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  <c r="Y415" s="442"/>
      <c r="Z415" s="442"/>
    </row>
    <row r="416" ht="19.5" customHeight="1">
      <c r="A416" s="442"/>
      <c r="B416" s="459"/>
      <c r="C416" s="442"/>
      <c r="D416" s="442"/>
      <c r="E416" s="460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  <c r="Y416" s="442"/>
      <c r="Z416" s="442"/>
    </row>
    <row r="417" ht="19.5" customHeight="1">
      <c r="A417" s="442"/>
      <c r="B417" s="459"/>
      <c r="C417" s="442"/>
      <c r="D417" s="442"/>
      <c r="E417" s="460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  <c r="Y417" s="442"/>
      <c r="Z417" s="442"/>
    </row>
    <row r="418" ht="19.5" customHeight="1">
      <c r="A418" s="442"/>
      <c r="B418" s="459"/>
      <c r="C418" s="442"/>
      <c r="D418" s="442"/>
      <c r="E418" s="460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  <c r="Y418" s="442"/>
      <c r="Z418" s="442"/>
    </row>
    <row r="419" ht="19.5" customHeight="1">
      <c r="A419" s="442"/>
      <c r="B419" s="459"/>
      <c r="C419" s="442"/>
      <c r="D419" s="442"/>
      <c r="E419" s="460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  <c r="Y419" s="442"/>
      <c r="Z419" s="442"/>
    </row>
    <row r="420" ht="19.5" customHeight="1">
      <c r="A420" s="442"/>
      <c r="B420" s="459"/>
      <c r="C420" s="442"/>
      <c r="D420" s="442"/>
      <c r="E420" s="460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  <c r="Y420" s="442"/>
      <c r="Z420" s="442"/>
    </row>
    <row r="421" ht="19.5" customHeight="1">
      <c r="A421" s="442"/>
      <c r="B421" s="459"/>
      <c r="C421" s="442"/>
      <c r="D421" s="442"/>
      <c r="E421" s="460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  <c r="Y421" s="442"/>
      <c r="Z421" s="442"/>
    </row>
    <row r="422" ht="19.5" customHeight="1">
      <c r="A422" s="442"/>
      <c r="B422" s="459"/>
      <c r="C422" s="442"/>
      <c r="D422" s="442"/>
      <c r="E422" s="460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  <c r="Y422" s="442"/>
      <c r="Z422" s="442"/>
    </row>
    <row r="423" ht="19.5" customHeight="1">
      <c r="A423" s="442"/>
      <c r="B423" s="459"/>
      <c r="C423" s="442"/>
      <c r="D423" s="442"/>
      <c r="E423" s="460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  <c r="Y423" s="442"/>
      <c r="Z423" s="442"/>
    </row>
    <row r="424" ht="19.5" customHeight="1">
      <c r="A424" s="442"/>
      <c r="B424" s="459"/>
      <c r="C424" s="442"/>
      <c r="D424" s="442"/>
      <c r="E424" s="460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  <c r="Y424" s="442"/>
      <c r="Z424" s="442"/>
    </row>
    <row r="425" ht="19.5" customHeight="1">
      <c r="A425" s="442"/>
      <c r="B425" s="459"/>
      <c r="C425" s="442"/>
      <c r="D425" s="442"/>
      <c r="E425" s="460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  <c r="Y425" s="442"/>
      <c r="Z425" s="442"/>
    </row>
    <row r="426" ht="19.5" customHeight="1">
      <c r="A426" s="442"/>
      <c r="B426" s="459"/>
      <c r="C426" s="442"/>
      <c r="D426" s="442"/>
      <c r="E426" s="460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  <c r="Y426" s="442"/>
      <c r="Z426" s="442"/>
    </row>
    <row r="427" ht="19.5" customHeight="1">
      <c r="A427" s="442"/>
      <c r="B427" s="459"/>
      <c r="C427" s="442"/>
      <c r="D427" s="442"/>
      <c r="E427" s="460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  <c r="Y427" s="442"/>
      <c r="Z427" s="442"/>
    </row>
    <row r="428" ht="19.5" customHeight="1">
      <c r="A428" s="442"/>
      <c r="B428" s="459"/>
      <c r="C428" s="442"/>
      <c r="D428" s="442"/>
      <c r="E428" s="460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  <c r="Y428" s="442"/>
      <c r="Z428" s="442"/>
    </row>
    <row r="429" ht="19.5" customHeight="1">
      <c r="A429" s="442"/>
      <c r="B429" s="459"/>
      <c r="C429" s="442"/>
      <c r="D429" s="442"/>
      <c r="E429" s="460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  <c r="Y429" s="442"/>
      <c r="Z429" s="442"/>
    </row>
    <row r="430" ht="19.5" customHeight="1">
      <c r="A430" s="442"/>
      <c r="B430" s="459"/>
      <c r="C430" s="442"/>
      <c r="D430" s="442"/>
      <c r="E430" s="460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  <c r="Y430" s="442"/>
      <c r="Z430" s="442"/>
    </row>
    <row r="431" ht="19.5" customHeight="1">
      <c r="A431" s="442"/>
      <c r="B431" s="459"/>
      <c r="C431" s="442"/>
      <c r="D431" s="442"/>
      <c r="E431" s="460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  <c r="Y431" s="442"/>
      <c r="Z431" s="442"/>
    </row>
    <row r="432" ht="19.5" customHeight="1">
      <c r="A432" s="442"/>
      <c r="B432" s="459"/>
      <c r="C432" s="442"/>
      <c r="D432" s="442"/>
      <c r="E432" s="460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  <c r="Y432" s="442"/>
      <c r="Z432" s="442"/>
    </row>
    <row r="433" ht="19.5" customHeight="1">
      <c r="A433" s="442"/>
      <c r="B433" s="459"/>
      <c r="C433" s="442"/>
      <c r="D433" s="442"/>
      <c r="E433" s="460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  <c r="Y433" s="442"/>
      <c r="Z433" s="442"/>
    </row>
    <row r="434" ht="19.5" customHeight="1">
      <c r="A434" s="442"/>
      <c r="B434" s="459"/>
      <c r="C434" s="442"/>
      <c r="D434" s="442"/>
      <c r="E434" s="460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  <c r="Y434" s="442"/>
      <c r="Z434" s="442"/>
    </row>
    <row r="435" ht="19.5" customHeight="1">
      <c r="A435" s="442"/>
      <c r="B435" s="459"/>
      <c r="C435" s="442"/>
      <c r="D435" s="442"/>
      <c r="E435" s="460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  <c r="Y435" s="442"/>
      <c r="Z435" s="442"/>
    </row>
    <row r="436" ht="19.5" customHeight="1">
      <c r="A436" s="442"/>
      <c r="B436" s="459"/>
      <c r="C436" s="442"/>
      <c r="D436" s="442"/>
      <c r="E436" s="460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  <c r="Y436" s="442"/>
      <c r="Z436" s="442"/>
    </row>
    <row r="437" ht="19.5" customHeight="1">
      <c r="A437" s="442"/>
      <c r="B437" s="459"/>
      <c r="C437" s="442"/>
      <c r="D437" s="442"/>
      <c r="E437" s="460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  <c r="Y437" s="442"/>
      <c r="Z437" s="442"/>
    </row>
    <row r="438" ht="19.5" customHeight="1">
      <c r="A438" s="442"/>
      <c r="B438" s="459"/>
      <c r="C438" s="442"/>
      <c r="D438" s="442"/>
      <c r="E438" s="460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  <c r="Y438" s="442"/>
      <c r="Z438" s="442"/>
    </row>
    <row r="439" ht="19.5" customHeight="1">
      <c r="A439" s="442"/>
      <c r="B439" s="459"/>
      <c r="C439" s="442"/>
      <c r="D439" s="442"/>
      <c r="E439" s="460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  <c r="Y439" s="442"/>
      <c r="Z439" s="442"/>
    </row>
    <row r="440" ht="19.5" customHeight="1">
      <c r="A440" s="442"/>
      <c r="B440" s="459"/>
      <c r="C440" s="442"/>
      <c r="D440" s="442"/>
      <c r="E440" s="460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  <c r="Y440" s="442"/>
      <c r="Z440" s="442"/>
    </row>
    <row r="441" ht="19.5" customHeight="1">
      <c r="A441" s="442"/>
      <c r="B441" s="459"/>
      <c r="C441" s="442"/>
      <c r="D441" s="442"/>
      <c r="E441" s="460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  <c r="Y441" s="442"/>
      <c r="Z441" s="442"/>
    </row>
    <row r="442" ht="19.5" customHeight="1">
      <c r="A442" s="442"/>
      <c r="B442" s="459"/>
      <c r="C442" s="442"/>
      <c r="D442" s="442"/>
      <c r="E442" s="460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  <c r="Y442" s="442"/>
      <c r="Z442" s="442"/>
    </row>
    <row r="443" ht="19.5" customHeight="1">
      <c r="A443" s="442"/>
      <c r="B443" s="459"/>
      <c r="C443" s="442"/>
      <c r="D443" s="442"/>
      <c r="E443" s="460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  <c r="Y443" s="442"/>
      <c r="Z443" s="442"/>
    </row>
    <row r="444" ht="19.5" customHeight="1">
      <c r="A444" s="442"/>
      <c r="B444" s="459"/>
      <c r="C444" s="442"/>
      <c r="D444" s="442"/>
      <c r="E444" s="460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  <c r="Y444" s="442"/>
      <c r="Z444" s="442"/>
    </row>
    <row r="445" ht="19.5" customHeight="1">
      <c r="A445" s="442"/>
      <c r="B445" s="459"/>
      <c r="C445" s="442"/>
      <c r="D445" s="442"/>
      <c r="E445" s="460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  <c r="Y445" s="442"/>
      <c r="Z445" s="442"/>
    </row>
    <row r="446" ht="19.5" customHeight="1">
      <c r="A446" s="442"/>
      <c r="B446" s="459"/>
      <c r="C446" s="442"/>
      <c r="D446" s="442"/>
      <c r="E446" s="460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  <c r="Y446" s="442"/>
      <c r="Z446" s="442"/>
    </row>
    <row r="447" ht="19.5" customHeight="1">
      <c r="A447" s="442"/>
      <c r="B447" s="459"/>
      <c r="C447" s="442"/>
      <c r="D447" s="442"/>
      <c r="E447" s="460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  <c r="Y447" s="442"/>
      <c r="Z447" s="442"/>
    </row>
    <row r="448" ht="19.5" customHeight="1">
      <c r="A448" s="442"/>
      <c r="B448" s="459"/>
      <c r="C448" s="442"/>
      <c r="D448" s="442"/>
      <c r="E448" s="460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  <c r="Y448" s="442"/>
      <c r="Z448" s="442"/>
    </row>
    <row r="449" ht="19.5" customHeight="1">
      <c r="A449" s="442"/>
      <c r="B449" s="459"/>
      <c r="C449" s="442"/>
      <c r="D449" s="442"/>
      <c r="E449" s="460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  <c r="Y449" s="442"/>
      <c r="Z449" s="442"/>
    </row>
    <row r="450" ht="19.5" customHeight="1">
      <c r="A450" s="442"/>
      <c r="B450" s="459"/>
      <c r="C450" s="442"/>
      <c r="D450" s="442"/>
      <c r="E450" s="460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  <c r="Y450" s="442"/>
      <c r="Z450" s="442"/>
    </row>
    <row r="451" ht="19.5" customHeight="1">
      <c r="A451" s="442"/>
      <c r="B451" s="459"/>
      <c r="C451" s="442"/>
      <c r="D451" s="442"/>
      <c r="E451" s="460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  <c r="Y451" s="442"/>
      <c r="Z451" s="442"/>
    </row>
    <row r="452" ht="19.5" customHeight="1">
      <c r="A452" s="442"/>
      <c r="B452" s="459"/>
      <c r="C452" s="442"/>
      <c r="D452" s="442"/>
      <c r="E452" s="460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  <c r="Y452" s="442"/>
      <c r="Z452" s="442"/>
    </row>
    <row r="453" ht="19.5" customHeight="1">
      <c r="A453" s="442"/>
      <c r="B453" s="459"/>
      <c r="C453" s="442"/>
      <c r="D453" s="442"/>
      <c r="E453" s="460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  <c r="Y453" s="442"/>
      <c r="Z453" s="442"/>
    </row>
    <row r="454" ht="19.5" customHeight="1">
      <c r="A454" s="442"/>
      <c r="B454" s="459"/>
      <c r="C454" s="442"/>
      <c r="D454" s="442"/>
      <c r="E454" s="460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  <c r="Y454" s="442"/>
      <c r="Z454" s="442"/>
    </row>
    <row r="455" ht="19.5" customHeight="1">
      <c r="A455" s="442"/>
      <c r="B455" s="459"/>
      <c r="C455" s="442"/>
      <c r="D455" s="442"/>
      <c r="E455" s="460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  <c r="Y455" s="442"/>
      <c r="Z455" s="442"/>
    </row>
    <row r="456" ht="19.5" customHeight="1">
      <c r="A456" s="442"/>
      <c r="B456" s="459"/>
      <c r="C456" s="442"/>
      <c r="D456" s="442"/>
      <c r="E456" s="460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  <c r="Y456" s="442"/>
      <c r="Z456" s="442"/>
    </row>
    <row r="457" ht="19.5" customHeight="1">
      <c r="A457" s="442"/>
      <c r="B457" s="459"/>
      <c r="C457" s="442"/>
      <c r="D457" s="442"/>
      <c r="E457" s="460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  <c r="Y457" s="442"/>
      <c r="Z457" s="442"/>
    </row>
    <row r="458" ht="19.5" customHeight="1">
      <c r="A458" s="442"/>
      <c r="B458" s="459"/>
      <c r="C458" s="442"/>
      <c r="D458" s="442"/>
      <c r="E458" s="460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  <c r="Y458" s="442"/>
      <c r="Z458" s="442"/>
    </row>
    <row r="459" ht="19.5" customHeight="1">
      <c r="A459" s="442"/>
      <c r="B459" s="459"/>
      <c r="C459" s="442"/>
      <c r="D459" s="442"/>
      <c r="E459" s="460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  <c r="Y459" s="442"/>
      <c r="Z459" s="442"/>
    </row>
    <row r="460" ht="19.5" customHeight="1">
      <c r="A460" s="442"/>
      <c r="B460" s="459"/>
      <c r="C460" s="442"/>
      <c r="D460" s="442"/>
      <c r="E460" s="460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  <c r="Y460" s="442"/>
      <c r="Z460" s="442"/>
    </row>
    <row r="461" ht="19.5" customHeight="1">
      <c r="A461" s="442"/>
      <c r="B461" s="459"/>
      <c r="C461" s="442"/>
      <c r="D461" s="442"/>
      <c r="E461" s="460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  <c r="Y461" s="442"/>
      <c r="Z461" s="442"/>
    </row>
    <row r="462" ht="19.5" customHeight="1">
      <c r="A462" s="442"/>
      <c r="B462" s="459"/>
      <c r="C462" s="442"/>
      <c r="D462" s="442"/>
      <c r="E462" s="460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  <c r="Y462" s="442"/>
      <c r="Z462" s="442"/>
    </row>
    <row r="463" ht="19.5" customHeight="1">
      <c r="A463" s="442"/>
      <c r="B463" s="459"/>
      <c r="C463" s="442"/>
      <c r="D463" s="442"/>
      <c r="E463" s="460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  <c r="Y463" s="442"/>
      <c r="Z463" s="442"/>
    </row>
    <row r="464" ht="19.5" customHeight="1">
      <c r="A464" s="442"/>
      <c r="B464" s="459"/>
      <c r="C464" s="442"/>
      <c r="D464" s="442"/>
      <c r="E464" s="460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  <c r="Y464" s="442"/>
      <c r="Z464" s="442"/>
    </row>
    <row r="465" ht="19.5" customHeight="1">
      <c r="A465" s="442"/>
      <c r="B465" s="459"/>
      <c r="C465" s="442"/>
      <c r="D465" s="442"/>
      <c r="E465" s="460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  <c r="Y465" s="442"/>
      <c r="Z465" s="442"/>
    </row>
    <row r="466" ht="19.5" customHeight="1">
      <c r="A466" s="442"/>
      <c r="B466" s="459"/>
      <c r="C466" s="442"/>
      <c r="D466" s="442"/>
      <c r="E466" s="460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  <c r="Y466" s="442"/>
      <c r="Z466" s="442"/>
    </row>
    <row r="467" ht="19.5" customHeight="1">
      <c r="A467" s="442"/>
      <c r="B467" s="459"/>
      <c r="C467" s="442"/>
      <c r="D467" s="442"/>
      <c r="E467" s="460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  <c r="Y467" s="442"/>
      <c r="Z467" s="442"/>
    </row>
    <row r="468" ht="19.5" customHeight="1">
      <c r="A468" s="442"/>
      <c r="B468" s="459"/>
      <c r="C468" s="442"/>
      <c r="D468" s="442"/>
      <c r="E468" s="460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  <c r="Y468" s="442"/>
      <c r="Z468" s="442"/>
    </row>
    <row r="469" ht="19.5" customHeight="1">
      <c r="A469" s="442"/>
      <c r="B469" s="459"/>
      <c r="C469" s="442"/>
      <c r="D469" s="442"/>
      <c r="E469" s="460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  <c r="Y469" s="442"/>
      <c r="Z469" s="442"/>
    </row>
    <row r="470" ht="19.5" customHeight="1">
      <c r="A470" s="442"/>
      <c r="B470" s="459"/>
      <c r="C470" s="442"/>
      <c r="D470" s="442"/>
      <c r="E470" s="460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  <c r="Y470" s="442"/>
      <c r="Z470" s="442"/>
    </row>
    <row r="471" ht="19.5" customHeight="1">
      <c r="A471" s="442"/>
      <c r="B471" s="459"/>
      <c r="C471" s="442"/>
      <c r="D471" s="442"/>
      <c r="E471" s="460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  <c r="Y471" s="442"/>
      <c r="Z471" s="442"/>
    </row>
    <row r="472" ht="19.5" customHeight="1">
      <c r="A472" s="442"/>
      <c r="B472" s="459"/>
      <c r="C472" s="442"/>
      <c r="D472" s="442"/>
      <c r="E472" s="460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  <c r="Y472" s="442"/>
      <c r="Z472" s="442"/>
    </row>
    <row r="473" ht="19.5" customHeight="1">
      <c r="A473" s="442"/>
      <c r="B473" s="459"/>
      <c r="C473" s="442"/>
      <c r="D473" s="442"/>
      <c r="E473" s="460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  <c r="Y473" s="442"/>
      <c r="Z473" s="442"/>
    </row>
    <row r="474" ht="19.5" customHeight="1">
      <c r="A474" s="442"/>
      <c r="B474" s="459"/>
      <c r="C474" s="442"/>
      <c r="D474" s="442"/>
      <c r="E474" s="460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  <c r="Y474" s="442"/>
      <c r="Z474" s="442"/>
    </row>
    <row r="475" ht="19.5" customHeight="1">
      <c r="A475" s="442"/>
      <c r="B475" s="459"/>
      <c r="C475" s="442"/>
      <c r="D475" s="442"/>
      <c r="E475" s="460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  <c r="Y475" s="442"/>
      <c r="Z475" s="442"/>
    </row>
    <row r="476" ht="19.5" customHeight="1">
      <c r="A476" s="442"/>
      <c r="B476" s="459"/>
      <c r="C476" s="442"/>
      <c r="D476" s="442"/>
      <c r="E476" s="460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  <c r="Y476" s="442"/>
      <c r="Z476" s="442"/>
    </row>
    <row r="477" ht="19.5" customHeight="1">
      <c r="A477" s="442"/>
      <c r="B477" s="459"/>
      <c r="C477" s="442"/>
      <c r="D477" s="442"/>
      <c r="E477" s="460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  <c r="Y477" s="442"/>
      <c r="Z477" s="442"/>
    </row>
    <row r="478" ht="19.5" customHeight="1">
      <c r="A478" s="442"/>
      <c r="B478" s="459"/>
      <c r="C478" s="442"/>
      <c r="D478" s="442"/>
      <c r="E478" s="460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  <c r="Y478" s="442"/>
      <c r="Z478" s="442"/>
    </row>
    <row r="479" ht="19.5" customHeight="1">
      <c r="A479" s="442"/>
      <c r="B479" s="459"/>
      <c r="C479" s="442"/>
      <c r="D479" s="442"/>
      <c r="E479" s="460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  <c r="Y479" s="442"/>
      <c r="Z479" s="442"/>
    </row>
    <row r="480" ht="19.5" customHeight="1">
      <c r="A480" s="442"/>
      <c r="B480" s="459"/>
      <c r="C480" s="442"/>
      <c r="D480" s="442"/>
      <c r="E480" s="460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  <c r="Y480" s="442"/>
      <c r="Z480" s="442"/>
    </row>
    <row r="481" ht="19.5" customHeight="1">
      <c r="A481" s="442"/>
      <c r="B481" s="459"/>
      <c r="C481" s="442"/>
      <c r="D481" s="442"/>
      <c r="E481" s="460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  <c r="Y481" s="442"/>
      <c r="Z481" s="442"/>
    </row>
    <row r="482" ht="19.5" customHeight="1">
      <c r="A482" s="442"/>
      <c r="B482" s="459"/>
      <c r="C482" s="442"/>
      <c r="D482" s="442"/>
      <c r="E482" s="460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  <c r="Y482" s="442"/>
      <c r="Z482" s="442"/>
    </row>
    <row r="483" ht="19.5" customHeight="1">
      <c r="A483" s="442"/>
      <c r="B483" s="459"/>
      <c r="C483" s="442"/>
      <c r="D483" s="442"/>
      <c r="E483" s="460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  <c r="Y483" s="442"/>
      <c r="Z483" s="442"/>
    </row>
    <row r="484" ht="19.5" customHeight="1">
      <c r="A484" s="442"/>
      <c r="B484" s="459"/>
      <c r="C484" s="442"/>
      <c r="D484" s="442"/>
      <c r="E484" s="460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  <c r="Y484" s="442"/>
      <c r="Z484" s="442"/>
    </row>
    <row r="485" ht="19.5" customHeight="1">
      <c r="A485" s="442"/>
      <c r="B485" s="459"/>
      <c r="C485" s="442"/>
      <c r="D485" s="442"/>
      <c r="E485" s="460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  <c r="Y485" s="442"/>
      <c r="Z485" s="442"/>
    </row>
    <row r="486" ht="19.5" customHeight="1">
      <c r="A486" s="442"/>
      <c r="B486" s="459"/>
      <c r="C486" s="442"/>
      <c r="D486" s="442"/>
      <c r="E486" s="460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  <c r="Y486" s="442"/>
      <c r="Z486" s="442"/>
    </row>
    <row r="487" ht="19.5" customHeight="1">
      <c r="A487" s="442"/>
      <c r="B487" s="459"/>
      <c r="C487" s="442"/>
      <c r="D487" s="442"/>
      <c r="E487" s="460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  <c r="Y487" s="442"/>
      <c r="Z487" s="442"/>
    </row>
    <row r="488" ht="19.5" customHeight="1">
      <c r="A488" s="442"/>
      <c r="B488" s="459"/>
      <c r="C488" s="442"/>
      <c r="D488" s="442"/>
      <c r="E488" s="460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  <c r="Y488" s="442"/>
      <c r="Z488" s="442"/>
    </row>
    <row r="489" ht="19.5" customHeight="1">
      <c r="A489" s="442"/>
      <c r="B489" s="459"/>
      <c r="C489" s="442"/>
      <c r="D489" s="442"/>
      <c r="E489" s="460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  <c r="Y489" s="442"/>
      <c r="Z489" s="442"/>
    </row>
    <row r="490" ht="19.5" customHeight="1">
      <c r="A490" s="442"/>
      <c r="B490" s="459"/>
      <c r="C490" s="442"/>
      <c r="D490" s="442"/>
      <c r="E490" s="460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  <c r="Y490" s="442"/>
      <c r="Z490" s="442"/>
    </row>
    <row r="491" ht="19.5" customHeight="1">
      <c r="A491" s="442"/>
      <c r="B491" s="459"/>
      <c r="C491" s="442"/>
      <c r="D491" s="442"/>
      <c r="E491" s="460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  <c r="Y491" s="442"/>
      <c r="Z491" s="442"/>
    </row>
    <row r="492" ht="19.5" customHeight="1">
      <c r="A492" s="442"/>
      <c r="B492" s="459"/>
      <c r="C492" s="442"/>
      <c r="D492" s="442"/>
      <c r="E492" s="460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  <c r="Y492" s="442"/>
      <c r="Z492" s="442"/>
    </row>
    <row r="493" ht="19.5" customHeight="1">
      <c r="A493" s="442"/>
      <c r="B493" s="459"/>
      <c r="C493" s="442"/>
      <c r="D493" s="442"/>
      <c r="E493" s="460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  <c r="Y493" s="442"/>
      <c r="Z493" s="442"/>
    </row>
    <row r="494" ht="19.5" customHeight="1">
      <c r="A494" s="442"/>
      <c r="B494" s="459"/>
      <c r="C494" s="442"/>
      <c r="D494" s="442"/>
      <c r="E494" s="460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  <c r="Y494" s="442"/>
      <c r="Z494" s="442"/>
    </row>
    <row r="495" ht="19.5" customHeight="1">
      <c r="A495" s="442"/>
      <c r="B495" s="459"/>
      <c r="C495" s="442"/>
      <c r="D495" s="442"/>
      <c r="E495" s="460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  <c r="Y495" s="442"/>
      <c r="Z495" s="442"/>
    </row>
    <row r="496" ht="19.5" customHeight="1">
      <c r="A496" s="442"/>
      <c r="B496" s="459"/>
      <c r="C496" s="442"/>
      <c r="D496" s="442"/>
      <c r="E496" s="460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  <c r="Y496" s="442"/>
      <c r="Z496" s="442"/>
    </row>
    <row r="497" ht="19.5" customHeight="1">
      <c r="A497" s="442"/>
      <c r="B497" s="459"/>
      <c r="C497" s="442"/>
      <c r="D497" s="442"/>
      <c r="E497" s="460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  <c r="Y497" s="442"/>
      <c r="Z497" s="442"/>
    </row>
    <row r="498" ht="19.5" customHeight="1">
      <c r="A498" s="442"/>
      <c r="B498" s="459"/>
      <c r="C498" s="442"/>
      <c r="D498" s="442"/>
      <c r="E498" s="460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  <c r="Y498" s="442"/>
      <c r="Z498" s="442"/>
    </row>
    <row r="499" ht="19.5" customHeight="1">
      <c r="A499" s="442"/>
      <c r="B499" s="459"/>
      <c r="C499" s="442"/>
      <c r="D499" s="442"/>
      <c r="E499" s="460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  <c r="Y499" s="442"/>
      <c r="Z499" s="442"/>
    </row>
    <row r="500" ht="19.5" customHeight="1">
      <c r="A500" s="442"/>
      <c r="B500" s="459"/>
      <c r="C500" s="442"/>
      <c r="D500" s="442"/>
      <c r="E500" s="460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  <c r="Y500" s="442"/>
      <c r="Z500" s="442"/>
    </row>
    <row r="501" ht="19.5" customHeight="1">
      <c r="A501" s="442"/>
      <c r="B501" s="459"/>
      <c r="C501" s="442"/>
      <c r="D501" s="442"/>
      <c r="E501" s="460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  <c r="Y501" s="442"/>
      <c r="Z501" s="442"/>
    </row>
    <row r="502" ht="19.5" customHeight="1">
      <c r="A502" s="442"/>
      <c r="B502" s="459"/>
      <c r="C502" s="442"/>
      <c r="D502" s="442"/>
      <c r="E502" s="460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  <c r="Y502" s="442"/>
      <c r="Z502" s="442"/>
    </row>
    <row r="503" ht="19.5" customHeight="1">
      <c r="A503" s="442"/>
      <c r="B503" s="459"/>
      <c r="C503" s="442"/>
      <c r="D503" s="442"/>
      <c r="E503" s="460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  <c r="Y503" s="442"/>
      <c r="Z503" s="442"/>
    </row>
    <row r="504" ht="19.5" customHeight="1">
      <c r="A504" s="442"/>
      <c r="B504" s="459"/>
      <c r="C504" s="442"/>
      <c r="D504" s="442"/>
      <c r="E504" s="460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  <c r="Y504" s="442"/>
      <c r="Z504" s="442"/>
    </row>
    <row r="505" ht="19.5" customHeight="1">
      <c r="A505" s="442"/>
      <c r="B505" s="459"/>
      <c r="C505" s="442"/>
      <c r="D505" s="442"/>
      <c r="E505" s="460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  <c r="Y505" s="442"/>
      <c r="Z505" s="442"/>
    </row>
    <row r="506" ht="19.5" customHeight="1">
      <c r="A506" s="442"/>
      <c r="B506" s="459"/>
      <c r="C506" s="442"/>
      <c r="D506" s="442"/>
      <c r="E506" s="460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  <c r="Y506" s="442"/>
      <c r="Z506" s="442"/>
    </row>
    <row r="507" ht="19.5" customHeight="1">
      <c r="A507" s="442"/>
      <c r="B507" s="459"/>
      <c r="C507" s="442"/>
      <c r="D507" s="442"/>
      <c r="E507" s="460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  <c r="Y507" s="442"/>
      <c r="Z507" s="442"/>
    </row>
    <row r="508" ht="19.5" customHeight="1">
      <c r="A508" s="442"/>
      <c r="B508" s="459"/>
      <c r="C508" s="442"/>
      <c r="D508" s="442"/>
      <c r="E508" s="460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  <c r="Y508" s="442"/>
      <c r="Z508" s="442"/>
    </row>
    <row r="509" ht="19.5" customHeight="1">
      <c r="A509" s="442"/>
      <c r="B509" s="459"/>
      <c r="C509" s="442"/>
      <c r="D509" s="442"/>
      <c r="E509" s="460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  <c r="Y509" s="442"/>
      <c r="Z509" s="442"/>
    </row>
    <row r="510" ht="19.5" customHeight="1">
      <c r="A510" s="442"/>
      <c r="B510" s="459"/>
      <c r="C510" s="442"/>
      <c r="D510" s="442"/>
      <c r="E510" s="460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  <c r="Y510" s="442"/>
      <c r="Z510" s="442"/>
    </row>
    <row r="511" ht="19.5" customHeight="1">
      <c r="A511" s="442"/>
      <c r="B511" s="459"/>
      <c r="C511" s="442"/>
      <c r="D511" s="442"/>
      <c r="E511" s="460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  <c r="Y511" s="442"/>
      <c r="Z511" s="442"/>
    </row>
    <row r="512" ht="19.5" customHeight="1">
      <c r="A512" s="442"/>
      <c r="B512" s="459"/>
      <c r="C512" s="442"/>
      <c r="D512" s="442"/>
      <c r="E512" s="460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  <c r="Y512" s="442"/>
      <c r="Z512" s="442"/>
    </row>
    <row r="513" ht="19.5" customHeight="1">
      <c r="A513" s="442"/>
      <c r="B513" s="459"/>
      <c r="C513" s="442"/>
      <c r="D513" s="442"/>
      <c r="E513" s="460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  <c r="Y513" s="442"/>
      <c r="Z513" s="442"/>
    </row>
    <row r="514" ht="19.5" customHeight="1">
      <c r="A514" s="442"/>
      <c r="B514" s="459"/>
      <c r="C514" s="442"/>
      <c r="D514" s="442"/>
      <c r="E514" s="460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  <c r="Y514" s="442"/>
      <c r="Z514" s="442"/>
    </row>
    <row r="515" ht="19.5" customHeight="1">
      <c r="A515" s="442"/>
      <c r="B515" s="459"/>
      <c r="C515" s="442"/>
      <c r="D515" s="442"/>
      <c r="E515" s="460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  <c r="Y515" s="442"/>
      <c r="Z515" s="442"/>
    </row>
    <row r="516" ht="19.5" customHeight="1">
      <c r="A516" s="442"/>
      <c r="B516" s="459"/>
      <c r="C516" s="442"/>
      <c r="D516" s="442"/>
      <c r="E516" s="460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  <c r="Y516" s="442"/>
      <c r="Z516" s="442"/>
    </row>
    <row r="517" ht="19.5" customHeight="1">
      <c r="A517" s="442"/>
      <c r="B517" s="459"/>
      <c r="C517" s="442"/>
      <c r="D517" s="442"/>
      <c r="E517" s="460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  <c r="Y517" s="442"/>
      <c r="Z517" s="442"/>
    </row>
    <row r="518" ht="19.5" customHeight="1">
      <c r="A518" s="442"/>
      <c r="B518" s="459"/>
      <c r="C518" s="442"/>
      <c r="D518" s="442"/>
      <c r="E518" s="460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  <c r="Y518" s="442"/>
      <c r="Z518" s="442"/>
    </row>
    <row r="519" ht="19.5" customHeight="1">
      <c r="A519" s="442"/>
      <c r="B519" s="459"/>
      <c r="C519" s="442"/>
      <c r="D519" s="442"/>
      <c r="E519" s="460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  <c r="Y519" s="442"/>
      <c r="Z519" s="442"/>
    </row>
    <row r="520" ht="19.5" customHeight="1">
      <c r="A520" s="442"/>
      <c r="B520" s="459"/>
      <c r="C520" s="442"/>
      <c r="D520" s="442"/>
      <c r="E520" s="460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  <c r="Y520" s="442"/>
      <c r="Z520" s="442"/>
    </row>
    <row r="521" ht="19.5" customHeight="1">
      <c r="A521" s="442"/>
      <c r="B521" s="459"/>
      <c r="C521" s="442"/>
      <c r="D521" s="442"/>
      <c r="E521" s="460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  <c r="Y521" s="442"/>
      <c r="Z521" s="442"/>
    </row>
    <row r="522" ht="19.5" customHeight="1">
      <c r="A522" s="442"/>
      <c r="B522" s="459"/>
      <c r="C522" s="442"/>
      <c r="D522" s="442"/>
      <c r="E522" s="460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  <c r="Y522" s="442"/>
      <c r="Z522" s="442"/>
    </row>
    <row r="523" ht="19.5" customHeight="1">
      <c r="A523" s="442"/>
      <c r="B523" s="459"/>
      <c r="C523" s="442"/>
      <c r="D523" s="442"/>
      <c r="E523" s="460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  <c r="Y523" s="442"/>
      <c r="Z523" s="442"/>
    </row>
    <row r="524" ht="19.5" customHeight="1">
      <c r="A524" s="442"/>
      <c r="B524" s="459"/>
      <c r="C524" s="442"/>
      <c r="D524" s="442"/>
      <c r="E524" s="460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  <c r="Y524" s="442"/>
      <c r="Z524" s="442"/>
    </row>
    <row r="525" ht="19.5" customHeight="1">
      <c r="A525" s="442"/>
      <c r="B525" s="459"/>
      <c r="C525" s="442"/>
      <c r="D525" s="442"/>
      <c r="E525" s="460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  <c r="Y525" s="442"/>
      <c r="Z525" s="442"/>
    </row>
    <row r="526" ht="19.5" customHeight="1">
      <c r="A526" s="442"/>
      <c r="B526" s="459"/>
      <c r="C526" s="442"/>
      <c r="D526" s="442"/>
      <c r="E526" s="460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  <c r="Y526" s="442"/>
      <c r="Z526" s="442"/>
    </row>
    <row r="527" ht="19.5" customHeight="1">
      <c r="A527" s="442"/>
      <c r="B527" s="459"/>
      <c r="C527" s="442"/>
      <c r="D527" s="442"/>
      <c r="E527" s="460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  <c r="Y527" s="442"/>
      <c r="Z527" s="442"/>
    </row>
    <row r="528" ht="19.5" customHeight="1">
      <c r="A528" s="442"/>
      <c r="B528" s="459"/>
      <c r="C528" s="442"/>
      <c r="D528" s="442"/>
      <c r="E528" s="460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  <c r="Y528" s="442"/>
      <c r="Z528" s="442"/>
    </row>
    <row r="529" ht="19.5" customHeight="1">
      <c r="A529" s="442"/>
      <c r="B529" s="459"/>
      <c r="C529" s="442"/>
      <c r="D529" s="442"/>
      <c r="E529" s="460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  <c r="Y529" s="442"/>
      <c r="Z529" s="442"/>
    </row>
    <row r="530" ht="19.5" customHeight="1">
      <c r="A530" s="442"/>
      <c r="B530" s="459"/>
      <c r="C530" s="442"/>
      <c r="D530" s="442"/>
      <c r="E530" s="460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  <c r="Y530" s="442"/>
      <c r="Z530" s="442"/>
    </row>
    <row r="531" ht="19.5" customHeight="1">
      <c r="A531" s="442"/>
      <c r="B531" s="459"/>
      <c r="C531" s="442"/>
      <c r="D531" s="442"/>
      <c r="E531" s="460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  <c r="Y531" s="442"/>
      <c r="Z531" s="442"/>
    </row>
    <row r="532" ht="19.5" customHeight="1">
      <c r="A532" s="442"/>
      <c r="B532" s="459"/>
      <c r="C532" s="442"/>
      <c r="D532" s="442"/>
      <c r="E532" s="460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  <c r="Y532" s="442"/>
      <c r="Z532" s="442"/>
    </row>
    <row r="533" ht="19.5" customHeight="1">
      <c r="A533" s="442"/>
      <c r="B533" s="459"/>
      <c r="C533" s="442"/>
      <c r="D533" s="442"/>
      <c r="E533" s="460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  <c r="Y533" s="442"/>
      <c r="Z533" s="442"/>
    </row>
    <row r="534" ht="19.5" customHeight="1">
      <c r="A534" s="442"/>
      <c r="B534" s="459"/>
      <c r="C534" s="442"/>
      <c r="D534" s="442"/>
      <c r="E534" s="460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  <c r="Y534" s="442"/>
      <c r="Z534" s="442"/>
    </row>
    <row r="535" ht="19.5" customHeight="1">
      <c r="A535" s="442"/>
      <c r="B535" s="459"/>
      <c r="C535" s="442"/>
      <c r="D535" s="442"/>
      <c r="E535" s="460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  <c r="Y535" s="442"/>
      <c r="Z535" s="442"/>
    </row>
    <row r="536" ht="19.5" customHeight="1">
      <c r="A536" s="442"/>
      <c r="B536" s="459"/>
      <c r="C536" s="442"/>
      <c r="D536" s="442"/>
      <c r="E536" s="460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  <c r="Y536" s="442"/>
      <c r="Z536" s="442"/>
    </row>
    <row r="537" ht="19.5" customHeight="1">
      <c r="A537" s="442"/>
      <c r="B537" s="459"/>
      <c r="C537" s="442"/>
      <c r="D537" s="442"/>
      <c r="E537" s="460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  <c r="Y537" s="442"/>
      <c r="Z537" s="442"/>
    </row>
    <row r="538" ht="19.5" customHeight="1">
      <c r="A538" s="442"/>
      <c r="B538" s="459"/>
      <c r="C538" s="442"/>
      <c r="D538" s="442"/>
      <c r="E538" s="460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  <c r="Y538" s="442"/>
      <c r="Z538" s="442"/>
    </row>
    <row r="539" ht="19.5" customHeight="1">
      <c r="A539" s="442"/>
      <c r="B539" s="459"/>
      <c r="C539" s="442"/>
      <c r="D539" s="442"/>
      <c r="E539" s="460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  <c r="Y539" s="442"/>
      <c r="Z539" s="442"/>
    </row>
    <row r="540" ht="19.5" customHeight="1">
      <c r="A540" s="442"/>
      <c r="B540" s="459"/>
      <c r="C540" s="442"/>
      <c r="D540" s="442"/>
      <c r="E540" s="460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  <c r="Y540" s="442"/>
      <c r="Z540" s="442"/>
    </row>
    <row r="541" ht="19.5" customHeight="1">
      <c r="A541" s="442"/>
      <c r="B541" s="459"/>
      <c r="C541" s="442"/>
      <c r="D541" s="442"/>
      <c r="E541" s="460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  <c r="Y541" s="442"/>
      <c r="Z541" s="442"/>
    </row>
    <row r="542" ht="19.5" customHeight="1">
      <c r="A542" s="442"/>
      <c r="B542" s="459"/>
      <c r="C542" s="442"/>
      <c r="D542" s="442"/>
      <c r="E542" s="460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  <c r="Y542" s="442"/>
      <c r="Z542" s="442"/>
    </row>
    <row r="543" ht="19.5" customHeight="1">
      <c r="A543" s="442"/>
      <c r="B543" s="459"/>
      <c r="C543" s="442"/>
      <c r="D543" s="442"/>
      <c r="E543" s="460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  <c r="Y543" s="442"/>
      <c r="Z543" s="442"/>
    </row>
    <row r="544" ht="19.5" customHeight="1">
      <c r="A544" s="442"/>
      <c r="B544" s="459"/>
      <c r="C544" s="442"/>
      <c r="D544" s="442"/>
      <c r="E544" s="460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  <c r="Y544" s="442"/>
      <c r="Z544" s="442"/>
    </row>
    <row r="545" ht="19.5" customHeight="1">
      <c r="A545" s="442"/>
      <c r="B545" s="459"/>
      <c r="C545" s="442"/>
      <c r="D545" s="442"/>
      <c r="E545" s="460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  <c r="Y545" s="442"/>
      <c r="Z545" s="442"/>
    </row>
    <row r="546" ht="19.5" customHeight="1">
      <c r="A546" s="442"/>
      <c r="B546" s="459"/>
      <c r="C546" s="442"/>
      <c r="D546" s="442"/>
      <c r="E546" s="460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  <c r="Y546" s="442"/>
      <c r="Z546" s="442"/>
    </row>
    <row r="547" ht="19.5" customHeight="1">
      <c r="A547" s="442"/>
      <c r="B547" s="459"/>
      <c r="C547" s="442"/>
      <c r="D547" s="442"/>
      <c r="E547" s="460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  <c r="Y547" s="442"/>
      <c r="Z547" s="442"/>
    </row>
    <row r="548" ht="19.5" customHeight="1">
      <c r="A548" s="442"/>
      <c r="B548" s="459"/>
      <c r="C548" s="442"/>
      <c r="D548" s="442"/>
      <c r="E548" s="460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  <c r="Y548" s="442"/>
      <c r="Z548" s="442"/>
    </row>
    <row r="549" ht="19.5" customHeight="1">
      <c r="A549" s="442"/>
      <c r="B549" s="459"/>
      <c r="C549" s="442"/>
      <c r="D549" s="442"/>
      <c r="E549" s="460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  <c r="Y549" s="442"/>
      <c r="Z549" s="442"/>
    </row>
    <row r="550" ht="19.5" customHeight="1">
      <c r="A550" s="442"/>
      <c r="B550" s="459"/>
      <c r="C550" s="442"/>
      <c r="D550" s="442"/>
      <c r="E550" s="460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  <c r="Y550" s="442"/>
      <c r="Z550" s="442"/>
    </row>
    <row r="551" ht="19.5" customHeight="1">
      <c r="A551" s="442"/>
      <c r="B551" s="459"/>
      <c r="C551" s="442"/>
      <c r="D551" s="442"/>
      <c r="E551" s="460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  <c r="Y551" s="442"/>
      <c r="Z551" s="442"/>
    </row>
    <row r="552" ht="19.5" customHeight="1">
      <c r="A552" s="442"/>
      <c r="B552" s="459"/>
      <c r="C552" s="442"/>
      <c r="D552" s="442"/>
      <c r="E552" s="460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  <c r="Y552" s="442"/>
      <c r="Z552" s="442"/>
    </row>
    <row r="553" ht="19.5" customHeight="1">
      <c r="A553" s="442"/>
      <c r="B553" s="459"/>
      <c r="C553" s="442"/>
      <c r="D553" s="442"/>
      <c r="E553" s="460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  <c r="Y553" s="442"/>
      <c r="Z553" s="442"/>
    </row>
    <row r="554" ht="19.5" customHeight="1">
      <c r="A554" s="442"/>
      <c r="B554" s="459"/>
      <c r="C554" s="442"/>
      <c r="D554" s="442"/>
      <c r="E554" s="460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  <c r="Y554" s="442"/>
      <c r="Z554" s="442"/>
    </row>
    <row r="555" ht="19.5" customHeight="1">
      <c r="A555" s="442"/>
      <c r="B555" s="459"/>
      <c r="C555" s="442"/>
      <c r="D555" s="442"/>
      <c r="E555" s="460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  <c r="Y555" s="442"/>
      <c r="Z555" s="442"/>
    </row>
    <row r="556" ht="19.5" customHeight="1">
      <c r="A556" s="442"/>
      <c r="B556" s="459"/>
      <c r="C556" s="442"/>
      <c r="D556" s="442"/>
      <c r="E556" s="460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  <c r="Y556" s="442"/>
      <c r="Z556" s="442"/>
    </row>
    <row r="557" ht="19.5" customHeight="1">
      <c r="A557" s="442"/>
      <c r="B557" s="459"/>
      <c r="C557" s="442"/>
      <c r="D557" s="442"/>
      <c r="E557" s="460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  <c r="Y557" s="442"/>
      <c r="Z557" s="442"/>
    </row>
    <row r="558" ht="19.5" customHeight="1">
      <c r="A558" s="442"/>
      <c r="B558" s="459"/>
      <c r="C558" s="442"/>
      <c r="D558" s="442"/>
      <c r="E558" s="460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  <c r="Y558" s="442"/>
      <c r="Z558" s="442"/>
    </row>
    <row r="559" ht="19.5" customHeight="1">
      <c r="A559" s="442"/>
      <c r="B559" s="459"/>
      <c r="C559" s="442"/>
      <c r="D559" s="442"/>
      <c r="E559" s="460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  <c r="Y559" s="442"/>
      <c r="Z559" s="442"/>
    </row>
    <row r="560" ht="19.5" customHeight="1">
      <c r="A560" s="442"/>
      <c r="B560" s="459"/>
      <c r="C560" s="442"/>
      <c r="D560" s="442"/>
      <c r="E560" s="460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  <c r="Y560" s="442"/>
      <c r="Z560" s="442"/>
    </row>
    <row r="561" ht="19.5" customHeight="1">
      <c r="A561" s="442"/>
      <c r="B561" s="459"/>
      <c r="C561" s="442"/>
      <c r="D561" s="442"/>
      <c r="E561" s="460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  <c r="Y561" s="442"/>
      <c r="Z561" s="442"/>
    </row>
    <row r="562" ht="19.5" customHeight="1">
      <c r="A562" s="442"/>
      <c r="B562" s="459"/>
      <c r="C562" s="442"/>
      <c r="D562" s="442"/>
      <c r="E562" s="460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  <c r="Y562" s="442"/>
      <c r="Z562" s="442"/>
    </row>
    <row r="563" ht="19.5" customHeight="1">
      <c r="A563" s="442"/>
      <c r="B563" s="459"/>
      <c r="C563" s="442"/>
      <c r="D563" s="442"/>
      <c r="E563" s="460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  <c r="Y563" s="442"/>
      <c r="Z563" s="442"/>
    </row>
    <row r="564" ht="19.5" customHeight="1">
      <c r="A564" s="442"/>
      <c r="B564" s="459"/>
      <c r="C564" s="442"/>
      <c r="D564" s="442"/>
      <c r="E564" s="460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  <c r="Y564" s="442"/>
      <c r="Z564" s="442"/>
    </row>
    <row r="565" ht="19.5" customHeight="1">
      <c r="A565" s="442"/>
      <c r="B565" s="459"/>
      <c r="C565" s="442"/>
      <c r="D565" s="442"/>
      <c r="E565" s="460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  <c r="Y565" s="442"/>
      <c r="Z565" s="442"/>
    </row>
    <row r="566" ht="19.5" customHeight="1">
      <c r="A566" s="442"/>
      <c r="B566" s="459"/>
      <c r="C566" s="442"/>
      <c r="D566" s="442"/>
      <c r="E566" s="460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  <c r="Y566" s="442"/>
      <c r="Z566" s="442"/>
    </row>
    <row r="567" ht="19.5" customHeight="1">
      <c r="A567" s="442"/>
      <c r="B567" s="459"/>
      <c r="C567" s="442"/>
      <c r="D567" s="442"/>
      <c r="E567" s="460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  <c r="Y567" s="442"/>
      <c r="Z567" s="442"/>
    </row>
    <row r="568" ht="19.5" customHeight="1">
      <c r="A568" s="442"/>
      <c r="B568" s="459"/>
      <c r="C568" s="442"/>
      <c r="D568" s="442"/>
      <c r="E568" s="460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  <c r="Y568" s="442"/>
      <c r="Z568" s="442"/>
    </row>
    <row r="569" ht="19.5" customHeight="1">
      <c r="A569" s="442"/>
      <c r="B569" s="459"/>
      <c r="C569" s="442"/>
      <c r="D569" s="442"/>
      <c r="E569" s="460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  <c r="Y569" s="442"/>
      <c r="Z569" s="442"/>
    </row>
    <row r="570" ht="19.5" customHeight="1">
      <c r="A570" s="442"/>
      <c r="B570" s="459"/>
      <c r="C570" s="442"/>
      <c r="D570" s="442"/>
      <c r="E570" s="460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  <c r="Y570" s="442"/>
      <c r="Z570" s="442"/>
    </row>
    <row r="571" ht="19.5" customHeight="1">
      <c r="A571" s="442"/>
      <c r="B571" s="459"/>
      <c r="C571" s="442"/>
      <c r="D571" s="442"/>
      <c r="E571" s="460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  <c r="Y571" s="442"/>
      <c r="Z571" s="442"/>
    </row>
    <row r="572" ht="19.5" customHeight="1">
      <c r="A572" s="442"/>
      <c r="B572" s="459"/>
      <c r="C572" s="442"/>
      <c r="D572" s="442"/>
      <c r="E572" s="460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  <c r="Y572" s="442"/>
      <c r="Z572" s="442"/>
    </row>
    <row r="573" ht="19.5" customHeight="1">
      <c r="A573" s="442"/>
      <c r="B573" s="459"/>
      <c r="C573" s="442"/>
      <c r="D573" s="442"/>
      <c r="E573" s="460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  <c r="Y573" s="442"/>
      <c r="Z573" s="442"/>
    </row>
    <row r="574" ht="19.5" customHeight="1">
      <c r="A574" s="442"/>
      <c r="B574" s="459"/>
      <c r="C574" s="442"/>
      <c r="D574" s="442"/>
      <c r="E574" s="460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  <c r="Y574" s="442"/>
      <c r="Z574" s="442"/>
    </row>
    <row r="575" ht="19.5" customHeight="1">
      <c r="A575" s="442"/>
      <c r="B575" s="459"/>
      <c r="C575" s="442"/>
      <c r="D575" s="442"/>
      <c r="E575" s="460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  <c r="Y575" s="442"/>
      <c r="Z575" s="442"/>
    </row>
    <row r="576" ht="19.5" customHeight="1">
      <c r="A576" s="442"/>
      <c r="B576" s="459"/>
      <c r="C576" s="442"/>
      <c r="D576" s="442"/>
      <c r="E576" s="460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  <c r="Y576" s="442"/>
      <c r="Z576" s="442"/>
    </row>
    <row r="577" ht="19.5" customHeight="1">
      <c r="A577" s="442"/>
      <c r="B577" s="459"/>
      <c r="C577" s="442"/>
      <c r="D577" s="442"/>
      <c r="E577" s="460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  <c r="Y577" s="442"/>
      <c r="Z577" s="442"/>
    </row>
    <row r="578" ht="19.5" customHeight="1">
      <c r="A578" s="442"/>
      <c r="B578" s="459"/>
      <c r="C578" s="442"/>
      <c r="D578" s="442"/>
      <c r="E578" s="460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  <c r="Y578" s="442"/>
      <c r="Z578" s="442"/>
    </row>
    <row r="579" ht="19.5" customHeight="1">
      <c r="A579" s="442"/>
      <c r="B579" s="459"/>
      <c r="C579" s="442"/>
      <c r="D579" s="442"/>
      <c r="E579" s="460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  <c r="Y579" s="442"/>
      <c r="Z579" s="442"/>
    </row>
    <row r="580" ht="19.5" customHeight="1">
      <c r="A580" s="442"/>
      <c r="B580" s="459"/>
      <c r="C580" s="442"/>
      <c r="D580" s="442"/>
      <c r="E580" s="460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  <c r="Y580" s="442"/>
      <c r="Z580" s="442"/>
    </row>
    <row r="581" ht="19.5" customHeight="1">
      <c r="A581" s="442"/>
      <c r="B581" s="459"/>
      <c r="C581" s="442"/>
      <c r="D581" s="442"/>
      <c r="E581" s="460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  <c r="Y581" s="442"/>
      <c r="Z581" s="442"/>
    </row>
    <row r="582" ht="19.5" customHeight="1">
      <c r="A582" s="442"/>
      <c r="B582" s="459"/>
      <c r="C582" s="442"/>
      <c r="D582" s="442"/>
      <c r="E582" s="460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  <c r="Y582" s="442"/>
      <c r="Z582" s="442"/>
    </row>
    <row r="583" ht="19.5" customHeight="1">
      <c r="A583" s="442"/>
      <c r="B583" s="459"/>
      <c r="C583" s="442"/>
      <c r="D583" s="442"/>
      <c r="E583" s="460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  <c r="Y583" s="442"/>
      <c r="Z583" s="442"/>
    </row>
    <row r="584" ht="19.5" customHeight="1">
      <c r="A584" s="442"/>
      <c r="B584" s="459"/>
      <c r="C584" s="442"/>
      <c r="D584" s="442"/>
      <c r="E584" s="460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  <c r="Y584" s="442"/>
      <c r="Z584" s="442"/>
    </row>
    <row r="585" ht="19.5" customHeight="1">
      <c r="A585" s="442"/>
      <c r="B585" s="459"/>
      <c r="C585" s="442"/>
      <c r="D585" s="442"/>
      <c r="E585" s="460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  <c r="Y585" s="442"/>
      <c r="Z585" s="442"/>
    </row>
    <row r="586" ht="19.5" customHeight="1">
      <c r="A586" s="442"/>
      <c r="B586" s="459"/>
      <c r="C586" s="442"/>
      <c r="D586" s="442"/>
      <c r="E586" s="460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  <c r="Y586" s="442"/>
      <c r="Z586" s="442"/>
    </row>
    <row r="587" ht="19.5" customHeight="1">
      <c r="A587" s="442"/>
      <c r="B587" s="459"/>
      <c r="C587" s="442"/>
      <c r="D587" s="442"/>
      <c r="E587" s="460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  <c r="Y587" s="442"/>
      <c r="Z587" s="442"/>
    </row>
    <row r="588" ht="19.5" customHeight="1">
      <c r="A588" s="442"/>
      <c r="B588" s="459"/>
      <c r="C588" s="442"/>
      <c r="D588" s="442"/>
      <c r="E588" s="460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  <c r="Y588" s="442"/>
      <c r="Z588" s="442"/>
    </row>
    <row r="589" ht="19.5" customHeight="1">
      <c r="A589" s="442"/>
      <c r="B589" s="459"/>
      <c r="C589" s="442"/>
      <c r="D589" s="442"/>
      <c r="E589" s="460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  <c r="Y589" s="442"/>
      <c r="Z589" s="442"/>
    </row>
    <row r="590" ht="19.5" customHeight="1">
      <c r="A590" s="442"/>
      <c r="B590" s="459"/>
      <c r="C590" s="442"/>
      <c r="D590" s="442"/>
      <c r="E590" s="460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  <c r="Y590" s="442"/>
      <c r="Z590" s="442"/>
    </row>
    <row r="591" ht="19.5" customHeight="1">
      <c r="A591" s="442"/>
      <c r="B591" s="459"/>
      <c r="C591" s="442"/>
      <c r="D591" s="442"/>
      <c r="E591" s="460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  <c r="Y591" s="442"/>
      <c r="Z591" s="442"/>
    </row>
    <row r="592" ht="19.5" customHeight="1">
      <c r="A592" s="442"/>
      <c r="B592" s="459"/>
      <c r="C592" s="442"/>
      <c r="D592" s="442"/>
      <c r="E592" s="460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  <c r="Y592" s="442"/>
      <c r="Z592" s="442"/>
    </row>
    <row r="593" ht="19.5" customHeight="1">
      <c r="A593" s="442"/>
      <c r="B593" s="459"/>
      <c r="C593" s="442"/>
      <c r="D593" s="442"/>
      <c r="E593" s="460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  <c r="Y593" s="442"/>
      <c r="Z593" s="442"/>
    </row>
    <row r="594" ht="19.5" customHeight="1">
      <c r="A594" s="442"/>
      <c r="B594" s="459"/>
      <c r="C594" s="442"/>
      <c r="D594" s="442"/>
      <c r="E594" s="460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  <c r="Y594" s="442"/>
      <c r="Z594" s="442"/>
    </row>
    <row r="595" ht="19.5" customHeight="1">
      <c r="A595" s="442"/>
      <c r="B595" s="459"/>
      <c r="C595" s="442"/>
      <c r="D595" s="442"/>
      <c r="E595" s="460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  <c r="Y595" s="442"/>
      <c r="Z595" s="442"/>
    </row>
    <row r="596" ht="19.5" customHeight="1">
      <c r="A596" s="442"/>
      <c r="B596" s="459"/>
      <c r="C596" s="442"/>
      <c r="D596" s="442"/>
      <c r="E596" s="460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  <c r="Y596" s="442"/>
      <c r="Z596" s="442"/>
    </row>
    <row r="597" ht="19.5" customHeight="1">
      <c r="A597" s="442"/>
      <c r="B597" s="459"/>
      <c r="C597" s="442"/>
      <c r="D597" s="442"/>
      <c r="E597" s="460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  <c r="Y597" s="442"/>
      <c r="Z597" s="442"/>
    </row>
    <row r="598" ht="19.5" customHeight="1">
      <c r="A598" s="442"/>
      <c r="B598" s="459"/>
      <c r="C598" s="442"/>
      <c r="D598" s="442"/>
      <c r="E598" s="460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  <c r="Y598" s="442"/>
      <c r="Z598" s="442"/>
    </row>
    <row r="599" ht="19.5" customHeight="1">
      <c r="A599" s="442"/>
      <c r="B599" s="459"/>
      <c r="C599" s="442"/>
      <c r="D599" s="442"/>
      <c r="E599" s="460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  <c r="Y599" s="442"/>
      <c r="Z599" s="442"/>
    </row>
    <row r="600" ht="19.5" customHeight="1">
      <c r="A600" s="442"/>
      <c r="B600" s="459"/>
      <c r="C600" s="442"/>
      <c r="D600" s="442"/>
      <c r="E600" s="460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  <c r="Y600" s="442"/>
      <c r="Z600" s="442"/>
    </row>
    <row r="601" ht="19.5" customHeight="1">
      <c r="A601" s="442"/>
      <c r="B601" s="459"/>
      <c r="C601" s="442"/>
      <c r="D601" s="442"/>
      <c r="E601" s="460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  <c r="Y601" s="442"/>
      <c r="Z601" s="442"/>
    </row>
    <row r="602" ht="19.5" customHeight="1">
      <c r="A602" s="442"/>
      <c r="B602" s="459"/>
      <c r="C602" s="442"/>
      <c r="D602" s="442"/>
      <c r="E602" s="460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  <c r="Y602" s="442"/>
      <c r="Z602" s="442"/>
    </row>
    <row r="603" ht="19.5" customHeight="1">
      <c r="A603" s="442"/>
      <c r="B603" s="459"/>
      <c r="C603" s="442"/>
      <c r="D603" s="442"/>
      <c r="E603" s="460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  <c r="Y603" s="442"/>
      <c r="Z603" s="442"/>
    </row>
    <row r="604" ht="19.5" customHeight="1">
      <c r="A604" s="442"/>
      <c r="B604" s="459"/>
      <c r="C604" s="442"/>
      <c r="D604" s="442"/>
      <c r="E604" s="460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  <c r="Y604" s="442"/>
      <c r="Z604" s="442"/>
    </row>
    <row r="605" ht="19.5" customHeight="1">
      <c r="A605" s="442"/>
      <c r="B605" s="459"/>
      <c r="C605" s="442"/>
      <c r="D605" s="442"/>
      <c r="E605" s="460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  <c r="Y605" s="442"/>
      <c r="Z605" s="442"/>
    </row>
    <row r="606" ht="19.5" customHeight="1">
      <c r="A606" s="442"/>
      <c r="B606" s="459"/>
      <c r="C606" s="442"/>
      <c r="D606" s="442"/>
      <c r="E606" s="460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  <c r="Y606" s="442"/>
      <c r="Z606" s="442"/>
    </row>
    <row r="607" ht="19.5" customHeight="1">
      <c r="A607" s="442"/>
      <c r="B607" s="459"/>
      <c r="C607" s="442"/>
      <c r="D607" s="442"/>
      <c r="E607" s="460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  <c r="Y607" s="442"/>
      <c r="Z607" s="442"/>
    </row>
    <row r="608" ht="19.5" customHeight="1">
      <c r="A608" s="442"/>
      <c r="B608" s="459"/>
      <c r="C608" s="442"/>
      <c r="D608" s="442"/>
      <c r="E608" s="460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  <c r="Y608" s="442"/>
      <c r="Z608" s="442"/>
    </row>
    <row r="609" ht="19.5" customHeight="1">
      <c r="A609" s="442"/>
      <c r="B609" s="459"/>
      <c r="C609" s="442"/>
      <c r="D609" s="442"/>
      <c r="E609" s="460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  <c r="Y609" s="442"/>
      <c r="Z609" s="442"/>
    </row>
    <row r="610" ht="19.5" customHeight="1">
      <c r="A610" s="442"/>
      <c r="B610" s="459"/>
      <c r="C610" s="442"/>
      <c r="D610" s="442"/>
      <c r="E610" s="460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  <c r="Y610" s="442"/>
      <c r="Z610" s="442"/>
    </row>
    <row r="611" ht="19.5" customHeight="1">
      <c r="A611" s="442"/>
      <c r="B611" s="459"/>
      <c r="C611" s="442"/>
      <c r="D611" s="442"/>
      <c r="E611" s="460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  <c r="Y611" s="442"/>
      <c r="Z611" s="442"/>
    </row>
    <row r="612" ht="19.5" customHeight="1">
      <c r="A612" s="442"/>
      <c r="B612" s="459"/>
      <c r="C612" s="442"/>
      <c r="D612" s="442"/>
      <c r="E612" s="460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  <c r="Y612" s="442"/>
      <c r="Z612" s="442"/>
    </row>
    <row r="613" ht="19.5" customHeight="1">
      <c r="A613" s="442"/>
      <c r="B613" s="459"/>
      <c r="C613" s="442"/>
      <c r="D613" s="442"/>
      <c r="E613" s="460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  <c r="Y613" s="442"/>
      <c r="Z613" s="442"/>
    </row>
    <row r="614" ht="19.5" customHeight="1">
      <c r="A614" s="442"/>
      <c r="B614" s="459"/>
      <c r="C614" s="442"/>
      <c r="D614" s="442"/>
      <c r="E614" s="460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  <c r="Y614" s="442"/>
      <c r="Z614" s="442"/>
    </row>
    <row r="615" ht="19.5" customHeight="1">
      <c r="A615" s="442"/>
      <c r="B615" s="459"/>
      <c r="C615" s="442"/>
      <c r="D615" s="442"/>
      <c r="E615" s="460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  <c r="Y615" s="442"/>
      <c r="Z615" s="442"/>
    </row>
    <row r="616" ht="19.5" customHeight="1">
      <c r="A616" s="442"/>
      <c r="B616" s="459"/>
      <c r="C616" s="442"/>
      <c r="D616" s="442"/>
      <c r="E616" s="460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  <c r="Y616" s="442"/>
      <c r="Z616" s="442"/>
    </row>
    <row r="617" ht="19.5" customHeight="1">
      <c r="A617" s="442"/>
      <c r="B617" s="459"/>
      <c r="C617" s="442"/>
      <c r="D617" s="442"/>
      <c r="E617" s="460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  <c r="Y617" s="442"/>
      <c r="Z617" s="442"/>
    </row>
    <row r="618" ht="19.5" customHeight="1">
      <c r="A618" s="442"/>
      <c r="B618" s="459"/>
      <c r="C618" s="442"/>
      <c r="D618" s="442"/>
      <c r="E618" s="460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  <c r="Y618" s="442"/>
      <c r="Z618" s="442"/>
    </row>
    <row r="619" ht="19.5" customHeight="1">
      <c r="A619" s="442"/>
      <c r="B619" s="459"/>
      <c r="C619" s="442"/>
      <c r="D619" s="442"/>
      <c r="E619" s="460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  <c r="Y619" s="442"/>
      <c r="Z619" s="442"/>
    </row>
    <row r="620" ht="19.5" customHeight="1">
      <c r="A620" s="442"/>
      <c r="B620" s="459"/>
      <c r="C620" s="442"/>
      <c r="D620" s="442"/>
      <c r="E620" s="460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  <c r="Y620" s="442"/>
      <c r="Z620" s="442"/>
    </row>
    <row r="621" ht="19.5" customHeight="1">
      <c r="A621" s="442"/>
      <c r="B621" s="459"/>
      <c r="C621" s="442"/>
      <c r="D621" s="442"/>
      <c r="E621" s="460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  <c r="Y621" s="442"/>
      <c r="Z621" s="442"/>
    </row>
    <row r="622" ht="19.5" customHeight="1">
      <c r="A622" s="442"/>
      <c r="B622" s="459"/>
      <c r="C622" s="442"/>
      <c r="D622" s="442"/>
      <c r="E622" s="460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  <c r="Y622" s="442"/>
      <c r="Z622" s="442"/>
    </row>
    <row r="623" ht="19.5" customHeight="1">
      <c r="A623" s="442"/>
      <c r="B623" s="459"/>
      <c r="C623" s="442"/>
      <c r="D623" s="442"/>
      <c r="E623" s="460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  <c r="Y623" s="442"/>
      <c r="Z623" s="442"/>
    </row>
    <row r="624" ht="19.5" customHeight="1">
      <c r="A624" s="442"/>
      <c r="B624" s="459"/>
      <c r="C624" s="442"/>
      <c r="D624" s="442"/>
      <c r="E624" s="460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  <c r="Y624" s="442"/>
      <c r="Z624" s="442"/>
    </row>
    <row r="625" ht="19.5" customHeight="1">
      <c r="A625" s="442"/>
      <c r="B625" s="459"/>
      <c r="C625" s="442"/>
      <c r="D625" s="442"/>
      <c r="E625" s="460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  <c r="Y625" s="442"/>
      <c r="Z625" s="442"/>
    </row>
    <row r="626" ht="19.5" customHeight="1">
      <c r="A626" s="442"/>
      <c r="B626" s="459"/>
      <c r="C626" s="442"/>
      <c r="D626" s="442"/>
      <c r="E626" s="460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  <c r="Y626" s="442"/>
      <c r="Z626" s="442"/>
    </row>
    <row r="627" ht="19.5" customHeight="1">
      <c r="A627" s="442"/>
      <c r="B627" s="459"/>
      <c r="C627" s="442"/>
      <c r="D627" s="442"/>
      <c r="E627" s="460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  <c r="Y627" s="442"/>
      <c r="Z627" s="442"/>
    </row>
    <row r="628" ht="19.5" customHeight="1">
      <c r="A628" s="442"/>
      <c r="B628" s="459"/>
      <c r="C628" s="442"/>
      <c r="D628" s="442"/>
      <c r="E628" s="460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  <c r="Y628" s="442"/>
      <c r="Z628" s="442"/>
    </row>
    <row r="629" ht="19.5" customHeight="1">
      <c r="A629" s="442"/>
      <c r="B629" s="459"/>
      <c r="C629" s="442"/>
      <c r="D629" s="442"/>
      <c r="E629" s="460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  <c r="Y629" s="442"/>
      <c r="Z629" s="442"/>
    </row>
    <row r="630" ht="19.5" customHeight="1">
      <c r="A630" s="442"/>
      <c r="B630" s="459"/>
      <c r="C630" s="442"/>
      <c r="D630" s="442"/>
      <c r="E630" s="460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  <c r="Y630" s="442"/>
      <c r="Z630" s="442"/>
    </row>
    <row r="631" ht="19.5" customHeight="1">
      <c r="A631" s="442"/>
      <c r="B631" s="459"/>
      <c r="C631" s="442"/>
      <c r="D631" s="442"/>
      <c r="E631" s="460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  <c r="Y631" s="442"/>
      <c r="Z631" s="442"/>
    </row>
    <row r="632" ht="19.5" customHeight="1">
      <c r="A632" s="442"/>
      <c r="B632" s="459"/>
      <c r="C632" s="442"/>
      <c r="D632" s="442"/>
      <c r="E632" s="460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  <c r="Y632" s="442"/>
      <c r="Z632" s="442"/>
    </row>
    <row r="633" ht="19.5" customHeight="1">
      <c r="A633" s="442"/>
      <c r="B633" s="459"/>
      <c r="C633" s="442"/>
      <c r="D633" s="442"/>
      <c r="E633" s="460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  <c r="Y633" s="442"/>
      <c r="Z633" s="442"/>
    </row>
    <row r="634" ht="19.5" customHeight="1">
      <c r="A634" s="442"/>
      <c r="B634" s="459"/>
      <c r="C634" s="442"/>
      <c r="D634" s="442"/>
      <c r="E634" s="460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  <c r="Y634" s="442"/>
      <c r="Z634" s="442"/>
    </row>
    <row r="635" ht="19.5" customHeight="1">
      <c r="A635" s="442"/>
      <c r="B635" s="459"/>
      <c r="C635" s="442"/>
      <c r="D635" s="442"/>
      <c r="E635" s="460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  <c r="Y635" s="442"/>
      <c r="Z635" s="442"/>
    </row>
    <row r="636" ht="19.5" customHeight="1">
      <c r="A636" s="442"/>
      <c r="B636" s="459"/>
      <c r="C636" s="442"/>
      <c r="D636" s="442"/>
      <c r="E636" s="460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  <c r="Y636" s="442"/>
      <c r="Z636" s="442"/>
    </row>
    <row r="637" ht="19.5" customHeight="1">
      <c r="A637" s="442"/>
      <c r="B637" s="459"/>
      <c r="C637" s="442"/>
      <c r="D637" s="442"/>
      <c r="E637" s="460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  <c r="Y637" s="442"/>
      <c r="Z637" s="442"/>
    </row>
    <row r="638" ht="19.5" customHeight="1">
      <c r="A638" s="442"/>
      <c r="B638" s="459"/>
      <c r="C638" s="442"/>
      <c r="D638" s="442"/>
      <c r="E638" s="460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  <c r="Y638" s="442"/>
      <c r="Z638" s="442"/>
    </row>
    <row r="639" ht="19.5" customHeight="1">
      <c r="A639" s="442"/>
      <c r="B639" s="459"/>
      <c r="C639" s="442"/>
      <c r="D639" s="442"/>
      <c r="E639" s="460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  <c r="Y639" s="442"/>
      <c r="Z639" s="442"/>
    </row>
    <row r="640" ht="19.5" customHeight="1">
      <c r="A640" s="442"/>
      <c r="B640" s="459"/>
      <c r="C640" s="442"/>
      <c r="D640" s="442"/>
      <c r="E640" s="460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  <c r="Y640" s="442"/>
      <c r="Z640" s="442"/>
    </row>
    <row r="641" ht="19.5" customHeight="1">
      <c r="A641" s="442"/>
      <c r="B641" s="459"/>
      <c r="C641" s="442"/>
      <c r="D641" s="442"/>
      <c r="E641" s="460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  <c r="Y641" s="442"/>
      <c r="Z641" s="442"/>
    </row>
    <row r="642" ht="19.5" customHeight="1">
      <c r="A642" s="442"/>
      <c r="B642" s="459"/>
      <c r="C642" s="442"/>
      <c r="D642" s="442"/>
      <c r="E642" s="460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  <c r="Y642" s="442"/>
      <c r="Z642" s="442"/>
    </row>
    <row r="643" ht="19.5" customHeight="1">
      <c r="A643" s="442"/>
      <c r="B643" s="459"/>
      <c r="C643" s="442"/>
      <c r="D643" s="442"/>
      <c r="E643" s="460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  <c r="Y643" s="442"/>
      <c r="Z643" s="442"/>
    </row>
    <row r="644" ht="19.5" customHeight="1">
      <c r="A644" s="442"/>
      <c r="B644" s="459"/>
      <c r="C644" s="442"/>
      <c r="D644" s="442"/>
      <c r="E644" s="460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  <c r="Y644" s="442"/>
      <c r="Z644" s="442"/>
    </row>
    <row r="645" ht="19.5" customHeight="1">
      <c r="A645" s="442"/>
      <c r="B645" s="459"/>
      <c r="C645" s="442"/>
      <c r="D645" s="442"/>
      <c r="E645" s="460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  <c r="Y645" s="442"/>
      <c r="Z645" s="442"/>
    </row>
    <row r="646" ht="19.5" customHeight="1">
      <c r="A646" s="442"/>
      <c r="B646" s="459"/>
      <c r="C646" s="442"/>
      <c r="D646" s="442"/>
      <c r="E646" s="460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  <c r="Y646" s="442"/>
      <c r="Z646" s="442"/>
    </row>
    <row r="647" ht="19.5" customHeight="1">
      <c r="A647" s="442"/>
      <c r="B647" s="459"/>
      <c r="C647" s="442"/>
      <c r="D647" s="442"/>
      <c r="E647" s="460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  <c r="Y647" s="442"/>
      <c r="Z647" s="442"/>
    </row>
    <row r="648" ht="19.5" customHeight="1">
      <c r="A648" s="442"/>
      <c r="B648" s="459"/>
      <c r="C648" s="442"/>
      <c r="D648" s="442"/>
      <c r="E648" s="460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  <c r="Y648" s="442"/>
      <c r="Z648" s="442"/>
    </row>
    <row r="649" ht="19.5" customHeight="1">
      <c r="A649" s="442"/>
      <c r="B649" s="459"/>
      <c r="C649" s="442"/>
      <c r="D649" s="442"/>
      <c r="E649" s="460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  <c r="Y649" s="442"/>
      <c r="Z649" s="442"/>
    </row>
    <row r="650" ht="19.5" customHeight="1">
      <c r="A650" s="442"/>
      <c r="B650" s="459"/>
      <c r="C650" s="442"/>
      <c r="D650" s="442"/>
      <c r="E650" s="460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  <c r="Y650" s="442"/>
      <c r="Z650" s="442"/>
    </row>
    <row r="651" ht="19.5" customHeight="1">
      <c r="A651" s="442"/>
      <c r="B651" s="459"/>
      <c r="C651" s="442"/>
      <c r="D651" s="442"/>
      <c r="E651" s="460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  <c r="Y651" s="442"/>
      <c r="Z651" s="442"/>
    </row>
    <row r="652" ht="19.5" customHeight="1">
      <c r="A652" s="442"/>
      <c r="B652" s="459"/>
      <c r="C652" s="442"/>
      <c r="D652" s="442"/>
      <c r="E652" s="460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  <c r="Y652" s="442"/>
      <c r="Z652" s="442"/>
    </row>
    <row r="653" ht="19.5" customHeight="1">
      <c r="A653" s="442"/>
      <c r="B653" s="459"/>
      <c r="C653" s="442"/>
      <c r="D653" s="442"/>
      <c r="E653" s="460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  <c r="Y653" s="442"/>
      <c r="Z653" s="442"/>
    </row>
    <row r="654" ht="19.5" customHeight="1">
      <c r="A654" s="442"/>
      <c r="B654" s="459"/>
      <c r="C654" s="442"/>
      <c r="D654" s="442"/>
      <c r="E654" s="460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  <c r="Y654" s="442"/>
      <c r="Z654" s="442"/>
    </row>
    <row r="655" ht="19.5" customHeight="1">
      <c r="A655" s="442"/>
      <c r="B655" s="459"/>
      <c r="C655" s="442"/>
      <c r="D655" s="442"/>
      <c r="E655" s="460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  <c r="Y655" s="442"/>
      <c r="Z655" s="442"/>
    </row>
    <row r="656" ht="19.5" customHeight="1">
      <c r="A656" s="442"/>
      <c r="B656" s="459"/>
      <c r="C656" s="442"/>
      <c r="D656" s="442"/>
      <c r="E656" s="460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  <c r="Y656" s="442"/>
      <c r="Z656" s="442"/>
    </row>
    <row r="657" ht="19.5" customHeight="1">
      <c r="A657" s="442"/>
      <c r="B657" s="459"/>
      <c r="C657" s="442"/>
      <c r="D657" s="442"/>
      <c r="E657" s="460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  <c r="Y657" s="442"/>
      <c r="Z657" s="442"/>
    </row>
    <row r="658" ht="19.5" customHeight="1">
      <c r="A658" s="442"/>
      <c r="B658" s="459"/>
      <c r="C658" s="442"/>
      <c r="D658" s="442"/>
      <c r="E658" s="460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  <c r="Y658" s="442"/>
      <c r="Z658" s="442"/>
    </row>
    <row r="659" ht="19.5" customHeight="1">
      <c r="A659" s="442"/>
      <c r="B659" s="459"/>
      <c r="C659" s="442"/>
      <c r="D659" s="442"/>
      <c r="E659" s="460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  <c r="Y659" s="442"/>
      <c r="Z659" s="442"/>
    </row>
    <row r="660" ht="19.5" customHeight="1">
      <c r="A660" s="442"/>
      <c r="B660" s="459"/>
      <c r="C660" s="442"/>
      <c r="D660" s="442"/>
      <c r="E660" s="460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  <c r="Y660" s="442"/>
      <c r="Z660" s="442"/>
    </row>
    <row r="661" ht="19.5" customHeight="1">
      <c r="A661" s="442"/>
      <c r="B661" s="459"/>
      <c r="C661" s="442"/>
      <c r="D661" s="442"/>
      <c r="E661" s="460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  <c r="Y661" s="442"/>
      <c r="Z661" s="442"/>
    </row>
    <row r="662" ht="19.5" customHeight="1">
      <c r="A662" s="442"/>
      <c r="B662" s="459"/>
      <c r="C662" s="442"/>
      <c r="D662" s="442"/>
      <c r="E662" s="460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  <c r="Y662" s="442"/>
      <c r="Z662" s="442"/>
    </row>
    <row r="663" ht="19.5" customHeight="1">
      <c r="A663" s="442"/>
      <c r="B663" s="459"/>
      <c r="C663" s="442"/>
      <c r="D663" s="442"/>
      <c r="E663" s="460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  <c r="Y663" s="442"/>
      <c r="Z663" s="442"/>
    </row>
    <row r="664" ht="19.5" customHeight="1">
      <c r="A664" s="442"/>
      <c r="B664" s="459"/>
      <c r="C664" s="442"/>
      <c r="D664" s="442"/>
      <c r="E664" s="460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  <c r="Y664" s="442"/>
      <c r="Z664" s="442"/>
    </row>
    <row r="665" ht="19.5" customHeight="1">
      <c r="A665" s="442"/>
      <c r="B665" s="459"/>
      <c r="C665" s="442"/>
      <c r="D665" s="442"/>
      <c r="E665" s="460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  <c r="Y665" s="442"/>
      <c r="Z665" s="442"/>
    </row>
    <row r="666" ht="19.5" customHeight="1">
      <c r="A666" s="442"/>
      <c r="B666" s="459"/>
      <c r="C666" s="442"/>
      <c r="D666" s="442"/>
      <c r="E666" s="460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  <c r="Y666" s="442"/>
      <c r="Z666" s="442"/>
    </row>
    <row r="667" ht="19.5" customHeight="1">
      <c r="A667" s="442"/>
      <c r="B667" s="459"/>
      <c r="C667" s="442"/>
      <c r="D667" s="442"/>
      <c r="E667" s="460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  <c r="Y667" s="442"/>
      <c r="Z667" s="442"/>
    </row>
    <row r="668" ht="19.5" customHeight="1">
      <c r="A668" s="442"/>
      <c r="B668" s="459"/>
      <c r="C668" s="442"/>
      <c r="D668" s="442"/>
      <c r="E668" s="460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  <c r="Y668" s="442"/>
      <c r="Z668" s="442"/>
    </row>
    <row r="669" ht="19.5" customHeight="1">
      <c r="A669" s="442"/>
      <c r="B669" s="459"/>
      <c r="C669" s="442"/>
      <c r="D669" s="442"/>
      <c r="E669" s="460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  <c r="Y669" s="442"/>
      <c r="Z669" s="442"/>
    </row>
    <row r="670" ht="19.5" customHeight="1">
      <c r="A670" s="442"/>
      <c r="B670" s="459"/>
      <c r="C670" s="442"/>
      <c r="D670" s="442"/>
      <c r="E670" s="460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  <c r="Y670" s="442"/>
      <c r="Z670" s="442"/>
    </row>
    <row r="671" ht="19.5" customHeight="1">
      <c r="A671" s="442"/>
      <c r="B671" s="459"/>
      <c r="C671" s="442"/>
      <c r="D671" s="442"/>
      <c r="E671" s="460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  <c r="Y671" s="442"/>
      <c r="Z671" s="442"/>
    </row>
    <row r="672" ht="19.5" customHeight="1">
      <c r="A672" s="442"/>
      <c r="B672" s="459"/>
      <c r="C672" s="442"/>
      <c r="D672" s="442"/>
      <c r="E672" s="460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  <c r="Y672" s="442"/>
      <c r="Z672" s="442"/>
    </row>
    <row r="673" ht="19.5" customHeight="1">
      <c r="A673" s="442"/>
      <c r="B673" s="459"/>
      <c r="C673" s="442"/>
      <c r="D673" s="442"/>
      <c r="E673" s="460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  <c r="Y673" s="442"/>
      <c r="Z673" s="442"/>
    </row>
    <row r="674" ht="19.5" customHeight="1">
      <c r="A674" s="442"/>
      <c r="B674" s="459"/>
      <c r="C674" s="442"/>
      <c r="D674" s="442"/>
      <c r="E674" s="460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  <c r="Y674" s="442"/>
      <c r="Z674" s="442"/>
    </row>
    <row r="675" ht="19.5" customHeight="1">
      <c r="A675" s="442"/>
      <c r="B675" s="459"/>
      <c r="C675" s="442"/>
      <c r="D675" s="442"/>
      <c r="E675" s="460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  <c r="Y675" s="442"/>
      <c r="Z675" s="442"/>
    </row>
    <row r="676" ht="19.5" customHeight="1">
      <c r="A676" s="442"/>
      <c r="B676" s="459"/>
      <c r="C676" s="442"/>
      <c r="D676" s="442"/>
      <c r="E676" s="460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  <c r="Y676" s="442"/>
      <c r="Z676" s="442"/>
    </row>
    <row r="677" ht="19.5" customHeight="1">
      <c r="A677" s="442"/>
      <c r="B677" s="459"/>
      <c r="C677" s="442"/>
      <c r="D677" s="442"/>
      <c r="E677" s="460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  <c r="Y677" s="442"/>
      <c r="Z677" s="442"/>
    </row>
    <row r="678" ht="19.5" customHeight="1">
      <c r="A678" s="442"/>
      <c r="B678" s="459"/>
      <c r="C678" s="442"/>
      <c r="D678" s="442"/>
      <c r="E678" s="460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  <c r="Y678" s="442"/>
      <c r="Z678" s="442"/>
    </row>
    <row r="679" ht="19.5" customHeight="1">
      <c r="A679" s="442"/>
      <c r="B679" s="459"/>
      <c r="C679" s="442"/>
      <c r="D679" s="442"/>
      <c r="E679" s="460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  <c r="Y679" s="442"/>
      <c r="Z679" s="442"/>
    </row>
    <row r="680" ht="19.5" customHeight="1">
      <c r="A680" s="442"/>
      <c r="B680" s="459"/>
      <c r="C680" s="442"/>
      <c r="D680" s="442"/>
      <c r="E680" s="460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  <c r="Y680" s="442"/>
      <c r="Z680" s="442"/>
    </row>
    <row r="681" ht="19.5" customHeight="1">
      <c r="A681" s="442"/>
      <c r="B681" s="459"/>
      <c r="C681" s="442"/>
      <c r="D681" s="442"/>
      <c r="E681" s="460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  <c r="Y681" s="442"/>
      <c r="Z681" s="442"/>
    </row>
    <row r="682" ht="19.5" customHeight="1">
      <c r="A682" s="442"/>
      <c r="B682" s="459"/>
      <c r="C682" s="442"/>
      <c r="D682" s="442"/>
      <c r="E682" s="460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  <c r="Y682" s="442"/>
      <c r="Z682" s="442"/>
    </row>
    <row r="683" ht="19.5" customHeight="1">
      <c r="A683" s="442"/>
      <c r="B683" s="459"/>
      <c r="C683" s="442"/>
      <c r="D683" s="442"/>
      <c r="E683" s="460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  <c r="Y683" s="442"/>
      <c r="Z683" s="442"/>
    </row>
    <row r="684" ht="19.5" customHeight="1">
      <c r="A684" s="442"/>
      <c r="B684" s="459"/>
      <c r="C684" s="442"/>
      <c r="D684" s="442"/>
      <c r="E684" s="460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  <c r="Y684" s="442"/>
      <c r="Z684" s="442"/>
    </row>
    <row r="685" ht="19.5" customHeight="1">
      <c r="A685" s="442"/>
      <c r="B685" s="459"/>
      <c r="C685" s="442"/>
      <c r="D685" s="442"/>
      <c r="E685" s="460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  <c r="Y685" s="442"/>
      <c r="Z685" s="442"/>
    </row>
    <row r="686" ht="19.5" customHeight="1">
      <c r="A686" s="442"/>
      <c r="B686" s="459"/>
      <c r="C686" s="442"/>
      <c r="D686" s="442"/>
      <c r="E686" s="460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  <c r="Y686" s="442"/>
      <c r="Z686" s="442"/>
    </row>
    <row r="687" ht="19.5" customHeight="1">
      <c r="A687" s="442"/>
      <c r="B687" s="459"/>
      <c r="C687" s="442"/>
      <c r="D687" s="442"/>
      <c r="E687" s="460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  <c r="Y687" s="442"/>
      <c r="Z687" s="442"/>
    </row>
    <row r="688" ht="19.5" customHeight="1">
      <c r="A688" s="442"/>
      <c r="B688" s="459"/>
      <c r="C688" s="442"/>
      <c r="D688" s="442"/>
      <c r="E688" s="460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  <c r="Y688" s="442"/>
      <c r="Z688" s="442"/>
    </row>
    <row r="689" ht="19.5" customHeight="1">
      <c r="A689" s="442"/>
      <c r="B689" s="459"/>
      <c r="C689" s="442"/>
      <c r="D689" s="442"/>
      <c r="E689" s="460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  <c r="Y689" s="442"/>
      <c r="Z689" s="442"/>
    </row>
    <row r="690" ht="19.5" customHeight="1">
      <c r="A690" s="442"/>
      <c r="B690" s="459"/>
      <c r="C690" s="442"/>
      <c r="D690" s="442"/>
      <c r="E690" s="460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  <c r="Y690" s="442"/>
      <c r="Z690" s="442"/>
    </row>
    <row r="691" ht="19.5" customHeight="1">
      <c r="A691" s="442"/>
      <c r="B691" s="459"/>
      <c r="C691" s="442"/>
      <c r="D691" s="442"/>
      <c r="E691" s="460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  <c r="Y691" s="442"/>
      <c r="Z691" s="442"/>
    </row>
    <row r="692" ht="19.5" customHeight="1">
      <c r="A692" s="442"/>
      <c r="B692" s="459"/>
      <c r="C692" s="442"/>
      <c r="D692" s="442"/>
      <c r="E692" s="460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  <c r="Y692" s="442"/>
      <c r="Z692" s="442"/>
    </row>
    <row r="693" ht="19.5" customHeight="1">
      <c r="A693" s="442"/>
      <c r="B693" s="459"/>
      <c r="C693" s="442"/>
      <c r="D693" s="442"/>
      <c r="E693" s="460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  <c r="Y693" s="442"/>
      <c r="Z693" s="442"/>
    </row>
    <row r="694" ht="19.5" customHeight="1">
      <c r="A694" s="442"/>
      <c r="B694" s="459"/>
      <c r="C694" s="442"/>
      <c r="D694" s="442"/>
      <c r="E694" s="460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  <c r="Y694" s="442"/>
      <c r="Z694" s="442"/>
    </row>
    <row r="695" ht="19.5" customHeight="1">
      <c r="A695" s="442"/>
      <c r="B695" s="459"/>
      <c r="C695" s="442"/>
      <c r="D695" s="442"/>
      <c r="E695" s="460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  <c r="Y695" s="442"/>
      <c r="Z695" s="442"/>
    </row>
    <row r="696" ht="19.5" customHeight="1">
      <c r="A696" s="442"/>
      <c r="B696" s="459"/>
      <c r="C696" s="442"/>
      <c r="D696" s="442"/>
      <c r="E696" s="460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  <c r="Y696" s="442"/>
      <c r="Z696" s="442"/>
    </row>
    <row r="697" ht="19.5" customHeight="1">
      <c r="A697" s="442"/>
      <c r="B697" s="459"/>
      <c r="C697" s="442"/>
      <c r="D697" s="442"/>
      <c r="E697" s="460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  <c r="Y697" s="442"/>
      <c r="Z697" s="442"/>
    </row>
    <row r="698" ht="19.5" customHeight="1">
      <c r="A698" s="442"/>
      <c r="B698" s="459"/>
      <c r="C698" s="442"/>
      <c r="D698" s="442"/>
      <c r="E698" s="460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  <c r="Y698" s="442"/>
      <c r="Z698" s="442"/>
    </row>
    <row r="699" ht="19.5" customHeight="1">
      <c r="A699" s="442"/>
      <c r="B699" s="459"/>
      <c r="C699" s="442"/>
      <c r="D699" s="442"/>
      <c r="E699" s="460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  <c r="Y699" s="442"/>
      <c r="Z699" s="442"/>
    </row>
    <row r="700" ht="19.5" customHeight="1">
      <c r="A700" s="442"/>
      <c r="B700" s="459"/>
      <c r="C700" s="442"/>
      <c r="D700" s="442"/>
      <c r="E700" s="460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  <c r="Y700" s="442"/>
      <c r="Z700" s="442"/>
    </row>
    <row r="701" ht="19.5" customHeight="1">
      <c r="A701" s="442"/>
      <c r="B701" s="459"/>
      <c r="C701" s="442"/>
      <c r="D701" s="442"/>
      <c r="E701" s="460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  <c r="Y701" s="442"/>
      <c r="Z701" s="442"/>
    </row>
    <row r="702" ht="19.5" customHeight="1">
      <c r="A702" s="442"/>
      <c r="B702" s="459"/>
      <c r="C702" s="442"/>
      <c r="D702" s="442"/>
      <c r="E702" s="460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  <c r="Y702" s="442"/>
      <c r="Z702" s="442"/>
    </row>
    <row r="703" ht="19.5" customHeight="1">
      <c r="A703" s="442"/>
      <c r="B703" s="459"/>
      <c r="C703" s="442"/>
      <c r="D703" s="442"/>
      <c r="E703" s="460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  <c r="Y703" s="442"/>
      <c r="Z703" s="442"/>
    </row>
    <row r="704" ht="19.5" customHeight="1">
      <c r="A704" s="442"/>
      <c r="B704" s="459"/>
      <c r="C704" s="442"/>
      <c r="D704" s="442"/>
      <c r="E704" s="460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  <c r="Y704" s="442"/>
      <c r="Z704" s="442"/>
    </row>
    <row r="705" ht="19.5" customHeight="1">
      <c r="A705" s="442"/>
      <c r="B705" s="459"/>
      <c r="C705" s="442"/>
      <c r="D705" s="442"/>
      <c r="E705" s="460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  <c r="Y705" s="442"/>
      <c r="Z705" s="442"/>
    </row>
    <row r="706" ht="19.5" customHeight="1">
      <c r="A706" s="442"/>
      <c r="B706" s="459"/>
      <c r="C706" s="442"/>
      <c r="D706" s="442"/>
      <c r="E706" s="460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  <c r="Y706" s="442"/>
      <c r="Z706" s="442"/>
    </row>
    <row r="707" ht="19.5" customHeight="1">
      <c r="A707" s="442"/>
      <c r="B707" s="459"/>
      <c r="C707" s="442"/>
      <c r="D707" s="442"/>
      <c r="E707" s="460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  <c r="Y707" s="442"/>
      <c r="Z707" s="442"/>
    </row>
    <row r="708" ht="19.5" customHeight="1">
      <c r="A708" s="442"/>
      <c r="B708" s="459"/>
      <c r="C708" s="442"/>
      <c r="D708" s="442"/>
      <c r="E708" s="460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  <c r="Y708" s="442"/>
      <c r="Z708" s="442"/>
    </row>
    <row r="709" ht="19.5" customHeight="1">
      <c r="A709" s="442"/>
      <c r="B709" s="459"/>
      <c r="C709" s="442"/>
      <c r="D709" s="442"/>
      <c r="E709" s="460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  <c r="Y709" s="442"/>
      <c r="Z709" s="442"/>
    </row>
    <row r="710" ht="19.5" customHeight="1">
      <c r="A710" s="442"/>
      <c r="B710" s="459"/>
      <c r="C710" s="442"/>
      <c r="D710" s="442"/>
      <c r="E710" s="460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  <c r="Y710" s="442"/>
      <c r="Z710" s="442"/>
    </row>
    <row r="711" ht="19.5" customHeight="1">
      <c r="A711" s="442"/>
      <c r="B711" s="459"/>
      <c r="C711" s="442"/>
      <c r="D711" s="442"/>
      <c r="E711" s="460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  <c r="Y711" s="442"/>
      <c r="Z711" s="442"/>
    </row>
    <row r="712" ht="19.5" customHeight="1">
      <c r="A712" s="442"/>
      <c r="B712" s="459"/>
      <c r="C712" s="442"/>
      <c r="D712" s="442"/>
      <c r="E712" s="460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  <c r="Y712" s="442"/>
      <c r="Z712" s="442"/>
    </row>
    <row r="713" ht="19.5" customHeight="1">
      <c r="A713" s="442"/>
      <c r="B713" s="459"/>
      <c r="C713" s="442"/>
      <c r="D713" s="442"/>
      <c r="E713" s="460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  <c r="Y713" s="442"/>
      <c r="Z713" s="442"/>
    </row>
    <row r="714" ht="19.5" customHeight="1">
      <c r="A714" s="442"/>
      <c r="B714" s="459"/>
      <c r="C714" s="442"/>
      <c r="D714" s="442"/>
      <c r="E714" s="460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  <c r="Y714" s="442"/>
      <c r="Z714" s="442"/>
    </row>
    <row r="715" ht="19.5" customHeight="1">
      <c r="A715" s="442"/>
      <c r="B715" s="459"/>
      <c r="C715" s="442"/>
      <c r="D715" s="442"/>
      <c r="E715" s="460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  <c r="Y715" s="442"/>
      <c r="Z715" s="442"/>
    </row>
    <row r="716" ht="19.5" customHeight="1">
      <c r="A716" s="442"/>
      <c r="B716" s="459"/>
      <c r="C716" s="442"/>
      <c r="D716" s="442"/>
      <c r="E716" s="460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  <c r="Y716" s="442"/>
      <c r="Z716" s="442"/>
    </row>
    <row r="717" ht="19.5" customHeight="1">
      <c r="A717" s="442"/>
      <c r="B717" s="459"/>
      <c r="C717" s="442"/>
      <c r="D717" s="442"/>
      <c r="E717" s="460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  <c r="Y717" s="442"/>
      <c r="Z717" s="442"/>
    </row>
    <row r="718" ht="19.5" customHeight="1">
      <c r="A718" s="442"/>
      <c r="B718" s="459"/>
      <c r="C718" s="442"/>
      <c r="D718" s="442"/>
      <c r="E718" s="460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  <c r="Y718" s="442"/>
      <c r="Z718" s="442"/>
    </row>
    <row r="719" ht="19.5" customHeight="1">
      <c r="A719" s="442"/>
      <c r="B719" s="459"/>
      <c r="C719" s="442"/>
      <c r="D719" s="442"/>
      <c r="E719" s="460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  <c r="Y719" s="442"/>
      <c r="Z719" s="442"/>
    </row>
    <row r="720" ht="19.5" customHeight="1">
      <c r="A720" s="442"/>
      <c r="B720" s="459"/>
      <c r="C720" s="442"/>
      <c r="D720" s="442"/>
      <c r="E720" s="460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  <c r="Y720" s="442"/>
      <c r="Z720" s="442"/>
    </row>
    <row r="721" ht="19.5" customHeight="1">
      <c r="A721" s="442"/>
      <c r="B721" s="459"/>
      <c r="C721" s="442"/>
      <c r="D721" s="442"/>
      <c r="E721" s="460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  <c r="Y721" s="442"/>
      <c r="Z721" s="442"/>
    </row>
    <row r="722" ht="19.5" customHeight="1">
      <c r="A722" s="442"/>
      <c r="B722" s="459"/>
      <c r="C722" s="442"/>
      <c r="D722" s="442"/>
      <c r="E722" s="460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  <c r="Y722" s="442"/>
      <c r="Z722" s="442"/>
    </row>
    <row r="723" ht="19.5" customHeight="1">
      <c r="A723" s="442"/>
      <c r="B723" s="459"/>
      <c r="C723" s="442"/>
      <c r="D723" s="442"/>
      <c r="E723" s="460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  <c r="Y723" s="442"/>
      <c r="Z723" s="442"/>
    </row>
    <row r="724" ht="19.5" customHeight="1">
      <c r="A724" s="442"/>
      <c r="B724" s="459"/>
      <c r="C724" s="442"/>
      <c r="D724" s="442"/>
      <c r="E724" s="460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  <c r="Y724" s="442"/>
      <c r="Z724" s="442"/>
    </row>
    <row r="725" ht="19.5" customHeight="1">
      <c r="A725" s="442"/>
      <c r="B725" s="459"/>
      <c r="C725" s="442"/>
      <c r="D725" s="442"/>
      <c r="E725" s="460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  <c r="Y725" s="442"/>
      <c r="Z725" s="442"/>
    </row>
    <row r="726" ht="19.5" customHeight="1">
      <c r="A726" s="442"/>
      <c r="B726" s="459"/>
      <c r="C726" s="442"/>
      <c r="D726" s="442"/>
      <c r="E726" s="460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  <c r="Y726" s="442"/>
      <c r="Z726" s="442"/>
    </row>
    <row r="727" ht="19.5" customHeight="1">
      <c r="A727" s="442"/>
      <c r="B727" s="459"/>
      <c r="C727" s="442"/>
      <c r="D727" s="442"/>
      <c r="E727" s="460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  <c r="Y727" s="442"/>
      <c r="Z727" s="442"/>
    </row>
    <row r="728" ht="19.5" customHeight="1">
      <c r="A728" s="442"/>
      <c r="B728" s="459"/>
      <c r="C728" s="442"/>
      <c r="D728" s="442"/>
      <c r="E728" s="460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  <c r="Y728" s="442"/>
      <c r="Z728" s="442"/>
    </row>
    <row r="729" ht="19.5" customHeight="1">
      <c r="A729" s="442"/>
      <c r="B729" s="459"/>
      <c r="C729" s="442"/>
      <c r="D729" s="442"/>
      <c r="E729" s="460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  <c r="Y729" s="442"/>
      <c r="Z729" s="442"/>
    </row>
    <row r="730" ht="19.5" customHeight="1">
      <c r="A730" s="442"/>
      <c r="B730" s="459"/>
      <c r="C730" s="442"/>
      <c r="D730" s="442"/>
      <c r="E730" s="460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  <c r="Y730" s="442"/>
      <c r="Z730" s="442"/>
    </row>
    <row r="731" ht="19.5" customHeight="1">
      <c r="A731" s="442"/>
      <c r="B731" s="459"/>
      <c r="C731" s="442"/>
      <c r="D731" s="442"/>
      <c r="E731" s="460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  <c r="Y731" s="442"/>
      <c r="Z731" s="442"/>
    </row>
    <row r="732" ht="19.5" customHeight="1">
      <c r="A732" s="442"/>
      <c r="B732" s="459"/>
      <c r="C732" s="442"/>
      <c r="D732" s="442"/>
      <c r="E732" s="460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  <c r="Y732" s="442"/>
      <c r="Z732" s="442"/>
    </row>
    <row r="733" ht="19.5" customHeight="1">
      <c r="A733" s="442"/>
      <c r="B733" s="459"/>
      <c r="C733" s="442"/>
      <c r="D733" s="442"/>
      <c r="E733" s="460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  <c r="Y733" s="442"/>
      <c r="Z733" s="442"/>
    </row>
    <row r="734" ht="19.5" customHeight="1">
      <c r="A734" s="442"/>
      <c r="B734" s="459"/>
      <c r="C734" s="442"/>
      <c r="D734" s="442"/>
      <c r="E734" s="460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  <c r="Y734" s="442"/>
      <c r="Z734" s="442"/>
    </row>
    <row r="735" ht="19.5" customHeight="1">
      <c r="A735" s="442"/>
      <c r="B735" s="459"/>
      <c r="C735" s="442"/>
      <c r="D735" s="442"/>
      <c r="E735" s="460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  <c r="Y735" s="442"/>
      <c r="Z735" s="442"/>
    </row>
    <row r="736" ht="19.5" customHeight="1">
      <c r="A736" s="442"/>
      <c r="B736" s="459"/>
      <c r="C736" s="442"/>
      <c r="D736" s="442"/>
      <c r="E736" s="460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  <c r="Y736" s="442"/>
      <c r="Z736" s="442"/>
    </row>
    <row r="737" ht="19.5" customHeight="1">
      <c r="A737" s="442"/>
      <c r="B737" s="459"/>
      <c r="C737" s="442"/>
      <c r="D737" s="442"/>
      <c r="E737" s="460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  <c r="Y737" s="442"/>
      <c r="Z737" s="442"/>
    </row>
    <row r="738" ht="19.5" customHeight="1">
      <c r="A738" s="442"/>
      <c r="B738" s="459"/>
      <c r="C738" s="442"/>
      <c r="D738" s="442"/>
      <c r="E738" s="460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  <c r="Y738" s="442"/>
      <c r="Z738" s="442"/>
    </row>
    <row r="739" ht="19.5" customHeight="1">
      <c r="A739" s="442"/>
      <c r="B739" s="459"/>
      <c r="C739" s="442"/>
      <c r="D739" s="442"/>
      <c r="E739" s="460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  <c r="Y739" s="442"/>
      <c r="Z739" s="442"/>
    </row>
    <row r="740" ht="19.5" customHeight="1">
      <c r="A740" s="442"/>
      <c r="B740" s="459"/>
      <c r="C740" s="442"/>
      <c r="D740" s="442"/>
      <c r="E740" s="460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  <c r="Y740" s="442"/>
      <c r="Z740" s="442"/>
    </row>
    <row r="741" ht="19.5" customHeight="1">
      <c r="A741" s="442"/>
      <c r="B741" s="459"/>
      <c r="C741" s="442"/>
      <c r="D741" s="442"/>
      <c r="E741" s="460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  <c r="Y741" s="442"/>
      <c r="Z741" s="442"/>
    </row>
    <row r="742" ht="19.5" customHeight="1">
      <c r="A742" s="442"/>
      <c r="B742" s="459"/>
      <c r="C742" s="442"/>
      <c r="D742" s="442"/>
      <c r="E742" s="460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  <c r="Y742" s="442"/>
      <c r="Z742" s="442"/>
    </row>
    <row r="743" ht="19.5" customHeight="1">
      <c r="A743" s="442"/>
      <c r="B743" s="459"/>
      <c r="C743" s="442"/>
      <c r="D743" s="442"/>
      <c r="E743" s="460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  <c r="Y743" s="442"/>
      <c r="Z743" s="442"/>
    </row>
    <row r="744" ht="19.5" customHeight="1">
      <c r="A744" s="442"/>
      <c r="B744" s="459"/>
      <c r="C744" s="442"/>
      <c r="D744" s="442"/>
      <c r="E744" s="460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  <c r="Y744" s="442"/>
      <c r="Z744" s="442"/>
    </row>
    <row r="745" ht="19.5" customHeight="1">
      <c r="A745" s="442"/>
      <c r="B745" s="459"/>
      <c r="C745" s="442"/>
      <c r="D745" s="442"/>
      <c r="E745" s="460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  <c r="Y745" s="442"/>
      <c r="Z745" s="442"/>
    </row>
    <row r="746" ht="19.5" customHeight="1">
      <c r="A746" s="442"/>
      <c r="B746" s="459"/>
      <c r="C746" s="442"/>
      <c r="D746" s="442"/>
      <c r="E746" s="460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  <c r="Y746" s="442"/>
      <c r="Z746" s="442"/>
    </row>
    <row r="747" ht="19.5" customHeight="1">
      <c r="A747" s="442"/>
      <c r="B747" s="459"/>
      <c r="C747" s="442"/>
      <c r="D747" s="442"/>
      <c r="E747" s="460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  <c r="Y747" s="442"/>
      <c r="Z747" s="442"/>
    </row>
    <row r="748" ht="19.5" customHeight="1">
      <c r="A748" s="442"/>
      <c r="B748" s="459"/>
      <c r="C748" s="442"/>
      <c r="D748" s="442"/>
      <c r="E748" s="460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  <c r="Y748" s="442"/>
      <c r="Z748" s="442"/>
    </row>
    <row r="749" ht="19.5" customHeight="1">
      <c r="A749" s="442"/>
      <c r="B749" s="459"/>
      <c r="C749" s="442"/>
      <c r="D749" s="442"/>
      <c r="E749" s="460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  <c r="Y749" s="442"/>
      <c r="Z749" s="442"/>
    </row>
    <row r="750" ht="19.5" customHeight="1">
      <c r="A750" s="442"/>
      <c r="B750" s="459"/>
      <c r="C750" s="442"/>
      <c r="D750" s="442"/>
      <c r="E750" s="460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  <c r="Y750" s="442"/>
      <c r="Z750" s="442"/>
    </row>
    <row r="751" ht="19.5" customHeight="1">
      <c r="A751" s="442"/>
      <c r="B751" s="459"/>
      <c r="C751" s="442"/>
      <c r="D751" s="442"/>
      <c r="E751" s="460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  <c r="Y751" s="442"/>
      <c r="Z751" s="442"/>
    </row>
    <row r="752" ht="19.5" customHeight="1">
      <c r="A752" s="442"/>
      <c r="B752" s="459"/>
      <c r="C752" s="442"/>
      <c r="D752" s="442"/>
      <c r="E752" s="460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  <c r="Y752" s="442"/>
      <c r="Z752" s="442"/>
    </row>
    <row r="753" ht="19.5" customHeight="1">
      <c r="A753" s="442"/>
      <c r="B753" s="459"/>
      <c r="C753" s="442"/>
      <c r="D753" s="442"/>
      <c r="E753" s="460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  <c r="Y753" s="442"/>
      <c r="Z753" s="442"/>
    </row>
    <row r="754" ht="19.5" customHeight="1">
      <c r="A754" s="442"/>
      <c r="B754" s="459"/>
      <c r="C754" s="442"/>
      <c r="D754" s="442"/>
      <c r="E754" s="460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  <c r="Y754" s="442"/>
      <c r="Z754" s="442"/>
    </row>
    <row r="755" ht="19.5" customHeight="1">
      <c r="A755" s="442"/>
      <c r="B755" s="459"/>
      <c r="C755" s="442"/>
      <c r="D755" s="442"/>
      <c r="E755" s="460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  <c r="Y755" s="442"/>
      <c r="Z755" s="442"/>
    </row>
    <row r="756" ht="19.5" customHeight="1">
      <c r="A756" s="442"/>
      <c r="B756" s="459"/>
      <c r="C756" s="442"/>
      <c r="D756" s="442"/>
      <c r="E756" s="460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  <c r="Y756" s="442"/>
      <c r="Z756" s="442"/>
    </row>
    <row r="757" ht="19.5" customHeight="1">
      <c r="A757" s="442"/>
      <c r="B757" s="459"/>
      <c r="C757" s="442"/>
      <c r="D757" s="442"/>
      <c r="E757" s="460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  <c r="Y757" s="442"/>
      <c r="Z757" s="442"/>
    </row>
    <row r="758" ht="19.5" customHeight="1">
      <c r="A758" s="442"/>
      <c r="B758" s="459"/>
      <c r="C758" s="442"/>
      <c r="D758" s="442"/>
      <c r="E758" s="460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  <c r="Y758" s="442"/>
      <c r="Z758" s="442"/>
    </row>
    <row r="759" ht="19.5" customHeight="1">
      <c r="A759" s="442"/>
      <c r="B759" s="459"/>
      <c r="C759" s="442"/>
      <c r="D759" s="442"/>
      <c r="E759" s="460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  <c r="Y759" s="442"/>
      <c r="Z759" s="442"/>
    </row>
    <row r="760" ht="19.5" customHeight="1">
      <c r="A760" s="442"/>
      <c r="B760" s="459"/>
      <c r="C760" s="442"/>
      <c r="D760" s="442"/>
      <c r="E760" s="460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  <c r="Y760" s="442"/>
      <c r="Z760" s="442"/>
    </row>
    <row r="761" ht="19.5" customHeight="1">
      <c r="A761" s="442"/>
      <c r="B761" s="459"/>
      <c r="C761" s="442"/>
      <c r="D761" s="442"/>
      <c r="E761" s="460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  <c r="Y761" s="442"/>
      <c r="Z761" s="442"/>
    </row>
    <row r="762" ht="19.5" customHeight="1">
      <c r="A762" s="442"/>
      <c r="B762" s="459"/>
      <c r="C762" s="442"/>
      <c r="D762" s="442"/>
      <c r="E762" s="460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  <c r="Y762" s="442"/>
      <c r="Z762" s="442"/>
    </row>
    <row r="763" ht="19.5" customHeight="1">
      <c r="A763" s="442"/>
      <c r="B763" s="459"/>
      <c r="C763" s="442"/>
      <c r="D763" s="442"/>
      <c r="E763" s="460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  <c r="Y763" s="442"/>
      <c r="Z763" s="442"/>
    </row>
    <row r="764" ht="19.5" customHeight="1">
      <c r="A764" s="442"/>
      <c r="B764" s="459"/>
      <c r="C764" s="442"/>
      <c r="D764" s="442"/>
      <c r="E764" s="460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  <c r="Y764" s="442"/>
      <c r="Z764" s="442"/>
    </row>
    <row r="765" ht="19.5" customHeight="1">
      <c r="A765" s="442"/>
      <c r="B765" s="459"/>
      <c r="C765" s="442"/>
      <c r="D765" s="442"/>
      <c r="E765" s="460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  <c r="Y765" s="442"/>
      <c r="Z765" s="442"/>
    </row>
    <row r="766" ht="19.5" customHeight="1">
      <c r="A766" s="442"/>
      <c r="B766" s="459"/>
      <c r="C766" s="442"/>
      <c r="D766" s="442"/>
      <c r="E766" s="460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  <c r="Y766" s="442"/>
      <c r="Z766" s="442"/>
    </row>
    <row r="767" ht="19.5" customHeight="1">
      <c r="A767" s="442"/>
      <c r="B767" s="459"/>
      <c r="C767" s="442"/>
      <c r="D767" s="442"/>
      <c r="E767" s="460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  <c r="Y767" s="442"/>
      <c r="Z767" s="442"/>
    </row>
    <row r="768" ht="19.5" customHeight="1">
      <c r="A768" s="442"/>
      <c r="B768" s="459"/>
      <c r="C768" s="442"/>
      <c r="D768" s="442"/>
      <c r="E768" s="460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  <c r="Y768" s="442"/>
      <c r="Z768" s="442"/>
    </row>
    <row r="769" ht="19.5" customHeight="1">
      <c r="A769" s="442"/>
      <c r="B769" s="459"/>
      <c r="C769" s="442"/>
      <c r="D769" s="442"/>
      <c r="E769" s="460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  <c r="Y769" s="442"/>
      <c r="Z769" s="442"/>
    </row>
    <row r="770" ht="19.5" customHeight="1">
      <c r="A770" s="442"/>
      <c r="B770" s="459"/>
      <c r="C770" s="442"/>
      <c r="D770" s="442"/>
      <c r="E770" s="460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  <c r="Y770" s="442"/>
      <c r="Z770" s="442"/>
    </row>
    <row r="771" ht="19.5" customHeight="1">
      <c r="A771" s="442"/>
      <c r="B771" s="459"/>
      <c r="C771" s="442"/>
      <c r="D771" s="442"/>
      <c r="E771" s="460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  <c r="Y771" s="442"/>
      <c r="Z771" s="442"/>
    </row>
    <row r="772" ht="19.5" customHeight="1">
      <c r="A772" s="442"/>
      <c r="B772" s="459"/>
      <c r="C772" s="442"/>
      <c r="D772" s="442"/>
      <c r="E772" s="460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  <c r="Y772" s="442"/>
      <c r="Z772" s="442"/>
    </row>
    <row r="773" ht="19.5" customHeight="1">
      <c r="A773" s="442"/>
      <c r="B773" s="459"/>
      <c r="C773" s="442"/>
      <c r="D773" s="442"/>
      <c r="E773" s="460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  <c r="Y773" s="442"/>
      <c r="Z773" s="442"/>
    </row>
    <row r="774" ht="19.5" customHeight="1">
      <c r="A774" s="442"/>
      <c r="B774" s="459"/>
      <c r="C774" s="442"/>
      <c r="D774" s="442"/>
      <c r="E774" s="460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  <c r="Y774" s="442"/>
      <c r="Z774" s="442"/>
    </row>
    <row r="775" ht="19.5" customHeight="1">
      <c r="A775" s="442"/>
      <c r="B775" s="459"/>
      <c r="C775" s="442"/>
      <c r="D775" s="442"/>
      <c r="E775" s="460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  <c r="Y775" s="442"/>
      <c r="Z775" s="442"/>
    </row>
    <row r="776" ht="19.5" customHeight="1">
      <c r="A776" s="442"/>
      <c r="B776" s="459"/>
      <c r="C776" s="442"/>
      <c r="D776" s="442"/>
      <c r="E776" s="460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  <c r="Y776" s="442"/>
      <c r="Z776" s="442"/>
    </row>
    <row r="777" ht="19.5" customHeight="1">
      <c r="A777" s="442"/>
      <c r="B777" s="459"/>
      <c r="C777" s="442"/>
      <c r="D777" s="442"/>
      <c r="E777" s="460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  <c r="Y777" s="442"/>
      <c r="Z777" s="442"/>
    </row>
    <row r="778" ht="19.5" customHeight="1">
      <c r="A778" s="442"/>
      <c r="B778" s="459"/>
      <c r="C778" s="442"/>
      <c r="D778" s="442"/>
      <c r="E778" s="460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  <c r="Y778" s="442"/>
      <c r="Z778" s="442"/>
    </row>
    <row r="779" ht="19.5" customHeight="1">
      <c r="A779" s="442"/>
      <c r="B779" s="459"/>
      <c r="C779" s="442"/>
      <c r="D779" s="442"/>
      <c r="E779" s="460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  <c r="Y779" s="442"/>
      <c r="Z779" s="442"/>
    </row>
    <row r="780" ht="19.5" customHeight="1">
      <c r="A780" s="442"/>
      <c r="B780" s="459"/>
      <c r="C780" s="442"/>
      <c r="D780" s="442"/>
      <c r="E780" s="460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  <c r="Y780" s="442"/>
      <c r="Z780" s="442"/>
    </row>
    <row r="781" ht="19.5" customHeight="1">
      <c r="A781" s="442"/>
      <c r="B781" s="459"/>
      <c r="C781" s="442"/>
      <c r="D781" s="442"/>
      <c r="E781" s="460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  <c r="Y781" s="442"/>
      <c r="Z781" s="442"/>
    </row>
    <row r="782" ht="19.5" customHeight="1">
      <c r="A782" s="442"/>
      <c r="B782" s="459"/>
      <c r="C782" s="442"/>
      <c r="D782" s="442"/>
      <c r="E782" s="460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  <c r="Y782" s="442"/>
      <c r="Z782" s="442"/>
    </row>
    <row r="783" ht="19.5" customHeight="1">
      <c r="A783" s="442"/>
      <c r="B783" s="459"/>
      <c r="C783" s="442"/>
      <c r="D783" s="442"/>
      <c r="E783" s="460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  <c r="Y783" s="442"/>
      <c r="Z783" s="442"/>
    </row>
    <row r="784" ht="19.5" customHeight="1">
      <c r="A784" s="442"/>
      <c r="B784" s="459"/>
      <c r="C784" s="442"/>
      <c r="D784" s="442"/>
      <c r="E784" s="460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  <c r="Y784" s="442"/>
      <c r="Z784" s="442"/>
    </row>
    <row r="785" ht="19.5" customHeight="1">
      <c r="A785" s="442"/>
      <c r="B785" s="459"/>
      <c r="C785" s="442"/>
      <c r="D785" s="442"/>
      <c r="E785" s="460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  <c r="Y785" s="442"/>
      <c r="Z785" s="442"/>
    </row>
    <row r="786" ht="19.5" customHeight="1">
      <c r="A786" s="442"/>
      <c r="B786" s="459"/>
      <c r="C786" s="442"/>
      <c r="D786" s="442"/>
      <c r="E786" s="460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  <c r="Y786" s="442"/>
      <c r="Z786" s="442"/>
    </row>
    <row r="787" ht="19.5" customHeight="1">
      <c r="A787" s="442"/>
      <c r="B787" s="459"/>
      <c r="C787" s="442"/>
      <c r="D787" s="442"/>
      <c r="E787" s="460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  <c r="Y787" s="442"/>
      <c r="Z787" s="442"/>
    </row>
    <row r="788" ht="19.5" customHeight="1">
      <c r="A788" s="442"/>
      <c r="B788" s="459"/>
      <c r="C788" s="442"/>
      <c r="D788" s="442"/>
      <c r="E788" s="460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  <c r="Y788" s="442"/>
      <c r="Z788" s="442"/>
    </row>
    <row r="789" ht="19.5" customHeight="1">
      <c r="A789" s="442"/>
      <c r="B789" s="459"/>
      <c r="C789" s="442"/>
      <c r="D789" s="442"/>
      <c r="E789" s="460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  <c r="Y789" s="442"/>
      <c r="Z789" s="442"/>
    </row>
    <row r="790" ht="19.5" customHeight="1">
      <c r="A790" s="442"/>
      <c r="B790" s="459"/>
      <c r="C790" s="442"/>
      <c r="D790" s="442"/>
      <c r="E790" s="460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  <c r="Y790" s="442"/>
      <c r="Z790" s="442"/>
    </row>
    <row r="791" ht="19.5" customHeight="1">
      <c r="A791" s="442"/>
      <c r="B791" s="459"/>
      <c r="C791" s="442"/>
      <c r="D791" s="442"/>
      <c r="E791" s="460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  <c r="Y791" s="442"/>
      <c r="Z791" s="442"/>
    </row>
    <row r="792" ht="19.5" customHeight="1">
      <c r="A792" s="442"/>
      <c r="B792" s="459"/>
      <c r="C792" s="442"/>
      <c r="D792" s="442"/>
      <c r="E792" s="460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  <c r="Y792" s="442"/>
      <c r="Z792" s="442"/>
    </row>
    <row r="793" ht="19.5" customHeight="1">
      <c r="A793" s="442"/>
      <c r="B793" s="459"/>
      <c r="C793" s="442"/>
      <c r="D793" s="442"/>
      <c r="E793" s="460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  <c r="Y793" s="442"/>
      <c r="Z793" s="442"/>
    </row>
    <row r="794" ht="19.5" customHeight="1">
      <c r="A794" s="442"/>
      <c r="B794" s="459"/>
      <c r="C794" s="442"/>
      <c r="D794" s="442"/>
      <c r="E794" s="460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  <c r="Y794" s="442"/>
      <c r="Z794" s="442"/>
    </row>
    <row r="795" ht="19.5" customHeight="1">
      <c r="A795" s="442"/>
      <c r="B795" s="459"/>
      <c r="C795" s="442"/>
      <c r="D795" s="442"/>
      <c r="E795" s="460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  <c r="Y795" s="442"/>
      <c r="Z795" s="442"/>
    </row>
    <row r="796" ht="19.5" customHeight="1">
      <c r="A796" s="442"/>
      <c r="B796" s="459"/>
      <c r="C796" s="442"/>
      <c r="D796" s="442"/>
      <c r="E796" s="460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  <c r="Y796" s="442"/>
      <c r="Z796" s="442"/>
    </row>
    <row r="797" ht="19.5" customHeight="1">
      <c r="A797" s="442"/>
      <c r="B797" s="459"/>
      <c r="C797" s="442"/>
      <c r="D797" s="442"/>
      <c r="E797" s="460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  <c r="Y797" s="442"/>
      <c r="Z797" s="442"/>
    </row>
    <row r="798" ht="19.5" customHeight="1">
      <c r="A798" s="442"/>
      <c r="B798" s="459"/>
      <c r="C798" s="442"/>
      <c r="D798" s="442"/>
      <c r="E798" s="460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  <c r="Y798" s="442"/>
      <c r="Z798" s="442"/>
    </row>
    <row r="799" ht="19.5" customHeight="1">
      <c r="A799" s="442"/>
      <c r="B799" s="459"/>
      <c r="C799" s="442"/>
      <c r="D799" s="442"/>
      <c r="E799" s="460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  <c r="Y799" s="442"/>
      <c r="Z799" s="442"/>
    </row>
    <row r="800" ht="19.5" customHeight="1">
      <c r="A800" s="442"/>
      <c r="B800" s="459"/>
      <c r="C800" s="442"/>
      <c r="D800" s="442"/>
      <c r="E800" s="460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  <c r="Y800" s="442"/>
      <c r="Z800" s="442"/>
    </row>
    <row r="801" ht="19.5" customHeight="1">
      <c r="A801" s="442"/>
      <c r="B801" s="459"/>
      <c r="C801" s="442"/>
      <c r="D801" s="442"/>
      <c r="E801" s="460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  <c r="Y801" s="442"/>
      <c r="Z801" s="442"/>
    </row>
    <row r="802" ht="19.5" customHeight="1">
      <c r="A802" s="442"/>
      <c r="B802" s="459"/>
      <c r="C802" s="442"/>
      <c r="D802" s="442"/>
      <c r="E802" s="460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  <c r="Y802" s="442"/>
      <c r="Z802" s="442"/>
    </row>
    <row r="803" ht="19.5" customHeight="1">
      <c r="A803" s="442"/>
      <c r="B803" s="459"/>
      <c r="C803" s="442"/>
      <c r="D803" s="442"/>
      <c r="E803" s="460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  <c r="Y803" s="442"/>
      <c r="Z803" s="442"/>
    </row>
    <row r="804" ht="19.5" customHeight="1">
      <c r="A804" s="442"/>
      <c r="B804" s="459"/>
      <c r="C804" s="442"/>
      <c r="D804" s="442"/>
      <c r="E804" s="460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  <c r="Y804" s="442"/>
      <c r="Z804" s="442"/>
    </row>
    <row r="805" ht="19.5" customHeight="1">
      <c r="A805" s="442"/>
      <c r="B805" s="459"/>
      <c r="C805" s="442"/>
      <c r="D805" s="442"/>
      <c r="E805" s="460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  <c r="Y805" s="442"/>
      <c r="Z805" s="442"/>
    </row>
    <row r="806" ht="19.5" customHeight="1">
      <c r="A806" s="442"/>
      <c r="B806" s="459"/>
      <c r="C806" s="442"/>
      <c r="D806" s="442"/>
      <c r="E806" s="460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  <c r="Y806" s="442"/>
      <c r="Z806" s="442"/>
    </row>
    <row r="807" ht="19.5" customHeight="1">
      <c r="A807" s="442"/>
      <c r="B807" s="459"/>
      <c r="C807" s="442"/>
      <c r="D807" s="442"/>
      <c r="E807" s="460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  <c r="Y807" s="442"/>
      <c r="Z807" s="442"/>
    </row>
    <row r="808" ht="19.5" customHeight="1">
      <c r="A808" s="442"/>
      <c r="B808" s="459"/>
      <c r="C808" s="442"/>
      <c r="D808" s="442"/>
      <c r="E808" s="460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  <c r="Y808" s="442"/>
      <c r="Z808" s="442"/>
    </row>
    <row r="809" ht="19.5" customHeight="1">
      <c r="A809" s="442"/>
      <c r="B809" s="459"/>
      <c r="C809" s="442"/>
      <c r="D809" s="442"/>
      <c r="E809" s="460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  <c r="Y809" s="442"/>
      <c r="Z809" s="442"/>
    </row>
    <row r="810" ht="19.5" customHeight="1">
      <c r="A810" s="442"/>
      <c r="B810" s="459"/>
      <c r="C810" s="442"/>
      <c r="D810" s="442"/>
      <c r="E810" s="460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  <c r="Y810" s="442"/>
      <c r="Z810" s="442"/>
    </row>
    <row r="811" ht="19.5" customHeight="1">
      <c r="A811" s="442"/>
      <c r="B811" s="459"/>
      <c r="C811" s="442"/>
      <c r="D811" s="442"/>
      <c r="E811" s="460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  <c r="Y811" s="442"/>
      <c r="Z811" s="442"/>
    </row>
    <row r="812" ht="19.5" customHeight="1">
      <c r="A812" s="442"/>
      <c r="B812" s="459"/>
      <c r="C812" s="442"/>
      <c r="D812" s="442"/>
      <c r="E812" s="460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  <c r="Y812" s="442"/>
      <c r="Z812" s="442"/>
    </row>
    <row r="813" ht="19.5" customHeight="1">
      <c r="A813" s="442"/>
      <c r="B813" s="459"/>
      <c r="C813" s="442"/>
      <c r="D813" s="442"/>
      <c r="E813" s="460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  <c r="Y813" s="442"/>
      <c r="Z813" s="442"/>
    </row>
    <row r="814" ht="19.5" customHeight="1">
      <c r="A814" s="442"/>
      <c r="B814" s="459"/>
      <c r="C814" s="442"/>
      <c r="D814" s="442"/>
      <c r="E814" s="460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  <c r="Y814" s="442"/>
      <c r="Z814" s="442"/>
    </row>
    <row r="815" ht="19.5" customHeight="1">
      <c r="A815" s="442"/>
      <c r="B815" s="459"/>
      <c r="C815" s="442"/>
      <c r="D815" s="442"/>
      <c r="E815" s="460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  <c r="Y815" s="442"/>
      <c r="Z815" s="442"/>
    </row>
    <row r="816" ht="19.5" customHeight="1">
      <c r="A816" s="442"/>
      <c r="B816" s="459"/>
      <c r="C816" s="442"/>
      <c r="D816" s="442"/>
      <c r="E816" s="460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  <c r="Y816" s="442"/>
      <c r="Z816" s="442"/>
    </row>
    <row r="817" ht="19.5" customHeight="1">
      <c r="A817" s="442"/>
      <c r="B817" s="459"/>
      <c r="C817" s="442"/>
      <c r="D817" s="442"/>
      <c r="E817" s="460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  <c r="Y817" s="442"/>
      <c r="Z817" s="442"/>
    </row>
    <row r="818" ht="19.5" customHeight="1">
      <c r="A818" s="442"/>
      <c r="B818" s="459"/>
      <c r="C818" s="442"/>
      <c r="D818" s="442"/>
      <c r="E818" s="460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  <c r="Y818" s="442"/>
      <c r="Z818" s="442"/>
    </row>
    <row r="819" ht="19.5" customHeight="1">
      <c r="A819" s="442"/>
      <c r="B819" s="459"/>
      <c r="C819" s="442"/>
      <c r="D819" s="442"/>
      <c r="E819" s="460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  <c r="Y819" s="442"/>
      <c r="Z819" s="442"/>
    </row>
    <row r="820" ht="19.5" customHeight="1">
      <c r="A820" s="442"/>
      <c r="B820" s="459"/>
      <c r="C820" s="442"/>
      <c r="D820" s="442"/>
      <c r="E820" s="460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  <c r="Y820" s="442"/>
      <c r="Z820" s="442"/>
    </row>
    <row r="821" ht="19.5" customHeight="1">
      <c r="A821" s="442"/>
      <c r="B821" s="459"/>
      <c r="C821" s="442"/>
      <c r="D821" s="442"/>
      <c r="E821" s="460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  <c r="Y821" s="442"/>
      <c r="Z821" s="442"/>
    </row>
    <row r="822" ht="19.5" customHeight="1">
      <c r="A822" s="442"/>
      <c r="B822" s="459"/>
      <c r="C822" s="442"/>
      <c r="D822" s="442"/>
      <c r="E822" s="460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  <c r="Y822" s="442"/>
      <c r="Z822" s="442"/>
    </row>
    <row r="823" ht="19.5" customHeight="1">
      <c r="A823" s="442"/>
      <c r="B823" s="459"/>
      <c r="C823" s="442"/>
      <c r="D823" s="442"/>
      <c r="E823" s="460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  <c r="Y823" s="442"/>
      <c r="Z823" s="442"/>
    </row>
    <row r="824" ht="19.5" customHeight="1">
      <c r="A824" s="442"/>
      <c r="B824" s="459"/>
      <c r="C824" s="442"/>
      <c r="D824" s="442"/>
      <c r="E824" s="460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  <c r="Y824" s="442"/>
      <c r="Z824" s="442"/>
    </row>
    <row r="825" ht="19.5" customHeight="1">
      <c r="A825" s="442"/>
      <c r="B825" s="459"/>
      <c r="C825" s="442"/>
      <c r="D825" s="442"/>
      <c r="E825" s="460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  <c r="Y825" s="442"/>
      <c r="Z825" s="442"/>
    </row>
    <row r="826" ht="19.5" customHeight="1">
      <c r="A826" s="442"/>
      <c r="B826" s="459"/>
      <c r="C826" s="442"/>
      <c r="D826" s="442"/>
      <c r="E826" s="460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  <c r="Y826" s="442"/>
      <c r="Z826" s="442"/>
    </row>
    <row r="827" ht="19.5" customHeight="1">
      <c r="A827" s="442"/>
      <c r="B827" s="459"/>
      <c r="C827" s="442"/>
      <c r="D827" s="442"/>
      <c r="E827" s="460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  <c r="Y827" s="442"/>
      <c r="Z827" s="442"/>
    </row>
    <row r="828" ht="19.5" customHeight="1">
      <c r="A828" s="442"/>
      <c r="B828" s="459"/>
      <c r="C828" s="442"/>
      <c r="D828" s="442"/>
      <c r="E828" s="460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  <c r="Y828" s="442"/>
      <c r="Z828" s="442"/>
    </row>
    <row r="829" ht="19.5" customHeight="1">
      <c r="A829" s="442"/>
      <c r="B829" s="459"/>
      <c r="C829" s="442"/>
      <c r="D829" s="442"/>
      <c r="E829" s="460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  <c r="Y829" s="442"/>
      <c r="Z829" s="442"/>
    </row>
    <row r="830" ht="19.5" customHeight="1">
      <c r="A830" s="442"/>
      <c r="B830" s="459"/>
      <c r="C830" s="442"/>
      <c r="D830" s="442"/>
      <c r="E830" s="460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  <c r="Y830" s="442"/>
      <c r="Z830" s="442"/>
    </row>
    <row r="831" ht="19.5" customHeight="1">
      <c r="A831" s="442"/>
      <c r="B831" s="459"/>
      <c r="C831" s="442"/>
      <c r="D831" s="442"/>
      <c r="E831" s="460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  <c r="Y831" s="442"/>
      <c r="Z831" s="442"/>
    </row>
    <row r="832" ht="19.5" customHeight="1">
      <c r="A832" s="442"/>
      <c r="B832" s="459"/>
      <c r="C832" s="442"/>
      <c r="D832" s="442"/>
      <c r="E832" s="460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  <c r="Y832" s="442"/>
      <c r="Z832" s="442"/>
    </row>
    <row r="833" ht="19.5" customHeight="1">
      <c r="A833" s="442"/>
      <c r="B833" s="459"/>
      <c r="C833" s="442"/>
      <c r="D833" s="442"/>
      <c r="E833" s="460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  <c r="Y833" s="442"/>
      <c r="Z833" s="442"/>
    </row>
    <row r="834" ht="19.5" customHeight="1">
      <c r="A834" s="442"/>
      <c r="B834" s="459"/>
      <c r="C834" s="442"/>
      <c r="D834" s="442"/>
      <c r="E834" s="460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  <c r="Y834" s="442"/>
      <c r="Z834" s="442"/>
    </row>
    <row r="835" ht="19.5" customHeight="1">
      <c r="A835" s="442"/>
      <c r="B835" s="459"/>
      <c r="C835" s="442"/>
      <c r="D835" s="442"/>
      <c r="E835" s="460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  <c r="Y835" s="442"/>
      <c r="Z835" s="442"/>
    </row>
    <row r="836" ht="19.5" customHeight="1">
      <c r="A836" s="442"/>
      <c r="B836" s="459"/>
      <c r="C836" s="442"/>
      <c r="D836" s="442"/>
      <c r="E836" s="460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  <c r="Y836" s="442"/>
      <c r="Z836" s="442"/>
    </row>
    <row r="837" ht="19.5" customHeight="1">
      <c r="A837" s="442"/>
      <c r="B837" s="459"/>
      <c r="C837" s="442"/>
      <c r="D837" s="442"/>
      <c r="E837" s="460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  <c r="Y837" s="442"/>
      <c r="Z837" s="442"/>
    </row>
    <row r="838" ht="19.5" customHeight="1">
      <c r="A838" s="442"/>
      <c r="B838" s="459"/>
      <c r="C838" s="442"/>
      <c r="D838" s="442"/>
      <c r="E838" s="460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  <c r="Y838" s="442"/>
      <c r="Z838" s="442"/>
    </row>
    <row r="839" ht="19.5" customHeight="1">
      <c r="A839" s="442"/>
      <c r="B839" s="459"/>
      <c r="C839" s="442"/>
      <c r="D839" s="442"/>
      <c r="E839" s="460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  <c r="Y839" s="442"/>
      <c r="Z839" s="442"/>
    </row>
    <row r="840" ht="19.5" customHeight="1">
      <c r="A840" s="442"/>
      <c r="B840" s="459"/>
      <c r="C840" s="442"/>
      <c r="D840" s="442"/>
      <c r="E840" s="460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  <c r="Y840" s="442"/>
      <c r="Z840" s="442"/>
    </row>
    <row r="841" ht="19.5" customHeight="1">
      <c r="A841" s="442"/>
      <c r="B841" s="459"/>
      <c r="C841" s="442"/>
      <c r="D841" s="442"/>
      <c r="E841" s="460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  <c r="Y841" s="442"/>
      <c r="Z841" s="442"/>
    </row>
    <row r="842" ht="19.5" customHeight="1">
      <c r="A842" s="442"/>
      <c r="B842" s="459"/>
      <c r="C842" s="442"/>
      <c r="D842" s="442"/>
      <c r="E842" s="460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  <c r="Y842" s="442"/>
      <c r="Z842" s="442"/>
    </row>
    <row r="843" ht="19.5" customHeight="1">
      <c r="A843" s="442"/>
      <c r="B843" s="459"/>
      <c r="C843" s="442"/>
      <c r="D843" s="442"/>
      <c r="E843" s="460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  <c r="Y843" s="442"/>
      <c r="Z843" s="442"/>
    </row>
    <row r="844" ht="19.5" customHeight="1">
      <c r="A844" s="442"/>
      <c r="B844" s="459"/>
      <c r="C844" s="442"/>
      <c r="D844" s="442"/>
      <c r="E844" s="460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  <c r="Y844" s="442"/>
      <c r="Z844" s="442"/>
    </row>
    <row r="845" ht="19.5" customHeight="1">
      <c r="A845" s="442"/>
      <c r="B845" s="459"/>
      <c r="C845" s="442"/>
      <c r="D845" s="442"/>
      <c r="E845" s="460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  <c r="Y845" s="442"/>
      <c r="Z845" s="442"/>
    </row>
    <row r="846" ht="19.5" customHeight="1">
      <c r="A846" s="442"/>
      <c r="B846" s="459"/>
      <c r="C846" s="442"/>
      <c r="D846" s="442"/>
      <c r="E846" s="460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  <c r="Y846" s="442"/>
      <c r="Z846" s="442"/>
    </row>
    <row r="847" ht="19.5" customHeight="1">
      <c r="A847" s="442"/>
      <c r="B847" s="459"/>
      <c r="C847" s="442"/>
      <c r="D847" s="442"/>
      <c r="E847" s="460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  <c r="Y847" s="442"/>
      <c r="Z847" s="442"/>
    </row>
    <row r="848" ht="19.5" customHeight="1">
      <c r="A848" s="442"/>
      <c r="B848" s="459"/>
      <c r="C848" s="442"/>
      <c r="D848" s="442"/>
      <c r="E848" s="460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  <c r="Y848" s="442"/>
      <c r="Z848" s="442"/>
    </row>
    <row r="849" ht="19.5" customHeight="1">
      <c r="A849" s="442"/>
      <c r="B849" s="459"/>
      <c r="C849" s="442"/>
      <c r="D849" s="442"/>
      <c r="E849" s="460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  <c r="Y849" s="442"/>
      <c r="Z849" s="442"/>
    </row>
    <row r="850" ht="19.5" customHeight="1">
      <c r="A850" s="442"/>
      <c r="B850" s="459"/>
      <c r="C850" s="442"/>
      <c r="D850" s="442"/>
      <c r="E850" s="460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  <c r="Y850" s="442"/>
      <c r="Z850" s="442"/>
    </row>
    <row r="851" ht="19.5" customHeight="1">
      <c r="A851" s="442"/>
      <c r="B851" s="459"/>
      <c r="C851" s="442"/>
      <c r="D851" s="442"/>
      <c r="E851" s="460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  <c r="Y851" s="442"/>
      <c r="Z851" s="442"/>
    </row>
    <row r="852" ht="19.5" customHeight="1">
      <c r="A852" s="442"/>
      <c r="B852" s="459"/>
      <c r="C852" s="442"/>
      <c r="D852" s="442"/>
      <c r="E852" s="460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  <c r="Y852" s="442"/>
      <c r="Z852" s="442"/>
    </row>
    <row r="853" ht="19.5" customHeight="1">
      <c r="A853" s="442"/>
      <c r="B853" s="459"/>
      <c r="C853" s="442"/>
      <c r="D853" s="442"/>
      <c r="E853" s="460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  <c r="Y853" s="442"/>
      <c r="Z853" s="442"/>
    </row>
    <row r="854" ht="19.5" customHeight="1">
      <c r="A854" s="442"/>
      <c r="B854" s="459"/>
      <c r="C854" s="442"/>
      <c r="D854" s="442"/>
      <c r="E854" s="460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  <c r="Y854" s="442"/>
      <c r="Z854" s="442"/>
    </row>
    <row r="855" ht="19.5" customHeight="1">
      <c r="A855" s="442"/>
      <c r="B855" s="459"/>
      <c r="C855" s="442"/>
      <c r="D855" s="442"/>
      <c r="E855" s="460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  <c r="Y855" s="442"/>
      <c r="Z855" s="442"/>
    </row>
    <row r="856" ht="19.5" customHeight="1">
      <c r="A856" s="442"/>
      <c r="B856" s="459"/>
      <c r="C856" s="442"/>
      <c r="D856" s="442"/>
      <c r="E856" s="460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  <c r="Y856" s="442"/>
      <c r="Z856" s="442"/>
    </row>
    <row r="857" ht="19.5" customHeight="1">
      <c r="A857" s="442"/>
      <c r="B857" s="459"/>
      <c r="C857" s="442"/>
      <c r="D857" s="442"/>
      <c r="E857" s="460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  <c r="Y857" s="442"/>
      <c r="Z857" s="442"/>
    </row>
    <row r="858" ht="19.5" customHeight="1">
      <c r="A858" s="442"/>
      <c r="B858" s="459"/>
      <c r="C858" s="442"/>
      <c r="D858" s="442"/>
      <c r="E858" s="460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  <c r="Y858" s="442"/>
      <c r="Z858" s="442"/>
    </row>
    <row r="859" ht="19.5" customHeight="1">
      <c r="A859" s="442"/>
      <c r="B859" s="459"/>
      <c r="C859" s="442"/>
      <c r="D859" s="442"/>
      <c r="E859" s="460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  <c r="Y859" s="442"/>
      <c r="Z859" s="442"/>
    </row>
    <row r="860" ht="19.5" customHeight="1">
      <c r="A860" s="442"/>
      <c r="B860" s="459"/>
      <c r="C860" s="442"/>
      <c r="D860" s="442"/>
      <c r="E860" s="460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  <c r="Y860" s="442"/>
      <c r="Z860" s="442"/>
    </row>
    <row r="861" ht="19.5" customHeight="1">
      <c r="A861" s="442"/>
      <c r="B861" s="459"/>
      <c r="C861" s="442"/>
      <c r="D861" s="442"/>
      <c r="E861" s="460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  <c r="Y861" s="442"/>
      <c r="Z861" s="442"/>
    </row>
    <row r="862" ht="19.5" customHeight="1">
      <c r="A862" s="442"/>
      <c r="B862" s="459"/>
      <c r="C862" s="442"/>
      <c r="D862" s="442"/>
      <c r="E862" s="460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  <c r="Y862" s="442"/>
      <c r="Z862" s="442"/>
    </row>
    <row r="863" ht="19.5" customHeight="1">
      <c r="A863" s="442"/>
      <c r="B863" s="459"/>
      <c r="C863" s="442"/>
      <c r="D863" s="442"/>
      <c r="E863" s="460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  <c r="Y863" s="442"/>
      <c r="Z863" s="442"/>
    </row>
    <row r="864" ht="19.5" customHeight="1">
      <c r="A864" s="442"/>
      <c r="B864" s="459"/>
      <c r="C864" s="442"/>
      <c r="D864" s="442"/>
      <c r="E864" s="460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  <c r="Y864" s="442"/>
      <c r="Z864" s="442"/>
    </row>
    <row r="865" ht="19.5" customHeight="1">
      <c r="A865" s="442"/>
      <c r="B865" s="459"/>
      <c r="C865" s="442"/>
      <c r="D865" s="442"/>
      <c r="E865" s="460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  <c r="Y865" s="442"/>
      <c r="Z865" s="442"/>
    </row>
    <row r="866" ht="19.5" customHeight="1">
      <c r="A866" s="442"/>
      <c r="B866" s="459"/>
      <c r="C866" s="442"/>
      <c r="D866" s="442"/>
      <c r="E866" s="460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  <c r="Y866" s="442"/>
      <c r="Z866" s="442"/>
    </row>
    <row r="867" ht="19.5" customHeight="1">
      <c r="A867" s="442"/>
      <c r="B867" s="459"/>
      <c r="C867" s="442"/>
      <c r="D867" s="442"/>
      <c r="E867" s="460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  <c r="Y867" s="442"/>
      <c r="Z867" s="442"/>
    </row>
    <row r="868" ht="19.5" customHeight="1">
      <c r="A868" s="442"/>
      <c r="B868" s="459"/>
      <c r="C868" s="442"/>
      <c r="D868" s="442"/>
      <c r="E868" s="460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  <c r="Y868" s="442"/>
      <c r="Z868" s="442"/>
    </row>
    <row r="869" ht="19.5" customHeight="1">
      <c r="A869" s="442"/>
      <c r="B869" s="459"/>
      <c r="C869" s="442"/>
      <c r="D869" s="442"/>
      <c r="E869" s="460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  <c r="Y869" s="442"/>
      <c r="Z869" s="442"/>
    </row>
    <row r="870" ht="19.5" customHeight="1">
      <c r="A870" s="442"/>
      <c r="B870" s="459"/>
      <c r="C870" s="442"/>
      <c r="D870" s="442"/>
      <c r="E870" s="460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  <c r="Y870" s="442"/>
      <c r="Z870" s="442"/>
    </row>
    <row r="871" ht="19.5" customHeight="1">
      <c r="A871" s="442"/>
      <c r="B871" s="459"/>
      <c r="C871" s="442"/>
      <c r="D871" s="442"/>
      <c r="E871" s="460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  <c r="Y871" s="442"/>
      <c r="Z871" s="442"/>
    </row>
    <row r="872" ht="19.5" customHeight="1">
      <c r="A872" s="442"/>
      <c r="B872" s="459"/>
      <c r="C872" s="442"/>
      <c r="D872" s="442"/>
      <c r="E872" s="460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  <c r="Y872" s="442"/>
      <c r="Z872" s="442"/>
    </row>
    <row r="873" ht="19.5" customHeight="1">
      <c r="A873" s="442"/>
      <c r="B873" s="459"/>
      <c r="C873" s="442"/>
      <c r="D873" s="442"/>
      <c r="E873" s="460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  <c r="Y873" s="442"/>
      <c r="Z873" s="442"/>
    </row>
    <row r="874" ht="19.5" customHeight="1">
      <c r="A874" s="442"/>
      <c r="B874" s="459"/>
      <c r="C874" s="442"/>
      <c r="D874" s="442"/>
      <c r="E874" s="460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  <c r="Y874" s="442"/>
      <c r="Z874" s="442"/>
    </row>
    <row r="875" ht="19.5" customHeight="1">
      <c r="A875" s="442"/>
      <c r="B875" s="459"/>
      <c r="C875" s="442"/>
      <c r="D875" s="442"/>
      <c r="E875" s="460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  <c r="Y875" s="442"/>
      <c r="Z875" s="442"/>
    </row>
    <row r="876" ht="19.5" customHeight="1">
      <c r="A876" s="442"/>
      <c r="B876" s="459"/>
      <c r="C876" s="442"/>
      <c r="D876" s="442"/>
      <c r="E876" s="460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  <c r="Y876" s="442"/>
      <c r="Z876" s="442"/>
    </row>
    <row r="877" ht="19.5" customHeight="1">
      <c r="A877" s="442"/>
      <c r="B877" s="459"/>
      <c r="C877" s="442"/>
      <c r="D877" s="442"/>
      <c r="E877" s="460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  <c r="Y877" s="442"/>
      <c r="Z877" s="442"/>
    </row>
    <row r="878" ht="19.5" customHeight="1">
      <c r="A878" s="442"/>
      <c r="B878" s="459"/>
      <c r="C878" s="442"/>
      <c r="D878" s="442"/>
      <c r="E878" s="460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  <c r="Y878" s="442"/>
      <c r="Z878" s="442"/>
    </row>
    <row r="879" ht="19.5" customHeight="1">
      <c r="A879" s="442"/>
      <c r="B879" s="459"/>
      <c r="C879" s="442"/>
      <c r="D879" s="442"/>
      <c r="E879" s="460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  <c r="Y879" s="442"/>
      <c r="Z879" s="442"/>
    </row>
    <row r="880" ht="19.5" customHeight="1">
      <c r="A880" s="442"/>
      <c r="B880" s="459"/>
      <c r="C880" s="442"/>
      <c r="D880" s="442"/>
      <c r="E880" s="460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  <c r="Y880" s="442"/>
      <c r="Z880" s="442"/>
    </row>
    <row r="881" ht="19.5" customHeight="1">
      <c r="A881" s="442"/>
      <c r="B881" s="459"/>
      <c r="C881" s="442"/>
      <c r="D881" s="442"/>
      <c r="E881" s="460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  <c r="Y881" s="442"/>
      <c r="Z881" s="442"/>
    </row>
    <row r="882" ht="19.5" customHeight="1">
      <c r="A882" s="442"/>
      <c r="B882" s="459"/>
      <c r="C882" s="442"/>
      <c r="D882" s="442"/>
      <c r="E882" s="460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  <c r="Y882" s="442"/>
      <c r="Z882" s="442"/>
    </row>
    <row r="883" ht="19.5" customHeight="1">
      <c r="A883" s="442"/>
      <c r="B883" s="459"/>
      <c r="C883" s="442"/>
      <c r="D883" s="442"/>
      <c r="E883" s="460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  <c r="Y883" s="442"/>
      <c r="Z883" s="442"/>
    </row>
    <row r="884" ht="19.5" customHeight="1">
      <c r="A884" s="442"/>
      <c r="B884" s="459"/>
      <c r="C884" s="442"/>
      <c r="D884" s="442"/>
      <c r="E884" s="460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  <c r="Y884" s="442"/>
      <c r="Z884" s="442"/>
    </row>
    <row r="885" ht="19.5" customHeight="1">
      <c r="A885" s="442"/>
      <c r="B885" s="459"/>
      <c r="C885" s="442"/>
      <c r="D885" s="442"/>
      <c r="E885" s="460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  <c r="Y885" s="442"/>
      <c r="Z885" s="442"/>
    </row>
    <row r="886" ht="19.5" customHeight="1">
      <c r="A886" s="442"/>
      <c r="B886" s="459"/>
      <c r="C886" s="442"/>
      <c r="D886" s="442"/>
      <c r="E886" s="460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  <c r="Y886" s="442"/>
      <c r="Z886" s="442"/>
    </row>
    <row r="887" ht="19.5" customHeight="1">
      <c r="A887" s="442"/>
      <c r="B887" s="459"/>
      <c r="C887" s="442"/>
      <c r="D887" s="442"/>
      <c r="E887" s="460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  <c r="Y887" s="442"/>
      <c r="Z887" s="442"/>
    </row>
    <row r="888" ht="19.5" customHeight="1">
      <c r="A888" s="442"/>
      <c r="B888" s="459"/>
      <c r="C888" s="442"/>
      <c r="D888" s="442"/>
      <c r="E888" s="460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  <c r="Y888" s="442"/>
      <c r="Z888" s="442"/>
    </row>
    <row r="889" ht="19.5" customHeight="1">
      <c r="A889" s="442"/>
      <c r="B889" s="459"/>
      <c r="C889" s="442"/>
      <c r="D889" s="442"/>
      <c r="E889" s="460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  <c r="Y889" s="442"/>
      <c r="Z889" s="442"/>
    </row>
    <row r="890" ht="19.5" customHeight="1">
      <c r="A890" s="442"/>
      <c r="B890" s="459"/>
      <c r="C890" s="442"/>
      <c r="D890" s="442"/>
      <c r="E890" s="460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  <c r="Y890" s="442"/>
      <c r="Z890" s="442"/>
    </row>
    <row r="891" ht="19.5" customHeight="1">
      <c r="A891" s="442"/>
      <c r="B891" s="459"/>
      <c r="C891" s="442"/>
      <c r="D891" s="442"/>
      <c r="E891" s="460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  <c r="Y891" s="442"/>
      <c r="Z891" s="442"/>
    </row>
    <row r="892" ht="19.5" customHeight="1">
      <c r="A892" s="442"/>
      <c r="B892" s="459"/>
      <c r="C892" s="442"/>
      <c r="D892" s="442"/>
      <c r="E892" s="460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  <c r="Y892" s="442"/>
      <c r="Z892" s="442"/>
    </row>
    <row r="893" ht="19.5" customHeight="1">
      <c r="A893" s="442"/>
      <c r="B893" s="459"/>
      <c r="C893" s="442"/>
      <c r="D893" s="442"/>
      <c r="E893" s="460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  <c r="Y893" s="442"/>
      <c r="Z893" s="442"/>
    </row>
    <row r="894" ht="19.5" customHeight="1">
      <c r="A894" s="442"/>
      <c r="B894" s="459"/>
      <c r="C894" s="442"/>
      <c r="D894" s="442"/>
      <c r="E894" s="460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  <c r="Y894" s="442"/>
      <c r="Z894" s="442"/>
    </row>
    <row r="895" ht="19.5" customHeight="1">
      <c r="A895" s="442"/>
      <c r="B895" s="459"/>
      <c r="C895" s="442"/>
      <c r="D895" s="442"/>
      <c r="E895" s="460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  <c r="Y895" s="442"/>
      <c r="Z895" s="442"/>
    </row>
    <row r="896" ht="19.5" customHeight="1">
      <c r="A896" s="442"/>
      <c r="B896" s="459"/>
      <c r="C896" s="442"/>
      <c r="D896" s="442"/>
      <c r="E896" s="460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  <c r="Y896" s="442"/>
      <c r="Z896" s="442"/>
    </row>
    <row r="897" ht="19.5" customHeight="1">
      <c r="A897" s="442"/>
      <c r="B897" s="459"/>
      <c r="C897" s="442"/>
      <c r="D897" s="442"/>
      <c r="E897" s="460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  <c r="Y897" s="442"/>
      <c r="Z897" s="442"/>
    </row>
    <row r="898" ht="19.5" customHeight="1">
      <c r="A898" s="442"/>
      <c r="B898" s="459"/>
      <c r="C898" s="442"/>
      <c r="D898" s="442"/>
      <c r="E898" s="460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  <c r="Y898" s="442"/>
      <c r="Z898" s="442"/>
    </row>
    <row r="899" ht="19.5" customHeight="1">
      <c r="A899" s="442"/>
      <c r="B899" s="459"/>
      <c r="C899" s="442"/>
      <c r="D899" s="442"/>
      <c r="E899" s="460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  <c r="Y899" s="442"/>
      <c r="Z899" s="442"/>
    </row>
    <row r="900" ht="19.5" customHeight="1">
      <c r="A900" s="442"/>
      <c r="B900" s="459"/>
      <c r="C900" s="442"/>
      <c r="D900" s="442"/>
      <c r="E900" s="460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  <c r="Y900" s="442"/>
      <c r="Z900" s="442"/>
    </row>
    <row r="901" ht="19.5" customHeight="1">
      <c r="A901" s="442"/>
      <c r="B901" s="459"/>
      <c r="C901" s="442"/>
      <c r="D901" s="442"/>
      <c r="E901" s="460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  <c r="Y901" s="442"/>
      <c r="Z901" s="442"/>
    </row>
    <row r="902" ht="19.5" customHeight="1">
      <c r="A902" s="442"/>
      <c r="B902" s="459"/>
      <c r="C902" s="442"/>
      <c r="D902" s="442"/>
      <c r="E902" s="460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  <c r="Y902" s="442"/>
      <c r="Z902" s="442"/>
    </row>
    <row r="903" ht="19.5" customHeight="1">
      <c r="A903" s="442"/>
      <c r="B903" s="459"/>
      <c r="C903" s="442"/>
      <c r="D903" s="442"/>
      <c r="E903" s="460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  <c r="Y903" s="442"/>
      <c r="Z903" s="442"/>
    </row>
    <row r="904" ht="19.5" customHeight="1">
      <c r="A904" s="442"/>
      <c r="B904" s="459"/>
      <c r="C904" s="442"/>
      <c r="D904" s="442"/>
      <c r="E904" s="460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  <c r="Y904" s="442"/>
      <c r="Z904" s="442"/>
    </row>
    <row r="905" ht="19.5" customHeight="1">
      <c r="A905" s="442"/>
      <c r="B905" s="459"/>
      <c r="C905" s="442"/>
      <c r="D905" s="442"/>
      <c r="E905" s="460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  <c r="Y905" s="442"/>
      <c r="Z905" s="442"/>
    </row>
    <row r="906" ht="19.5" customHeight="1">
      <c r="A906" s="442"/>
      <c r="B906" s="459"/>
      <c r="C906" s="442"/>
      <c r="D906" s="442"/>
      <c r="E906" s="460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  <c r="Y906" s="442"/>
      <c r="Z906" s="442"/>
    </row>
    <row r="907" ht="19.5" customHeight="1">
      <c r="A907" s="442"/>
      <c r="B907" s="459"/>
      <c r="C907" s="442"/>
      <c r="D907" s="442"/>
      <c r="E907" s="460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  <c r="Y907" s="442"/>
      <c r="Z907" s="442"/>
    </row>
    <row r="908" ht="19.5" customHeight="1">
      <c r="A908" s="442"/>
      <c r="B908" s="459"/>
      <c r="C908" s="442"/>
      <c r="D908" s="442"/>
      <c r="E908" s="460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  <c r="Y908" s="442"/>
      <c r="Z908" s="442"/>
    </row>
    <row r="909" ht="19.5" customHeight="1">
      <c r="A909" s="442"/>
      <c r="B909" s="459"/>
      <c r="C909" s="442"/>
      <c r="D909" s="442"/>
      <c r="E909" s="460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  <c r="Y909" s="442"/>
      <c r="Z909" s="442"/>
    </row>
    <row r="910" ht="19.5" customHeight="1">
      <c r="A910" s="442"/>
      <c r="B910" s="459"/>
      <c r="C910" s="442"/>
      <c r="D910" s="442"/>
      <c r="E910" s="460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  <c r="Y910" s="442"/>
      <c r="Z910" s="442"/>
    </row>
    <row r="911" ht="19.5" customHeight="1">
      <c r="A911" s="442"/>
      <c r="B911" s="459"/>
      <c r="C911" s="442"/>
      <c r="D911" s="442"/>
      <c r="E911" s="460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  <c r="Y911" s="442"/>
      <c r="Z911" s="442"/>
    </row>
    <row r="912" ht="19.5" customHeight="1">
      <c r="A912" s="442"/>
      <c r="B912" s="459"/>
      <c r="C912" s="442"/>
      <c r="D912" s="442"/>
      <c r="E912" s="460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  <c r="Y912" s="442"/>
      <c r="Z912" s="442"/>
    </row>
    <row r="913" ht="19.5" customHeight="1">
      <c r="A913" s="442"/>
      <c r="B913" s="459"/>
      <c r="C913" s="442"/>
      <c r="D913" s="442"/>
      <c r="E913" s="460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  <c r="Y913" s="442"/>
      <c r="Z913" s="442"/>
    </row>
    <row r="914" ht="19.5" customHeight="1">
      <c r="A914" s="442"/>
      <c r="B914" s="459"/>
      <c r="C914" s="442"/>
      <c r="D914" s="442"/>
      <c r="E914" s="460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  <c r="Y914" s="442"/>
      <c r="Z914" s="442"/>
    </row>
    <row r="915" ht="19.5" customHeight="1">
      <c r="A915" s="442"/>
      <c r="B915" s="459"/>
      <c r="C915" s="442"/>
      <c r="D915" s="442"/>
      <c r="E915" s="460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  <c r="Y915" s="442"/>
      <c r="Z915" s="442"/>
    </row>
    <row r="916" ht="19.5" customHeight="1">
      <c r="A916" s="442"/>
      <c r="B916" s="459"/>
      <c r="C916" s="442"/>
      <c r="D916" s="442"/>
      <c r="E916" s="460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  <c r="Y916" s="442"/>
      <c r="Z916" s="442"/>
    </row>
    <row r="917" ht="19.5" customHeight="1">
      <c r="A917" s="442"/>
      <c r="B917" s="459"/>
      <c r="C917" s="442"/>
      <c r="D917" s="442"/>
      <c r="E917" s="460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  <c r="Y917" s="442"/>
      <c r="Z917" s="442"/>
    </row>
    <row r="918" ht="19.5" customHeight="1">
      <c r="A918" s="442"/>
      <c r="B918" s="459"/>
      <c r="C918" s="442"/>
      <c r="D918" s="442"/>
      <c r="E918" s="460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  <c r="Y918" s="442"/>
      <c r="Z918" s="442"/>
    </row>
    <row r="919" ht="19.5" customHeight="1">
      <c r="A919" s="442"/>
      <c r="B919" s="459"/>
      <c r="C919" s="442"/>
      <c r="D919" s="442"/>
      <c r="E919" s="460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  <c r="Y919" s="442"/>
      <c r="Z919" s="442"/>
    </row>
    <row r="920" ht="19.5" customHeight="1">
      <c r="A920" s="442"/>
      <c r="B920" s="459"/>
      <c r="C920" s="442"/>
      <c r="D920" s="442"/>
      <c r="E920" s="460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  <c r="Y920" s="442"/>
      <c r="Z920" s="442"/>
    </row>
    <row r="921" ht="19.5" customHeight="1">
      <c r="A921" s="442"/>
      <c r="B921" s="459"/>
      <c r="C921" s="442"/>
      <c r="D921" s="442"/>
      <c r="E921" s="460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  <c r="Y921" s="442"/>
      <c r="Z921" s="442"/>
    </row>
    <row r="922" ht="19.5" customHeight="1">
      <c r="A922" s="442"/>
      <c r="B922" s="459"/>
      <c r="C922" s="442"/>
      <c r="D922" s="442"/>
      <c r="E922" s="460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  <c r="Y922" s="442"/>
      <c r="Z922" s="442"/>
    </row>
    <row r="923" ht="19.5" customHeight="1">
      <c r="A923" s="442"/>
      <c r="B923" s="459"/>
      <c r="C923" s="442"/>
      <c r="D923" s="442"/>
      <c r="E923" s="460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  <c r="Y923" s="442"/>
      <c r="Z923" s="442"/>
    </row>
    <row r="924" ht="19.5" customHeight="1">
      <c r="A924" s="442"/>
      <c r="B924" s="459"/>
      <c r="C924" s="442"/>
      <c r="D924" s="442"/>
      <c r="E924" s="460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  <c r="Y924" s="442"/>
      <c r="Z924" s="442"/>
    </row>
    <row r="925" ht="19.5" customHeight="1">
      <c r="A925" s="442"/>
      <c r="B925" s="459"/>
      <c r="C925" s="442"/>
      <c r="D925" s="442"/>
      <c r="E925" s="460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  <c r="Y925" s="442"/>
      <c r="Z925" s="442"/>
    </row>
    <row r="926" ht="19.5" customHeight="1">
      <c r="A926" s="442"/>
      <c r="B926" s="459"/>
      <c r="C926" s="442"/>
      <c r="D926" s="442"/>
      <c r="E926" s="460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  <c r="Y926" s="442"/>
      <c r="Z926" s="442"/>
    </row>
    <row r="927" ht="19.5" customHeight="1">
      <c r="A927" s="442"/>
      <c r="B927" s="459"/>
      <c r="C927" s="442"/>
      <c r="D927" s="442"/>
      <c r="E927" s="460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  <c r="Y927" s="442"/>
      <c r="Z927" s="442"/>
    </row>
    <row r="928" ht="19.5" customHeight="1">
      <c r="A928" s="442"/>
      <c r="B928" s="459"/>
      <c r="C928" s="442"/>
      <c r="D928" s="442"/>
      <c r="E928" s="460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  <c r="Y928" s="442"/>
      <c r="Z928" s="442"/>
    </row>
    <row r="929" ht="19.5" customHeight="1">
      <c r="A929" s="442"/>
      <c r="B929" s="459"/>
      <c r="C929" s="442"/>
      <c r="D929" s="442"/>
      <c r="E929" s="460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  <c r="Y929" s="442"/>
      <c r="Z929" s="442"/>
    </row>
    <row r="930" ht="19.5" customHeight="1">
      <c r="A930" s="442"/>
      <c r="B930" s="459"/>
      <c r="C930" s="442"/>
      <c r="D930" s="442"/>
      <c r="E930" s="460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  <c r="Y930" s="442"/>
      <c r="Z930" s="442"/>
    </row>
    <row r="931" ht="19.5" customHeight="1">
      <c r="A931" s="442"/>
      <c r="B931" s="459"/>
      <c r="C931" s="442"/>
      <c r="D931" s="442"/>
      <c r="E931" s="460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  <c r="Y931" s="442"/>
      <c r="Z931" s="442"/>
    </row>
    <row r="932" ht="19.5" customHeight="1">
      <c r="A932" s="442"/>
      <c r="B932" s="459"/>
      <c r="C932" s="442"/>
      <c r="D932" s="442"/>
      <c r="E932" s="460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  <c r="Y932" s="442"/>
      <c r="Z932" s="442"/>
    </row>
    <row r="933" ht="19.5" customHeight="1">
      <c r="A933" s="442"/>
      <c r="B933" s="459"/>
      <c r="C933" s="442"/>
      <c r="D933" s="442"/>
      <c r="E933" s="460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  <c r="Y933" s="442"/>
      <c r="Z933" s="442"/>
    </row>
    <row r="934" ht="19.5" customHeight="1">
      <c r="A934" s="442"/>
      <c r="B934" s="459"/>
      <c r="C934" s="442"/>
      <c r="D934" s="442"/>
      <c r="E934" s="460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  <c r="Y934" s="442"/>
      <c r="Z934" s="442"/>
    </row>
    <row r="935" ht="19.5" customHeight="1">
      <c r="A935" s="442"/>
      <c r="B935" s="459"/>
      <c r="C935" s="442"/>
      <c r="D935" s="442"/>
      <c r="E935" s="460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  <c r="Y935" s="442"/>
      <c r="Z935" s="442"/>
    </row>
    <row r="936" ht="19.5" customHeight="1">
      <c r="A936" s="442"/>
      <c r="B936" s="459"/>
      <c r="C936" s="442"/>
      <c r="D936" s="442"/>
      <c r="E936" s="460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  <c r="Y936" s="442"/>
      <c r="Z936" s="442"/>
    </row>
    <row r="937" ht="19.5" customHeight="1">
      <c r="A937" s="442"/>
      <c r="B937" s="459"/>
      <c r="C937" s="442"/>
      <c r="D937" s="442"/>
      <c r="E937" s="460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  <c r="Y937" s="442"/>
      <c r="Z937" s="442"/>
    </row>
    <row r="938" ht="19.5" customHeight="1">
      <c r="A938" s="442"/>
      <c r="B938" s="459"/>
      <c r="C938" s="442"/>
      <c r="D938" s="442"/>
      <c r="E938" s="460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  <c r="Y938" s="442"/>
      <c r="Z938" s="442"/>
    </row>
    <row r="939" ht="19.5" customHeight="1">
      <c r="A939" s="442"/>
      <c r="B939" s="459"/>
      <c r="C939" s="442"/>
      <c r="D939" s="442"/>
      <c r="E939" s="460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  <c r="Y939" s="442"/>
      <c r="Z939" s="442"/>
    </row>
    <row r="940" ht="19.5" customHeight="1">
      <c r="A940" s="442"/>
      <c r="B940" s="459"/>
      <c r="C940" s="442"/>
      <c r="D940" s="442"/>
      <c r="E940" s="460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  <c r="Y940" s="442"/>
      <c r="Z940" s="442"/>
    </row>
    <row r="941" ht="19.5" customHeight="1">
      <c r="A941" s="442"/>
      <c r="B941" s="459"/>
      <c r="C941" s="442"/>
      <c r="D941" s="442"/>
      <c r="E941" s="460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  <c r="Y941" s="442"/>
      <c r="Z941" s="442"/>
    </row>
    <row r="942" ht="19.5" customHeight="1">
      <c r="A942" s="442"/>
      <c r="B942" s="459"/>
      <c r="C942" s="442"/>
      <c r="D942" s="442"/>
      <c r="E942" s="460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  <c r="Y942" s="442"/>
      <c r="Z942" s="442"/>
    </row>
    <row r="943" ht="19.5" customHeight="1">
      <c r="A943" s="442"/>
      <c r="B943" s="459"/>
      <c r="C943" s="442"/>
      <c r="D943" s="442"/>
      <c r="E943" s="460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  <c r="Y943" s="442"/>
      <c r="Z943" s="442"/>
    </row>
    <row r="944" ht="19.5" customHeight="1">
      <c r="A944" s="442"/>
      <c r="B944" s="459"/>
      <c r="C944" s="442"/>
      <c r="D944" s="442"/>
      <c r="E944" s="460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  <c r="Y944" s="442"/>
      <c r="Z944" s="442"/>
    </row>
    <row r="945" ht="19.5" customHeight="1">
      <c r="A945" s="442"/>
      <c r="B945" s="459"/>
      <c r="C945" s="442"/>
      <c r="D945" s="442"/>
      <c r="E945" s="460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  <c r="Y945" s="442"/>
      <c r="Z945" s="442"/>
    </row>
    <row r="946" ht="19.5" customHeight="1">
      <c r="A946" s="442"/>
      <c r="B946" s="459"/>
      <c r="C946" s="442"/>
      <c r="D946" s="442"/>
      <c r="E946" s="460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  <c r="Y946" s="442"/>
      <c r="Z946" s="442"/>
    </row>
    <row r="947" ht="19.5" customHeight="1">
      <c r="A947" s="442"/>
      <c r="B947" s="459"/>
      <c r="C947" s="442"/>
      <c r="D947" s="442"/>
      <c r="E947" s="460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  <c r="Y947" s="442"/>
      <c r="Z947" s="442"/>
    </row>
    <row r="948" ht="19.5" customHeight="1">
      <c r="A948" s="442"/>
      <c r="B948" s="459"/>
      <c r="C948" s="442"/>
      <c r="D948" s="442"/>
      <c r="E948" s="460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  <c r="Y948" s="442"/>
      <c r="Z948" s="442"/>
    </row>
    <row r="949" ht="19.5" customHeight="1">
      <c r="A949" s="442"/>
      <c r="B949" s="459"/>
      <c r="C949" s="442"/>
      <c r="D949" s="442"/>
      <c r="E949" s="460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  <c r="Y949" s="442"/>
      <c r="Z949" s="442"/>
    </row>
    <row r="950" ht="19.5" customHeight="1">
      <c r="A950" s="442"/>
      <c r="B950" s="459"/>
      <c r="C950" s="442"/>
      <c r="D950" s="442"/>
      <c r="E950" s="460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  <c r="Y950" s="442"/>
      <c r="Z950" s="442"/>
    </row>
    <row r="951" ht="19.5" customHeight="1">
      <c r="A951" s="442"/>
      <c r="B951" s="459"/>
      <c r="C951" s="442"/>
      <c r="D951" s="442"/>
      <c r="E951" s="460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  <c r="Y951" s="442"/>
      <c r="Z951" s="442"/>
    </row>
    <row r="952" ht="19.5" customHeight="1">
      <c r="A952" s="442"/>
      <c r="B952" s="459"/>
      <c r="C952" s="442"/>
      <c r="D952" s="442"/>
      <c r="E952" s="460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  <c r="Y952" s="442"/>
      <c r="Z952" s="442"/>
    </row>
    <row r="953" ht="19.5" customHeight="1">
      <c r="A953" s="442"/>
      <c r="B953" s="459"/>
      <c r="C953" s="442"/>
      <c r="D953" s="442"/>
      <c r="E953" s="460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  <c r="Y953" s="442"/>
      <c r="Z953" s="442"/>
    </row>
    <row r="954" ht="19.5" customHeight="1">
      <c r="A954" s="442"/>
      <c r="B954" s="459"/>
      <c r="C954" s="442"/>
      <c r="D954" s="442"/>
      <c r="E954" s="460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  <c r="Y954" s="442"/>
      <c r="Z954" s="442"/>
    </row>
    <row r="955" ht="19.5" customHeight="1">
      <c r="A955" s="442"/>
      <c r="B955" s="459"/>
      <c r="C955" s="442"/>
      <c r="D955" s="442"/>
      <c r="E955" s="460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  <c r="Y955" s="442"/>
      <c r="Z955" s="442"/>
    </row>
    <row r="956" ht="19.5" customHeight="1">
      <c r="A956" s="442"/>
      <c r="B956" s="459"/>
      <c r="C956" s="442"/>
      <c r="D956" s="442"/>
      <c r="E956" s="460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  <c r="Y956" s="442"/>
      <c r="Z956" s="442"/>
    </row>
    <row r="957" ht="19.5" customHeight="1">
      <c r="A957" s="442"/>
      <c r="B957" s="459"/>
      <c r="C957" s="442"/>
      <c r="D957" s="442"/>
      <c r="E957" s="460"/>
      <c r="F957" s="442"/>
      <c r="G957" s="442"/>
      <c r="H957" s="442"/>
      <c r="I957" s="442"/>
      <c r="J957" s="442"/>
      <c r="K957" s="442"/>
      <c r="L957" s="442"/>
      <c r="M957" s="442"/>
      <c r="N957" s="442"/>
      <c r="O957" s="442"/>
      <c r="P957" s="442"/>
      <c r="Q957" s="442"/>
      <c r="R957" s="442"/>
      <c r="S957" s="442"/>
      <c r="T957" s="442"/>
      <c r="U957" s="442"/>
      <c r="V957" s="442"/>
      <c r="W957" s="442"/>
      <c r="X957" s="442"/>
      <c r="Y957" s="442"/>
      <c r="Z957" s="442"/>
    </row>
    <row r="958" ht="19.5" customHeight="1">
      <c r="A958" s="442"/>
      <c r="B958" s="459"/>
      <c r="C958" s="442"/>
      <c r="D958" s="442"/>
      <c r="E958" s="460"/>
      <c r="F958" s="442"/>
      <c r="G958" s="442"/>
      <c r="H958" s="442"/>
      <c r="I958" s="442"/>
      <c r="J958" s="442"/>
      <c r="K958" s="442"/>
      <c r="L958" s="442"/>
      <c r="M958" s="442"/>
      <c r="N958" s="442"/>
      <c r="O958" s="442"/>
      <c r="P958" s="442"/>
      <c r="Q958" s="442"/>
      <c r="R958" s="442"/>
      <c r="S958" s="442"/>
      <c r="T958" s="442"/>
      <c r="U958" s="442"/>
      <c r="V958" s="442"/>
      <c r="W958" s="442"/>
      <c r="X958" s="442"/>
      <c r="Y958" s="442"/>
      <c r="Z958" s="442"/>
    </row>
    <row r="959" ht="19.5" customHeight="1">
      <c r="A959" s="442"/>
      <c r="B959" s="459"/>
      <c r="C959" s="442"/>
      <c r="D959" s="442"/>
      <c r="E959" s="460"/>
      <c r="F959" s="442"/>
      <c r="G959" s="442"/>
      <c r="H959" s="442"/>
      <c r="I959" s="442"/>
      <c r="J959" s="442"/>
      <c r="K959" s="442"/>
      <c r="L959" s="442"/>
      <c r="M959" s="442"/>
      <c r="N959" s="442"/>
      <c r="O959" s="442"/>
      <c r="P959" s="442"/>
      <c r="Q959" s="442"/>
      <c r="R959" s="442"/>
      <c r="S959" s="442"/>
      <c r="T959" s="442"/>
      <c r="U959" s="442"/>
      <c r="V959" s="442"/>
      <c r="W959" s="442"/>
      <c r="X959" s="442"/>
      <c r="Y959" s="442"/>
      <c r="Z959" s="442"/>
    </row>
    <row r="960" ht="19.5" customHeight="1">
      <c r="A960" s="442"/>
      <c r="B960" s="459"/>
      <c r="C960" s="442"/>
      <c r="D960" s="442"/>
      <c r="E960" s="460"/>
      <c r="F960" s="442"/>
      <c r="G960" s="442"/>
      <c r="H960" s="442"/>
      <c r="I960" s="442"/>
      <c r="J960" s="442"/>
      <c r="K960" s="442"/>
      <c r="L960" s="442"/>
      <c r="M960" s="442"/>
      <c r="N960" s="442"/>
      <c r="O960" s="442"/>
      <c r="P960" s="442"/>
      <c r="Q960" s="442"/>
      <c r="R960" s="442"/>
      <c r="S960" s="442"/>
      <c r="T960" s="442"/>
      <c r="U960" s="442"/>
      <c r="V960" s="442"/>
      <c r="W960" s="442"/>
      <c r="X960" s="442"/>
      <c r="Y960" s="442"/>
      <c r="Z960" s="442"/>
    </row>
    <row r="961" ht="19.5" customHeight="1">
      <c r="A961" s="442"/>
      <c r="B961" s="459"/>
      <c r="C961" s="442"/>
      <c r="D961" s="442"/>
      <c r="E961" s="460"/>
      <c r="F961" s="442"/>
      <c r="G961" s="442"/>
      <c r="H961" s="442"/>
      <c r="I961" s="442"/>
      <c r="J961" s="442"/>
      <c r="K961" s="442"/>
      <c r="L961" s="442"/>
      <c r="M961" s="442"/>
      <c r="N961" s="442"/>
      <c r="O961" s="442"/>
      <c r="P961" s="442"/>
      <c r="Q961" s="442"/>
      <c r="R961" s="442"/>
      <c r="S961" s="442"/>
      <c r="T961" s="442"/>
      <c r="U961" s="442"/>
      <c r="V961" s="442"/>
      <c r="W961" s="442"/>
      <c r="X961" s="442"/>
      <c r="Y961" s="442"/>
      <c r="Z961" s="442"/>
    </row>
    <row r="962" ht="19.5" customHeight="1">
      <c r="A962" s="442"/>
      <c r="B962" s="459"/>
      <c r="C962" s="442"/>
      <c r="D962" s="442"/>
      <c r="E962" s="460"/>
      <c r="F962" s="442"/>
      <c r="G962" s="442"/>
      <c r="H962" s="442"/>
      <c r="I962" s="442"/>
      <c r="J962" s="442"/>
      <c r="K962" s="442"/>
      <c r="L962" s="442"/>
      <c r="M962" s="442"/>
      <c r="N962" s="442"/>
      <c r="O962" s="442"/>
      <c r="P962" s="442"/>
      <c r="Q962" s="442"/>
      <c r="R962" s="442"/>
      <c r="S962" s="442"/>
      <c r="T962" s="442"/>
      <c r="U962" s="442"/>
      <c r="V962" s="442"/>
      <c r="W962" s="442"/>
      <c r="X962" s="442"/>
      <c r="Y962" s="442"/>
      <c r="Z962" s="442"/>
    </row>
    <row r="963" ht="19.5" customHeight="1">
      <c r="A963" s="442"/>
      <c r="B963" s="459"/>
      <c r="C963" s="442"/>
      <c r="D963" s="442"/>
      <c r="E963" s="460"/>
      <c r="F963" s="442"/>
      <c r="G963" s="442"/>
      <c r="H963" s="442"/>
      <c r="I963" s="442"/>
      <c r="J963" s="442"/>
      <c r="K963" s="442"/>
      <c r="L963" s="442"/>
      <c r="M963" s="442"/>
      <c r="N963" s="442"/>
      <c r="O963" s="442"/>
      <c r="P963" s="442"/>
      <c r="Q963" s="442"/>
      <c r="R963" s="442"/>
      <c r="S963" s="442"/>
      <c r="T963" s="442"/>
      <c r="U963" s="442"/>
      <c r="V963" s="442"/>
      <c r="W963" s="442"/>
      <c r="X963" s="442"/>
      <c r="Y963" s="442"/>
      <c r="Z963" s="442"/>
    </row>
    <row r="964" ht="19.5" customHeight="1">
      <c r="A964" s="442"/>
      <c r="B964" s="459"/>
      <c r="C964" s="442"/>
      <c r="D964" s="442"/>
      <c r="E964" s="460"/>
      <c r="F964" s="442"/>
      <c r="G964" s="442"/>
      <c r="H964" s="442"/>
      <c r="I964" s="442"/>
      <c r="J964" s="442"/>
      <c r="K964" s="442"/>
      <c r="L964" s="442"/>
      <c r="M964" s="442"/>
      <c r="N964" s="442"/>
      <c r="O964" s="442"/>
      <c r="P964" s="442"/>
      <c r="Q964" s="442"/>
      <c r="R964" s="442"/>
      <c r="S964" s="442"/>
      <c r="T964" s="442"/>
      <c r="U964" s="442"/>
      <c r="V964" s="442"/>
      <c r="W964" s="442"/>
      <c r="X964" s="442"/>
      <c r="Y964" s="442"/>
      <c r="Z964" s="442"/>
    </row>
    <row r="965" ht="19.5" customHeight="1">
      <c r="A965" s="442"/>
      <c r="B965" s="459"/>
      <c r="C965" s="442"/>
      <c r="D965" s="442"/>
      <c r="E965" s="460"/>
      <c r="F965" s="442"/>
      <c r="G965" s="442"/>
      <c r="H965" s="442"/>
      <c r="I965" s="442"/>
      <c r="J965" s="442"/>
      <c r="K965" s="442"/>
      <c r="L965" s="442"/>
      <c r="M965" s="442"/>
      <c r="N965" s="442"/>
      <c r="O965" s="442"/>
      <c r="P965" s="442"/>
      <c r="Q965" s="442"/>
      <c r="R965" s="442"/>
      <c r="S965" s="442"/>
      <c r="T965" s="442"/>
      <c r="U965" s="442"/>
      <c r="V965" s="442"/>
      <c r="W965" s="442"/>
      <c r="X965" s="442"/>
      <c r="Y965" s="442"/>
      <c r="Z965" s="442"/>
    </row>
    <row r="966" ht="19.5" customHeight="1">
      <c r="A966" s="442"/>
      <c r="B966" s="459"/>
      <c r="C966" s="442"/>
      <c r="D966" s="442"/>
      <c r="E966" s="460"/>
      <c r="F966" s="442"/>
      <c r="G966" s="442"/>
      <c r="H966" s="442"/>
      <c r="I966" s="442"/>
      <c r="J966" s="442"/>
      <c r="K966" s="442"/>
      <c r="L966" s="442"/>
      <c r="M966" s="442"/>
      <c r="N966" s="442"/>
      <c r="O966" s="442"/>
      <c r="P966" s="442"/>
      <c r="Q966" s="442"/>
      <c r="R966" s="442"/>
      <c r="S966" s="442"/>
      <c r="T966" s="442"/>
      <c r="U966" s="442"/>
      <c r="V966" s="442"/>
      <c r="W966" s="442"/>
      <c r="X966" s="442"/>
      <c r="Y966" s="442"/>
      <c r="Z966" s="442"/>
    </row>
    <row r="967" ht="19.5" customHeight="1">
      <c r="A967" s="442"/>
      <c r="B967" s="459"/>
      <c r="C967" s="442"/>
      <c r="D967" s="442"/>
      <c r="E967" s="460"/>
      <c r="F967" s="442"/>
      <c r="G967" s="442"/>
      <c r="H967" s="442"/>
      <c r="I967" s="442"/>
      <c r="J967" s="442"/>
      <c r="K967" s="442"/>
      <c r="L967" s="442"/>
      <c r="M967" s="442"/>
      <c r="N967" s="442"/>
      <c r="O967" s="442"/>
      <c r="P967" s="442"/>
      <c r="Q967" s="442"/>
      <c r="R967" s="442"/>
      <c r="S967" s="442"/>
      <c r="T967" s="442"/>
      <c r="U967" s="442"/>
      <c r="V967" s="442"/>
      <c r="W967" s="442"/>
      <c r="X967" s="442"/>
      <c r="Y967" s="442"/>
      <c r="Z967" s="442"/>
    </row>
    <row r="968" ht="19.5" customHeight="1">
      <c r="A968" s="442"/>
      <c r="B968" s="459"/>
      <c r="C968" s="442"/>
      <c r="D968" s="442"/>
      <c r="E968" s="460"/>
      <c r="F968" s="442"/>
      <c r="G968" s="442"/>
      <c r="H968" s="442"/>
      <c r="I968" s="442"/>
      <c r="J968" s="442"/>
      <c r="K968" s="442"/>
      <c r="L968" s="442"/>
      <c r="M968" s="442"/>
      <c r="N968" s="442"/>
      <c r="O968" s="442"/>
      <c r="P968" s="442"/>
      <c r="Q968" s="442"/>
      <c r="R968" s="442"/>
      <c r="S968" s="442"/>
      <c r="T968" s="442"/>
      <c r="U968" s="442"/>
      <c r="V968" s="442"/>
      <c r="W968" s="442"/>
      <c r="X968" s="442"/>
      <c r="Y968" s="442"/>
      <c r="Z968" s="442"/>
    </row>
    <row r="969" ht="19.5" customHeight="1">
      <c r="A969" s="442"/>
      <c r="B969" s="459"/>
      <c r="C969" s="442"/>
      <c r="D969" s="442"/>
      <c r="E969" s="460"/>
      <c r="F969" s="442"/>
      <c r="G969" s="442"/>
      <c r="H969" s="442"/>
      <c r="I969" s="442"/>
      <c r="J969" s="442"/>
      <c r="K969" s="442"/>
      <c r="L969" s="442"/>
      <c r="M969" s="442"/>
      <c r="N969" s="442"/>
      <c r="O969" s="442"/>
      <c r="P969" s="442"/>
      <c r="Q969" s="442"/>
      <c r="R969" s="442"/>
      <c r="S969" s="442"/>
      <c r="T969" s="442"/>
      <c r="U969" s="442"/>
      <c r="V969" s="442"/>
      <c r="W969" s="442"/>
      <c r="X969" s="442"/>
      <c r="Y969" s="442"/>
      <c r="Z969" s="442"/>
    </row>
    <row r="970" ht="19.5" customHeight="1">
      <c r="A970" s="442"/>
      <c r="B970" s="459"/>
      <c r="C970" s="442"/>
      <c r="D970" s="442"/>
      <c r="E970" s="460"/>
      <c r="F970" s="442"/>
      <c r="G970" s="442"/>
      <c r="H970" s="442"/>
      <c r="I970" s="442"/>
      <c r="J970" s="442"/>
      <c r="K970" s="442"/>
      <c r="L970" s="442"/>
      <c r="M970" s="442"/>
      <c r="N970" s="442"/>
      <c r="O970" s="442"/>
      <c r="P970" s="442"/>
      <c r="Q970" s="442"/>
      <c r="R970" s="442"/>
      <c r="S970" s="442"/>
      <c r="T970" s="442"/>
      <c r="U970" s="442"/>
      <c r="V970" s="442"/>
      <c r="W970" s="442"/>
      <c r="X970" s="442"/>
      <c r="Y970" s="442"/>
      <c r="Z970" s="442"/>
    </row>
    <row r="971" ht="19.5" customHeight="1">
      <c r="A971" s="442"/>
      <c r="B971" s="459"/>
      <c r="C971" s="442"/>
      <c r="D971" s="442"/>
      <c r="E971" s="460"/>
      <c r="F971" s="442"/>
      <c r="G971" s="442"/>
      <c r="H971" s="442"/>
      <c r="I971" s="442"/>
      <c r="J971" s="442"/>
      <c r="K971" s="442"/>
      <c r="L971" s="442"/>
      <c r="M971" s="442"/>
      <c r="N971" s="442"/>
      <c r="O971" s="442"/>
      <c r="P971" s="442"/>
      <c r="Q971" s="442"/>
      <c r="R971" s="442"/>
      <c r="S971" s="442"/>
      <c r="T971" s="442"/>
      <c r="U971" s="442"/>
      <c r="V971" s="442"/>
      <c r="W971" s="442"/>
      <c r="X971" s="442"/>
      <c r="Y971" s="442"/>
      <c r="Z971" s="442"/>
    </row>
    <row r="972" ht="19.5" customHeight="1">
      <c r="A972" s="442"/>
      <c r="B972" s="459"/>
      <c r="C972" s="442"/>
      <c r="D972" s="442"/>
      <c r="E972" s="460"/>
      <c r="F972" s="442"/>
      <c r="G972" s="442"/>
      <c r="H972" s="442"/>
      <c r="I972" s="442"/>
      <c r="J972" s="442"/>
      <c r="K972" s="442"/>
      <c r="L972" s="442"/>
      <c r="M972" s="442"/>
      <c r="N972" s="442"/>
      <c r="O972" s="442"/>
      <c r="P972" s="442"/>
      <c r="Q972" s="442"/>
      <c r="R972" s="442"/>
      <c r="S972" s="442"/>
      <c r="T972" s="442"/>
      <c r="U972" s="442"/>
      <c r="V972" s="442"/>
      <c r="W972" s="442"/>
      <c r="X972" s="442"/>
      <c r="Y972" s="442"/>
      <c r="Z972" s="442"/>
    </row>
    <row r="973" ht="19.5" customHeight="1">
      <c r="A973" s="442"/>
      <c r="B973" s="459"/>
      <c r="C973" s="442"/>
      <c r="D973" s="442"/>
      <c r="E973" s="460"/>
      <c r="F973" s="442"/>
      <c r="G973" s="442"/>
      <c r="H973" s="442"/>
      <c r="I973" s="442"/>
      <c r="J973" s="442"/>
      <c r="K973" s="442"/>
      <c r="L973" s="442"/>
      <c r="M973" s="442"/>
      <c r="N973" s="442"/>
      <c r="O973" s="442"/>
      <c r="P973" s="442"/>
      <c r="Q973" s="442"/>
      <c r="R973" s="442"/>
      <c r="S973" s="442"/>
      <c r="T973" s="442"/>
      <c r="U973" s="442"/>
      <c r="V973" s="442"/>
      <c r="W973" s="442"/>
      <c r="X973" s="442"/>
      <c r="Y973" s="442"/>
      <c r="Z973" s="442"/>
    </row>
    <row r="974" ht="19.5" customHeight="1">
      <c r="A974" s="442"/>
      <c r="B974" s="459"/>
      <c r="C974" s="442"/>
      <c r="D974" s="442"/>
      <c r="E974" s="460"/>
      <c r="F974" s="442"/>
      <c r="G974" s="442"/>
      <c r="H974" s="442"/>
      <c r="I974" s="442"/>
      <c r="J974" s="442"/>
      <c r="K974" s="442"/>
      <c r="L974" s="442"/>
      <c r="M974" s="442"/>
      <c r="N974" s="442"/>
      <c r="O974" s="442"/>
      <c r="P974" s="442"/>
      <c r="Q974" s="442"/>
      <c r="R974" s="442"/>
      <c r="S974" s="442"/>
      <c r="T974" s="442"/>
      <c r="U974" s="442"/>
      <c r="V974" s="442"/>
      <c r="W974" s="442"/>
      <c r="X974" s="442"/>
      <c r="Y974" s="442"/>
      <c r="Z974" s="442"/>
    </row>
    <row r="975" ht="19.5" customHeight="1">
      <c r="A975" s="442"/>
      <c r="B975" s="459"/>
      <c r="C975" s="442"/>
      <c r="D975" s="442"/>
      <c r="E975" s="460"/>
      <c r="F975" s="442"/>
      <c r="G975" s="442"/>
      <c r="H975" s="442"/>
      <c r="I975" s="442"/>
      <c r="J975" s="442"/>
      <c r="K975" s="442"/>
      <c r="L975" s="442"/>
      <c r="M975" s="442"/>
      <c r="N975" s="442"/>
      <c r="O975" s="442"/>
      <c r="P975" s="442"/>
      <c r="Q975" s="442"/>
      <c r="R975" s="442"/>
      <c r="S975" s="442"/>
      <c r="T975" s="442"/>
      <c r="U975" s="442"/>
      <c r="V975" s="442"/>
      <c r="W975" s="442"/>
      <c r="X975" s="442"/>
      <c r="Y975" s="442"/>
      <c r="Z975" s="442"/>
    </row>
    <row r="976" ht="19.5" customHeight="1">
      <c r="A976" s="442"/>
      <c r="B976" s="459"/>
      <c r="C976" s="442"/>
      <c r="D976" s="442"/>
      <c r="E976" s="460"/>
      <c r="F976" s="442"/>
      <c r="G976" s="442"/>
      <c r="H976" s="442"/>
      <c r="I976" s="442"/>
      <c r="J976" s="442"/>
      <c r="K976" s="442"/>
      <c r="L976" s="442"/>
      <c r="M976" s="442"/>
      <c r="N976" s="442"/>
      <c r="O976" s="442"/>
      <c r="P976" s="442"/>
      <c r="Q976" s="442"/>
      <c r="R976" s="442"/>
      <c r="S976" s="442"/>
      <c r="T976" s="442"/>
      <c r="U976" s="442"/>
      <c r="V976" s="442"/>
      <c r="W976" s="442"/>
      <c r="X976" s="442"/>
      <c r="Y976" s="442"/>
      <c r="Z976" s="442"/>
    </row>
    <row r="977" ht="19.5" customHeight="1">
      <c r="A977" s="442"/>
      <c r="B977" s="459"/>
      <c r="C977" s="442"/>
      <c r="D977" s="442"/>
      <c r="E977" s="460"/>
      <c r="F977" s="442"/>
      <c r="G977" s="442"/>
      <c r="H977" s="442"/>
      <c r="I977" s="442"/>
      <c r="J977" s="442"/>
      <c r="K977" s="442"/>
      <c r="L977" s="442"/>
      <c r="M977" s="442"/>
      <c r="N977" s="442"/>
      <c r="O977" s="442"/>
      <c r="P977" s="442"/>
      <c r="Q977" s="442"/>
      <c r="R977" s="442"/>
      <c r="S977" s="442"/>
      <c r="T977" s="442"/>
      <c r="U977" s="442"/>
      <c r="V977" s="442"/>
      <c r="W977" s="442"/>
      <c r="X977" s="442"/>
      <c r="Y977" s="442"/>
      <c r="Z977" s="442"/>
    </row>
    <row r="978" ht="19.5" customHeight="1">
      <c r="A978" s="442"/>
      <c r="B978" s="459"/>
      <c r="C978" s="442"/>
      <c r="D978" s="442"/>
      <c r="E978" s="460"/>
      <c r="F978" s="442"/>
      <c r="G978" s="442"/>
      <c r="H978" s="442"/>
      <c r="I978" s="442"/>
      <c r="J978" s="442"/>
      <c r="K978" s="442"/>
      <c r="L978" s="442"/>
      <c r="M978" s="442"/>
      <c r="N978" s="442"/>
      <c r="O978" s="442"/>
      <c r="P978" s="442"/>
      <c r="Q978" s="442"/>
      <c r="R978" s="442"/>
      <c r="S978" s="442"/>
      <c r="T978" s="442"/>
      <c r="U978" s="442"/>
      <c r="V978" s="442"/>
      <c r="W978" s="442"/>
      <c r="X978" s="442"/>
      <c r="Y978" s="442"/>
      <c r="Z978" s="442"/>
    </row>
    <row r="979" ht="19.5" customHeight="1">
      <c r="A979" s="442"/>
      <c r="B979" s="459"/>
      <c r="C979" s="442"/>
      <c r="D979" s="442"/>
      <c r="E979" s="460"/>
      <c r="F979" s="442"/>
      <c r="G979" s="442"/>
      <c r="H979" s="442"/>
      <c r="I979" s="442"/>
      <c r="J979" s="442"/>
      <c r="K979" s="442"/>
      <c r="L979" s="442"/>
      <c r="M979" s="442"/>
      <c r="N979" s="442"/>
      <c r="O979" s="442"/>
      <c r="P979" s="442"/>
      <c r="Q979" s="442"/>
      <c r="R979" s="442"/>
      <c r="S979" s="442"/>
      <c r="T979" s="442"/>
      <c r="U979" s="442"/>
      <c r="V979" s="442"/>
      <c r="W979" s="442"/>
      <c r="X979" s="442"/>
      <c r="Y979" s="442"/>
      <c r="Z979" s="442"/>
    </row>
    <row r="980" ht="19.5" customHeight="1">
      <c r="A980" s="442"/>
      <c r="B980" s="459"/>
      <c r="C980" s="442"/>
      <c r="D980" s="442"/>
      <c r="E980" s="460"/>
      <c r="F980" s="442"/>
      <c r="G980" s="442"/>
      <c r="H980" s="442"/>
      <c r="I980" s="442"/>
      <c r="J980" s="442"/>
      <c r="K980" s="442"/>
      <c r="L980" s="442"/>
      <c r="M980" s="442"/>
      <c r="N980" s="442"/>
      <c r="O980" s="442"/>
      <c r="P980" s="442"/>
      <c r="Q980" s="442"/>
      <c r="R980" s="442"/>
      <c r="S980" s="442"/>
      <c r="T980" s="442"/>
      <c r="U980" s="442"/>
      <c r="V980" s="442"/>
      <c r="W980" s="442"/>
      <c r="X980" s="442"/>
      <c r="Y980" s="442"/>
      <c r="Z980" s="442"/>
    </row>
    <row r="981" ht="19.5" customHeight="1">
      <c r="A981" s="442"/>
      <c r="B981" s="459"/>
      <c r="C981" s="442"/>
      <c r="D981" s="442"/>
      <c r="E981" s="460"/>
      <c r="F981" s="442"/>
      <c r="G981" s="442"/>
      <c r="H981" s="442"/>
      <c r="I981" s="442"/>
      <c r="J981" s="442"/>
      <c r="K981" s="442"/>
      <c r="L981" s="442"/>
      <c r="M981" s="442"/>
      <c r="N981" s="442"/>
      <c r="O981" s="442"/>
      <c r="P981" s="442"/>
      <c r="Q981" s="442"/>
      <c r="R981" s="442"/>
      <c r="S981" s="442"/>
      <c r="T981" s="442"/>
      <c r="U981" s="442"/>
      <c r="V981" s="442"/>
      <c r="W981" s="442"/>
      <c r="X981" s="442"/>
      <c r="Y981" s="442"/>
      <c r="Z981" s="442"/>
    </row>
    <row r="982" ht="19.5" customHeight="1">
      <c r="A982" s="442"/>
      <c r="B982" s="459"/>
      <c r="C982" s="442"/>
      <c r="D982" s="442"/>
      <c r="E982" s="460"/>
      <c r="F982" s="442"/>
      <c r="G982" s="442"/>
      <c r="H982" s="442"/>
      <c r="I982" s="442"/>
      <c r="J982" s="442"/>
      <c r="K982" s="442"/>
      <c r="L982" s="442"/>
      <c r="M982" s="442"/>
      <c r="N982" s="442"/>
      <c r="O982" s="442"/>
      <c r="P982" s="442"/>
      <c r="Q982" s="442"/>
      <c r="R982" s="442"/>
      <c r="S982" s="442"/>
      <c r="T982" s="442"/>
      <c r="U982" s="442"/>
      <c r="V982" s="442"/>
      <c r="W982" s="442"/>
      <c r="X982" s="442"/>
      <c r="Y982" s="442"/>
      <c r="Z982" s="442"/>
    </row>
    <row r="983" ht="19.5" customHeight="1">
      <c r="A983" s="442"/>
      <c r="B983" s="459"/>
      <c r="C983" s="442"/>
      <c r="D983" s="442"/>
      <c r="E983" s="460"/>
      <c r="F983" s="442"/>
      <c r="G983" s="442"/>
      <c r="H983" s="442"/>
      <c r="I983" s="442"/>
      <c r="J983" s="442"/>
      <c r="K983" s="442"/>
      <c r="L983" s="442"/>
      <c r="M983" s="442"/>
      <c r="N983" s="442"/>
      <c r="O983" s="442"/>
      <c r="P983" s="442"/>
      <c r="Q983" s="442"/>
      <c r="R983" s="442"/>
      <c r="S983" s="442"/>
      <c r="T983" s="442"/>
      <c r="U983" s="442"/>
      <c r="V983" s="442"/>
      <c r="W983" s="442"/>
      <c r="X983" s="442"/>
      <c r="Y983" s="442"/>
      <c r="Z983" s="442"/>
    </row>
    <row r="984" ht="19.5" customHeight="1">
      <c r="A984" s="442"/>
      <c r="B984" s="459"/>
      <c r="C984" s="442"/>
      <c r="D984" s="442"/>
      <c r="E984" s="460"/>
      <c r="F984" s="442"/>
      <c r="G984" s="442"/>
      <c r="H984" s="442"/>
      <c r="I984" s="442"/>
      <c r="J984" s="442"/>
      <c r="K984" s="442"/>
      <c r="L984" s="442"/>
      <c r="M984" s="442"/>
      <c r="N984" s="442"/>
      <c r="O984" s="442"/>
      <c r="P984" s="442"/>
      <c r="Q984" s="442"/>
      <c r="R984" s="442"/>
      <c r="S984" s="442"/>
      <c r="T984" s="442"/>
      <c r="U984" s="442"/>
      <c r="V984" s="442"/>
      <c r="W984" s="442"/>
      <c r="X984" s="442"/>
      <c r="Y984" s="442"/>
      <c r="Z984" s="442"/>
    </row>
    <row r="985" ht="19.5" customHeight="1">
      <c r="A985" s="442"/>
      <c r="B985" s="459"/>
      <c r="C985" s="442"/>
      <c r="D985" s="442"/>
      <c r="E985" s="460"/>
      <c r="F985" s="442"/>
      <c r="G985" s="442"/>
      <c r="H985" s="442"/>
      <c r="I985" s="442"/>
      <c r="J985" s="442"/>
      <c r="K985" s="442"/>
      <c r="L985" s="442"/>
      <c r="M985" s="442"/>
      <c r="N985" s="442"/>
      <c r="O985" s="442"/>
      <c r="P985" s="442"/>
      <c r="Q985" s="442"/>
      <c r="R985" s="442"/>
      <c r="S985" s="442"/>
      <c r="T985" s="442"/>
      <c r="U985" s="442"/>
      <c r="V985" s="442"/>
      <c r="W985" s="442"/>
      <c r="X985" s="442"/>
      <c r="Y985" s="442"/>
      <c r="Z985" s="442"/>
    </row>
    <row r="986" ht="19.5" customHeight="1">
      <c r="A986" s="442"/>
      <c r="B986" s="459"/>
      <c r="C986" s="442"/>
      <c r="D986" s="442"/>
      <c r="E986" s="460"/>
      <c r="F986" s="442"/>
      <c r="G986" s="442"/>
      <c r="H986" s="442"/>
      <c r="I986" s="442"/>
      <c r="J986" s="442"/>
      <c r="K986" s="442"/>
      <c r="L986" s="442"/>
      <c r="M986" s="442"/>
      <c r="N986" s="442"/>
      <c r="O986" s="442"/>
      <c r="P986" s="442"/>
      <c r="Q986" s="442"/>
      <c r="R986" s="442"/>
      <c r="S986" s="442"/>
      <c r="T986" s="442"/>
      <c r="U986" s="442"/>
      <c r="V986" s="442"/>
      <c r="W986" s="442"/>
      <c r="X986" s="442"/>
      <c r="Y986" s="442"/>
      <c r="Z986" s="442"/>
    </row>
    <row r="987" ht="19.5" customHeight="1">
      <c r="A987" s="442"/>
      <c r="B987" s="459"/>
      <c r="C987" s="442"/>
      <c r="D987" s="442"/>
      <c r="E987" s="460"/>
      <c r="F987" s="442"/>
      <c r="G987" s="442"/>
      <c r="H987" s="442"/>
      <c r="I987" s="442"/>
      <c r="J987" s="442"/>
      <c r="K987" s="442"/>
      <c r="L987" s="442"/>
      <c r="M987" s="442"/>
      <c r="N987" s="442"/>
      <c r="O987" s="442"/>
      <c r="P987" s="442"/>
      <c r="Q987" s="442"/>
      <c r="R987" s="442"/>
      <c r="S987" s="442"/>
      <c r="T987" s="442"/>
      <c r="U987" s="442"/>
      <c r="V987" s="442"/>
      <c r="W987" s="442"/>
      <c r="X987" s="442"/>
      <c r="Y987" s="442"/>
      <c r="Z987" s="442"/>
    </row>
    <row r="988" ht="19.5" customHeight="1">
      <c r="A988" s="442"/>
      <c r="B988" s="459"/>
      <c r="C988" s="442"/>
      <c r="D988" s="442"/>
      <c r="E988" s="460"/>
      <c r="F988" s="442"/>
      <c r="G988" s="442"/>
      <c r="H988" s="442"/>
      <c r="I988" s="442"/>
      <c r="J988" s="442"/>
      <c r="K988" s="442"/>
      <c r="L988" s="442"/>
      <c r="M988" s="442"/>
      <c r="N988" s="442"/>
      <c r="O988" s="442"/>
      <c r="P988" s="442"/>
      <c r="Q988" s="442"/>
      <c r="R988" s="442"/>
      <c r="S988" s="442"/>
      <c r="T988" s="442"/>
      <c r="U988" s="442"/>
      <c r="V988" s="442"/>
      <c r="W988" s="442"/>
      <c r="X988" s="442"/>
      <c r="Y988" s="442"/>
      <c r="Z988" s="442"/>
    </row>
    <row r="989" ht="19.5" customHeight="1">
      <c r="A989" s="442"/>
      <c r="B989" s="459"/>
      <c r="C989" s="442"/>
      <c r="D989" s="442"/>
      <c r="E989" s="460"/>
      <c r="F989" s="442"/>
      <c r="G989" s="442"/>
      <c r="H989" s="442"/>
      <c r="I989" s="442"/>
      <c r="J989" s="442"/>
      <c r="K989" s="442"/>
      <c r="L989" s="442"/>
      <c r="M989" s="442"/>
      <c r="N989" s="442"/>
      <c r="O989" s="442"/>
      <c r="P989" s="442"/>
      <c r="Q989" s="442"/>
      <c r="R989" s="442"/>
      <c r="S989" s="442"/>
      <c r="T989" s="442"/>
      <c r="U989" s="442"/>
      <c r="V989" s="442"/>
      <c r="W989" s="442"/>
      <c r="X989" s="442"/>
      <c r="Y989" s="442"/>
      <c r="Z989" s="442"/>
    </row>
    <row r="990" ht="19.5" customHeight="1">
      <c r="A990" s="442"/>
      <c r="B990" s="459"/>
      <c r="C990" s="442"/>
      <c r="D990" s="442"/>
      <c r="E990" s="460"/>
      <c r="F990" s="442"/>
      <c r="G990" s="442"/>
      <c r="H990" s="442"/>
      <c r="I990" s="442"/>
      <c r="J990" s="442"/>
      <c r="K990" s="442"/>
      <c r="L990" s="442"/>
      <c r="M990" s="442"/>
      <c r="N990" s="442"/>
      <c r="O990" s="442"/>
      <c r="P990" s="442"/>
      <c r="Q990" s="442"/>
      <c r="R990" s="442"/>
      <c r="S990" s="442"/>
      <c r="T990" s="442"/>
      <c r="U990" s="442"/>
      <c r="V990" s="442"/>
      <c r="W990" s="442"/>
      <c r="X990" s="442"/>
      <c r="Y990" s="442"/>
      <c r="Z990" s="442"/>
    </row>
    <row r="991" ht="19.5" customHeight="1">
      <c r="A991" s="442"/>
      <c r="B991" s="459"/>
      <c r="C991" s="442"/>
      <c r="D991" s="442"/>
      <c r="E991" s="460"/>
      <c r="F991" s="442"/>
      <c r="G991" s="442"/>
      <c r="H991" s="442"/>
      <c r="I991" s="442"/>
      <c r="J991" s="442"/>
      <c r="K991" s="442"/>
      <c r="L991" s="442"/>
      <c r="M991" s="442"/>
      <c r="N991" s="442"/>
      <c r="O991" s="442"/>
      <c r="P991" s="442"/>
      <c r="Q991" s="442"/>
      <c r="R991" s="442"/>
      <c r="S991" s="442"/>
      <c r="T991" s="442"/>
      <c r="U991" s="442"/>
      <c r="V991" s="442"/>
      <c r="W991" s="442"/>
      <c r="X991" s="442"/>
      <c r="Y991" s="442"/>
      <c r="Z991" s="442"/>
    </row>
    <row r="992" ht="19.5" customHeight="1">
      <c r="A992" s="442"/>
      <c r="B992" s="459"/>
      <c r="C992" s="442"/>
      <c r="D992" s="442"/>
      <c r="E992" s="460"/>
      <c r="F992" s="442"/>
      <c r="G992" s="442"/>
      <c r="H992" s="442"/>
      <c r="I992" s="442"/>
      <c r="J992" s="442"/>
      <c r="K992" s="442"/>
      <c r="L992" s="442"/>
      <c r="M992" s="442"/>
      <c r="N992" s="442"/>
      <c r="O992" s="442"/>
      <c r="P992" s="442"/>
      <c r="Q992" s="442"/>
      <c r="R992" s="442"/>
      <c r="S992" s="442"/>
      <c r="T992" s="442"/>
      <c r="U992" s="442"/>
      <c r="V992" s="442"/>
      <c r="W992" s="442"/>
      <c r="X992" s="442"/>
      <c r="Y992" s="442"/>
      <c r="Z992" s="442"/>
    </row>
    <row r="993" ht="19.5" customHeight="1">
      <c r="A993" s="442"/>
      <c r="B993" s="459"/>
      <c r="C993" s="442"/>
      <c r="D993" s="442"/>
      <c r="E993" s="460"/>
      <c r="F993" s="442"/>
      <c r="G993" s="442"/>
      <c r="H993" s="442"/>
      <c r="I993" s="442"/>
      <c r="J993" s="442"/>
      <c r="K993" s="442"/>
      <c r="L993" s="442"/>
      <c r="M993" s="442"/>
      <c r="N993" s="442"/>
      <c r="O993" s="442"/>
      <c r="P993" s="442"/>
      <c r="Q993" s="442"/>
      <c r="R993" s="442"/>
      <c r="S993" s="442"/>
      <c r="T993" s="442"/>
      <c r="U993" s="442"/>
      <c r="V993" s="442"/>
      <c r="W993" s="442"/>
      <c r="X993" s="442"/>
      <c r="Y993" s="442"/>
      <c r="Z993" s="442"/>
    </row>
    <row r="994" ht="19.5" customHeight="1">
      <c r="A994" s="442"/>
      <c r="B994" s="459"/>
      <c r="C994" s="442"/>
      <c r="D994" s="442"/>
      <c r="E994" s="460"/>
      <c r="F994" s="442"/>
      <c r="G994" s="442"/>
      <c r="H994" s="442"/>
      <c r="I994" s="442"/>
      <c r="J994" s="442"/>
      <c r="K994" s="442"/>
      <c r="L994" s="442"/>
      <c r="M994" s="442"/>
      <c r="N994" s="442"/>
      <c r="O994" s="442"/>
      <c r="P994" s="442"/>
      <c r="Q994" s="442"/>
      <c r="R994" s="442"/>
      <c r="S994" s="442"/>
      <c r="T994" s="442"/>
      <c r="U994" s="442"/>
      <c r="V994" s="442"/>
      <c r="W994" s="442"/>
      <c r="X994" s="442"/>
      <c r="Y994" s="442"/>
      <c r="Z994" s="442"/>
    </row>
    <row r="995" ht="19.5" customHeight="1">
      <c r="A995" s="442"/>
      <c r="B995" s="459"/>
      <c r="C995" s="442"/>
      <c r="D995" s="442"/>
      <c r="E995" s="460"/>
      <c r="F995" s="442"/>
      <c r="G995" s="442"/>
      <c r="H995" s="442"/>
      <c r="I995" s="442"/>
      <c r="J995" s="442"/>
      <c r="K995" s="442"/>
      <c r="L995" s="442"/>
      <c r="M995" s="442"/>
      <c r="N995" s="442"/>
      <c r="O995" s="442"/>
      <c r="P995" s="442"/>
      <c r="Q995" s="442"/>
      <c r="R995" s="442"/>
      <c r="S995" s="442"/>
      <c r="T995" s="442"/>
      <c r="U995" s="442"/>
      <c r="V995" s="442"/>
      <c r="W995" s="442"/>
      <c r="X995" s="442"/>
      <c r="Y995" s="442"/>
      <c r="Z995" s="442"/>
    </row>
    <row r="996" ht="19.5" customHeight="1">
      <c r="A996" s="442"/>
      <c r="B996" s="459"/>
      <c r="C996" s="442"/>
      <c r="D996" s="442"/>
      <c r="E996" s="460"/>
      <c r="F996" s="442"/>
      <c r="G996" s="442"/>
      <c r="H996" s="442"/>
      <c r="I996" s="442"/>
      <c r="J996" s="442"/>
      <c r="K996" s="442"/>
      <c r="L996" s="442"/>
      <c r="M996" s="442"/>
      <c r="N996" s="442"/>
      <c r="O996" s="442"/>
      <c r="P996" s="442"/>
      <c r="Q996" s="442"/>
      <c r="R996" s="442"/>
      <c r="S996" s="442"/>
      <c r="T996" s="442"/>
      <c r="U996" s="442"/>
      <c r="V996" s="442"/>
      <c r="W996" s="442"/>
      <c r="X996" s="442"/>
      <c r="Y996" s="442"/>
      <c r="Z996" s="442"/>
    </row>
    <row r="997" ht="19.5" customHeight="1">
      <c r="A997" s="442"/>
      <c r="B997" s="459"/>
      <c r="C997" s="442"/>
      <c r="D997" s="442"/>
      <c r="E997" s="460"/>
      <c r="F997" s="442"/>
      <c r="G997" s="442"/>
      <c r="H997" s="442"/>
      <c r="I997" s="442"/>
      <c r="J997" s="442"/>
      <c r="K997" s="442"/>
      <c r="L997" s="442"/>
      <c r="M997" s="442"/>
      <c r="N997" s="442"/>
      <c r="O997" s="442"/>
      <c r="P997" s="442"/>
      <c r="Q997" s="442"/>
      <c r="R997" s="442"/>
      <c r="S997" s="442"/>
      <c r="T997" s="442"/>
      <c r="U997" s="442"/>
      <c r="V997" s="442"/>
      <c r="W997" s="442"/>
      <c r="X997" s="442"/>
      <c r="Y997" s="442"/>
      <c r="Z997" s="442"/>
    </row>
    <row r="998" ht="19.5" customHeight="1">
      <c r="A998" s="442"/>
      <c r="B998" s="459"/>
      <c r="C998" s="442"/>
      <c r="D998" s="442"/>
      <c r="E998" s="460"/>
      <c r="F998" s="442"/>
      <c r="G998" s="442"/>
      <c r="H998" s="442"/>
      <c r="I998" s="442"/>
      <c r="J998" s="442"/>
      <c r="K998" s="442"/>
      <c r="L998" s="442"/>
      <c r="M998" s="442"/>
      <c r="N998" s="442"/>
      <c r="O998" s="442"/>
      <c r="P998" s="442"/>
      <c r="Q998" s="442"/>
      <c r="R998" s="442"/>
      <c r="S998" s="442"/>
      <c r="T998" s="442"/>
      <c r="U998" s="442"/>
      <c r="V998" s="442"/>
      <c r="W998" s="442"/>
      <c r="X998" s="442"/>
      <c r="Y998" s="442"/>
      <c r="Z998" s="442"/>
    </row>
    <row r="999" ht="19.5" customHeight="1">
      <c r="A999" s="442"/>
      <c r="B999" s="459"/>
      <c r="C999" s="442"/>
      <c r="D999" s="442"/>
      <c r="E999" s="460"/>
      <c r="F999" s="442"/>
      <c r="G999" s="442"/>
      <c r="H999" s="442"/>
      <c r="I999" s="442"/>
      <c r="J999" s="442"/>
      <c r="K999" s="442"/>
      <c r="L999" s="442"/>
      <c r="M999" s="442"/>
      <c r="N999" s="442"/>
      <c r="O999" s="442"/>
      <c r="P999" s="442"/>
      <c r="Q999" s="442"/>
      <c r="R999" s="442"/>
      <c r="S999" s="442"/>
      <c r="T999" s="442"/>
      <c r="U999" s="442"/>
      <c r="V999" s="442"/>
      <c r="W999" s="442"/>
      <c r="X999" s="442"/>
      <c r="Y999" s="442"/>
      <c r="Z999" s="442"/>
    </row>
    <row r="1000" ht="19.5" customHeight="1">
      <c r="A1000" s="442"/>
      <c r="B1000" s="459"/>
      <c r="C1000" s="442"/>
      <c r="D1000" s="442"/>
      <c r="E1000" s="460"/>
      <c r="F1000" s="442"/>
      <c r="G1000" s="442"/>
      <c r="H1000" s="442"/>
      <c r="I1000" s="442"/>
      <c r="J1000" s="442"/>
      <c r="K1000" s="442"/>
      <c r="L1000" s="442"/>
      <c r="M1000" s="442"/>
      <c r="N1000" s="442"/>
      <c r="O1000" s="442"/>
      <c r="P1000" s="442"/>
      <c r="Q1000" s="442"/>
      <c r="R1000" s="442"/>
      <c r="S1000" s="442"/>
      <c r="T1000" s="442"/>
      <c r="U1000" s="442"/>
      <c r="V1000" s="442"/>
      <c r="W1000" s="442"/>
      <c r="X1000" s="442"/>
      <c r="Y1000" s="442"/>
      <c r="Z1000" s="442"/>
    </row>
    <row r="1001" ht="19.5" customHeight="1">
      <c r="A1001" s="442"/>
      <c r="B1001" s="459"/>
      <c r="C1001" s="442"/>
      <c r="D1001" s="442"/>
      <c r="E1001" s="460"/>
      <c r="F1001" s="442"/>
      <c r="G1001" s="442"/>
      <c r="H1001" s="442"/>
      <c r="I1001" s="442"/>
      <c r="J1001" s="442"/>
      <c r="K1001" s="442"/>
      <c r="L1001" s="442"/>
      <c r="M1001" s="442"/>
      <c r="N1001" s="442"/>
      <c r="O1001" s="442"/>
      <c r="P1001" s="442"/>
      <c r="Q1001" s="442"/>
      <c r="R1001" s="442"/>
      <c r="S1001" s="442"/>
      <c r="T1001" s="442"/>
      <c r="U1001" s="442"/>
      <c r="V1001" s="442"/>
      <c r="W1001" s="442"/>
      <c r="X1001" s="442"/>
      <c r="Y1001" s="442"/>
      <c r="Z1001" s="442"/>
    </row>
    <row r="1002" ht="19.5" customHeight="1">
      <c r="A1002" s="442"/>
      <c r="B1002" s="459"/>
      <c r="C1002" s="442"/>
      <c r="D1002" s="442"/>
      <c r="E1002" s="460"/>
      <c r="F1002" s="442"/>
      <c r="G1002" s="442"/>
      <c r="H1002" s="442"/>
      <c r="I1002" s="442"/>
      <c r="J1002" s="442"/>
      <c r="K1002" s="442"/>
      <c r="L1002" s="442"/>
      <c r="M1002" s="442"/>
      <c r="N1002" s="442"/>
      <c r="O1002" s="442"/>
      <c r="P1002" s="442"/>
      <c r="Q1002" s="442"/>
      <c r="R1002" s="442"/>
      <c r="S1002" s="442"/>
      <c r="T1002" s="442"/>
      <c r="U1002" s="442"/>
      <c r="V1002" s="442"/>
      <c r="W1002" s="442"/>
      <c r="X1002" s="442"/>
      <c r="Y1002" s="442"/>
      <c r="Z1002" s="442"/>
    </row>
    <row r="1003" ht="19.5" customHeight="1">
      <c r="A1003" s="442"/>
      <c r="B1003" s="459"/>
      <c r="C1003" s="442"/>
      <c r="D1003" s="442"/>
      <c r="E1003" s="460"/>
      <c r="F1003" s="442"/>
      <c r="G1003" s="442"/>
      <c r="H1003" s="442"/>
      <c r="I1003" s="442"/>
      <c r="J1003" s="442"/>
      <c r="K1003" s="442"/>
      <c r="L1003" s="442"/>
      <c r="M1003" s="442"/>
      <c r="N1003" s="442"/>
      <c r="O1003" s="442"/>
      <c r="P1003" s="442"/>
      <c r="Q1003" s="442"/>
      <c r="R1003" s="442"/>
      <c r="S1003" s="442"/>
      <c r="T1003" s="442"/>
      <c r="U1003" s="442"/>
      <c r="V1003" s="442"/>
      <c r="W1003" s="442"/>
      <c r="X1003" s="442"/>
      <c r="Y1003" s="442"/>
      <c r="Z1003" s="442"/>
    </row>
    <row r="1004" ht="19.5" customHeight="1">
      <c r="A1004" s="442"/>
      <c r="B1004" s="459"/>
      <c r="C1004" s="442"/>
      <c r="D1004" s="442"/>
      <c r="E1004" s="460"/>
      <c r="F1004" s="442"/>
      <c r="G1004" s="442"/>
      <c r="H1004" s="442"/>
      <c r="I1004" s="442"/>
      <c r="J1004" s="442"/>
      <c r="K1004" s="442"/>
      <c r="L1004" s="442"/>
      <c r="M1004" s="442"/>
      <c r="N1004" s="442"/>
      <c r="O1004" s="442"/>
      <c r="P1004" s="442"/>
      <c r="Q1004" s="442"/>
      <c r="R1004" s="442"/>
      <c r="S1004" s="442"/>
      <c r="T1004" s="442"/>
      <c r="U1004" s="442"/>
      <c r="V1004" s="442"/>
      <c r="W1004" s="442"/>
      <c r="X1004" s="442"/>
      <c r="Y1004" s="442"/>
      <c r="Z1004" s="442"/>
    </row>
    <row r="1005" ht="19.5" customHeight="1">
      <c r="A1005" s="442"/>
      <c r="B1005" s="459"/>
      <c r="C1005" s="442"/>
      <c r="D1005" s="442"/>
      <c r="E1005" s="460"/>
      <c r="F1005" s="442"/>
      <c r="G1005" s="442"/>
      <c r="H1005" s="442"/>
      <c r="I1005" s="442"/>
      <c r="J1005" s="442"/>
      <c r="K1005" s="442"/>
      <c r="L1005" s="442"/>
      <c r="M1005" s="442"/>
      <c r="N1005" s="442"/>
      <c r="O1005" s="442"/>
      <c r="P1005" s="442"/>
      <c r="Q1005" s="442"/>
      <c r="R1005" s="442"/>
      <c r="S1005" s="442"/>
      <c r="T1005" s="442"/>
      <c r="U1005" s="442"/>
      <c r="V1005" s="442"/>
      <c r="W1005" s="442"/>
      <c r="X1005" s="442"/>
      <c r="Y1005" s="442"/>
      <c r="Z1005" s="442"/>
    </row>
    <row r="1006" ht="19.5" customHeight="1">
      <c r="A1006" s="442"/>
      <c r="B1006" s="459"/>
      <c r="C1006" s="442"/>
      <c r="D1006" s="442"/>
      <c r="E1006" s="460"/>
      <c r="F1006" s="442"/>
      <c r="G1006" s="442"/>
      <c r="H1006" s="442"/>
      <c r="I1006" s="442"/>
      <c r="J1006" s="442"/>
      <c r="K1006" s="442"/>
      <c r="L1006" s="442"/>
      <c r="M1006" s="442"/>
      <c r="N1006" s="442"/>
      <c r="O1006" s="442"/>
      <c r="P1006" s="442"/>
      <c r="Q1006" s="442"/>
      <c r="R1006" s="442"/>
      <c r="S1006" s="442"/>
      <c r="T1006" s="442"/>
      <c r="U1006" s="442"/>
      <c r="V1006" s="442"/>
      <c r="W1006" s="442"/>
      <c r="X1006" s="442"/>
      <c r="Y1006" s="442"/>
      <c r="Z1006" s="442"/>
    </row>
    <row r="1007" ht="19.5" customHeight="1">
      <c r="A1007" s="442"/>
      <c r="B1007" s="459"/>
      <c r="C1007" s="442"/>
      <c r="D1007" s="442"/>
      <c r="E1007" s="460"/>
      <c r="F1007" s="442"/>
      <c r="G1007" s="442"/>
      <c r="H1007" s="442"/>
      <c r="I1007" s="442"/>
      <c r="J1007" s="442"/>
      <c r="K1007" s="442"/>
      <c r="L1007" s="442"/>
      <c r="M1007" s="442"/>
      <c r="N1007" s="442"/>
      <c r="O1007" s="442"/>
      <c r="P1007" s="442"/>
      <c r="Q1007" s="442"/>
      <c r="R1007" s="442"/>
      <c r="S1007" s="442"/>
      <c r="T1007" s="442"/>
      <c r="U1007" s="442"/>
      <c r="V1007" s="442"/>
      <c r="W1007" s="442"/>
      <c r="X1007" s="442"/>
      <c r="Y1007" s="442"/>
      <c r="Z1007" s="442"/>
    </row>
    <row r="1008" ht="19.5" customHeight="1">
      <c r="A1008" s="442"/>
      <c r="B1008" s="459"/>
      <c r="C1008" s="442"/>
      <c r="D1008" s="442"/>
      <c r="E1008" s="460"/>
      <c r="F1008" s="442"/>
      <c r="G1008" s="442"/>
      <c r="H1008" s="442"/>
      <c r="I1008" s="442"/>
      <c r="J1008" s="442"/>
      <c r="K1008" s="442"/>
      <c r="L1008" s="442"/>
      <c r="M1008" s="442"/>
      <c r="N1008" s="442"/>
      <c r="O1008" s="442"/>
      <c r="P1008" s="442"/>
      <c r="Q1008" s="442"/>
      <c r="R1008" s="442"/>
      <c r="S1008" s="442"/>
      <c r="T1008" s="442"/>
      <c r="U1008" s="442"/>
      <c r="V1008" s="442"/>
      <c r="W1008" s="442"/>
      <c r="X1008" s="442"/>
      <c r="Y1008" s="442"/>
      <c r="Z1008" s="442"/>
    </row>
    <row r="1009" ht="19.5" customHeight="1">
      <c r="A1009" s="442"/>
      <c r="B1009" s="459"/>
      <c r="C1009" s="442"/>
      <c r="D1009" s="442"/>
      <c r="E1009" s="460"/>
      <c r="F1009" s="442"/>
      <c r="G1009" s="442"/>
      <c r="H1009" s="442"/>
      <c r="I1009" s="442"/>
      <c r="J1009" s="442"/>
      <c r="K1009" s="442"/>
      <c r="L1009" s="442"/>
      <c r="M1009" s="442"/>
      <c r="N1009" s="442"/>
      <c r="O1009" s="442"/>
      <c r="P1009" s="442"/>
      <c r="Q1009" s="442"/>
      <c r="R1009" s="442"/>
      <c r="S1009" s="442"/>
      <c r="T1009" s="442"/>
      <c r="U1009" s="442"/>
      <c r="V1009" s="442"/>
      <c r="W1009" s="442"/>
      <c r="X1009" s="442"/>
      <c r="Y1009" s="442"/>
      <c r="Z1009" s="442"/>
    </row>
    <row r="1010" ht="19.5" customHeight="1">
      <c r="A1010" s="442"/>
      <c r="B1010" s="459"/>
      <c r="C1010" s="442"/>
      <c r="D1010" s="442"/>
      <c r="E1010" s="460"/>
      <c r="F1010" s="442"/>
      <c r="G1010" s="442"/>
      <c r="H1010" s="442"/>
      <c r="I1010" s="442"/>
      <c r="J1010" s="442"/>
      <c r="K1010" s="442"/>
      <c r="L1010" s="442"/>
      <c r="M1010" s="442"/>
      <c r="N1010" s="442"/>
      <c r="O1010" s="442"/>
      <c r="P1010" s="442"/>
      <c r="Q1010" s="442"/>
      <c r="R1010" s="442"/>
      <c r="S1010" s="442"/>
      <c r="T1010" s="442"/>
      <c r="U1010" s="442"/>
      <c r="V1010" s="442"/>
      <c r="W1010" s="442"/>
      <c r="X1010" s="442"/>
      <c r="Y1010" s="442"/>
      <c r="Z1010" s="442"/>
    </row>
    <row r="1011" ht="19.5" customHeight="1">
      <c r="A1011" s="442"/>
      <c r="B1011" s="459"/>
      <c r="C1011" s="442"/>
      <c r="D1011" s="442"/>
      <c r="E1011" s="460"/>
      <c r="F1011" s="442"/>
      <c r="G1011" s="442"/>
      <c r="H1011" s="442"/>
      <c r="I1011" s="442"/>
      <c r="J1011" s="442"/>
      <c r="K1011" s="442"/>
      <c r="L1011" s="442"/>
      <c r="M1011" s="442"/>
      <c r="N1011" s="442"/>
      <c r="O1011" s="442"/>
      <c r="P1011" s="442"/>
      <c r="Q1011" s="442"/>
      <c r="R1011" s="442"/>
      <c r="S1011" s="442"/>
      <c r="T1011" s="442"/>
      <c r="U1011" s="442"/>
      <c r="V1011" s="442"/>
      <c r="W1011" s="442"/>
      <c r="X1011" s="442"/>
      <c r="Y1011" s="442"/>
      <c r="Z1011" s="442"/>
    </row>
    <row r="1012" ht="19.5" customHeight="1">
      <c r="A1012" s="442"/>
      <c r="B1012" s="459"/>
      <c r="C1012" s="442"/>
      <c r="D1012" s="442"/>
      <c r="E1012" s="460"/>
      <c r="F1012" s="442"/>
      <c r="G1012" s="442"/>
      <c r="H1012" s="442"/>
      <c r="I1012" s="442"/>
      <c r="J1012" s="442"/>
      <c r="K1012" s="442"/>
      <c r="L1012" s="442"/>
      <c r="M1012" s="442"/>
      <c r="N1012" s="442"/>
      <c r="O1012" s="442"/>
      <c r="P1012" s="442"/>
      <c r="Q1012" s="442"/>
      <c r="R1012" s="442"/>
      <c r="S1012" s="442"/>
      <c r="T1012" s="442"/>
      <c r="U1012" s="442"/>
      <c r="V1012" s="442"/>
      <c r="W1012" s="442"/>
      <c r="X1012" s="442"/>
      <c r="Y1012" s="442"/>
      <c r="Z1012" s="442"/>
    </row>
    <row r="1013" ht="19.5" customHeight="1">
      <c r="A1013" s="442"/>
      <c r="B1013" s="459"/>
      <c r="C1013" s="442"/>
      <c r="D1013" s="442"/>
      <c r="E1013" s="460"/>
      <c r="F1013" s="442"/>
      <c r="G1013" s="442"/>
      <c r="H1013" s="442"/>
      <c r="I1013" s="442"/>
      <c r="J1013" s="442"/>
      <c r="K1013" s="442"/>
      <c r="L1013" s="442"/>
      <c r="M1013" s="442"/>
      <c r="N1013" s="442"/>
      <c r="O1013" s="442"/>
      <c r="P1013" s="442"/>
      <c r="Q1013" s="442"/>
      <c r="R1013" s="442"/>
      <c r="S1013" s="442"/>
      <c r="T1013" s="442"/>
      <c r="U1013" s="442"/>
      <c r="V1013" s="442"/>
      <c r="W1013" s="442"/>
      <c r="X1013" s="442"/>
      <c r="Y1013" s="442"/>
      <c r="Z1013" s="442"/>
    </row>
    <row r="1014" ht="19.5" customHeight="1">
      <c r="A1014" s="442"/>
      <c r="B1014" s="459"/>
      <c r="C1014" s="442"/>
      <c r="D1014" s="442"/>
      <c r="E1014" s="460"/>
      <c r="F1014" s="442"/>
      <c r="G1014" s="442"/>
      <c r="H1014" s="442"/>
      <c r="I1014" s="442"/>
      <c r="J1014" s="442"/>
      <c r="K1014" s="442"/>
      <c r="L1014" s="442"/>
      <c r="M1014" s="442"/>
      <c r="N1014" s="442"/>
      <c r="O1014" s="442"/>
      <c r="P1014" s="442"/>
      <c r="Q1014" s="442"/>
      <c r="R1014" s="442"/>
      <c r="S1014" s="442"/>
      <c r="T1014" s="442"/>
      <c r="U1014" s="442"/>
      <c r="V1014" s="442"/>
      <c r="W1014" s="442"/>
      <c r="X1014" s="442"/>
      <c r="Y1014" s="442"/>
      <c r="Z1014" s="442"/>
    </row>
    <row r="1015" ht="19.5" customHeight="1">
      <c r="A1015" s="442"/>
      <c r="B1015" s="459"/>
      <c r="C1015" s="442"/>
      <c r="D1015" s="442"/>
      <c r="E1015" s="460"/>
      <c r="F1015" s="442"/>
      <c r="G1015" s="442"/>
      <c r="H1015" s="442"/>
      <c r="I1015" s="442"/>
      <c r="J1015" s="442"/>
      <c r="K1015" s="442"/>
      <c r="L1015" s="442"/>
      <c r="M1015" s="442"/>
      <c r="N1015" s="442"/>
      <c r="O1015" s="442"/>
      <c r="P1015" s="442"/>
      <c r="Q1015" s="442"/>
      <c r="R1015" s="442"/>
      <c r="S1015" s="442"/>
      <c r="T1015" s="442"/>
      <c r="U1015" s="442"/>
      <c r="V1015" s="442"/>
      <c r="W1015" s="442"/>
      <c r="X1015" s="442"/>
      <c r="Y1015" s="442"/>
      <c r="Z1015" s="442"/>
    </row>
    <row r="1016" ht="19.5" customHeight="1">
      <c r="A1016" s="442"/>
      <c r="B1016" s="459"/>
      <c r="C1016" s="442"/>
      <c r="D1016" s="442"/>
      <c r="E1016" s="460"/>
      <c r="F1016" s="442"/>
      <c r="G1016" s="442"/>
      <c r="H1016" s="442"/>
      <c r="I1016" s="442"/>
      <c r="J1016" s="442"/>
      <c r="K1016" s="442"/>
      <c r="L1016" s="442"/>
      <c r="M1016" s="442"/>
      <c r="N1016" s="442"/>
      <c r="O1016" s="442"/>
      <c r="P1016" s="442"/>
      <c r="Q1016" s="442"/>
      <c r="R1016" s="442"/>
      <c r="S1016" s="442"/>
      <c r="T1016" s="442"/>
      <c r="U1016" s="442"/>
      <c r="V1016" s="442"/>
      <c r="W1016" s="442"/>
      <c r="X1016" s="442"/>
      <c r="Y1016" s="442"/>
      <c r="Z1016" s="442"/>
    </row>
    <row r="1017" ht="19.5" customHeight="1">
      <c r="A1017" s="442"/>
      <c r="B1017" s="459"/>
      <c r="C1017" s="442"/>
      <c r="D1017" s="442"/>
      <c r="E1017" s="460"/>
      <c r="F1017" s="442"/>
      <c r="G1017" s="442"/>
      <c r="H1017" s="442"/>
      <c r="I1017" s="442"/>
      <c r="J1017" s="442"/>
      <c r="K1017" s="442"/>
      <c r="L1017" s="442"/>
      <c r="M1017" s="442"/>
      <c r="N1017" s="442"/>
      <c r="O1017" s="442"/>
      <c r="P1017" s="442"/>
      <c r="Q1017" s="442"/>
      <c r="R1017" s="442"/>
      <c r="S1017" s="442"/>
      <c r="T1017" s="442"/>
      <c r="U1017" s="442"/>
      <c r="V1017" s="442"/>
      <c r="W1017" s="442"/>
      <c r="X1017" s="442"/>
      <c r="Y1017" s="442"/>
      <c r="Z1017" s="442"/>
    </row>
    <row r="1018" ht="19.5" customHeight="1">
      <c r="A1018" s="442"/>
      <c r="B1018" s="459"/>
      <c r="C1018" s="442"/>
      <c r="D1018" s="442"/>
      <c r="E1018" s="460"/>
      <c r="F1018" s="442"/>
      <c r="G1018" s="442"/>
      <c r="H1018" s="442"/>
      <c r="I1018" s="442"/>
      <c r="J1018" s="442"/>
      <c r="K1018" s="442"/>
      <c r="L1018" s="442"/>
      <c r="M1018" s="442"/>
      <c r="N1018" s="442"/>
      <c r="O1018" s="442"/>
      <c r="P1018" s="442"/>
      <c r="Q1018" s="442"/>
      <c r="R1018" s="442"/>
      <c r="S1018" s="442"/>
      <c r="T1018" s="442"/>
      <c r="U1018" s="442"/>
      <c r="V1018" s="442"/>
      <c r="W1018" s="442"/>
      <c r="X1018" s="442"/>
      <c r="Y1018" s="442"/>
      <c r="Z1018" s="442"/>
    </row>
    <row r="1019" ht="19.5" customHeight="1">
      <c r="A1019" s="442"/>
      <c r="B1019" s="459"/>
      <c r="C1019" s="442"/>
      <c r="D1019" s="442"/>
      <c r="E1019" s="460"/>
      <c r="F1019" s="442"/>
      <c r="G1019" s="442"/>
      <c r="H1019" s="442"/>
      <c r="I1019" s="442"/>
      <c r="J1019" s="442"/>
      <c r="K1019" s="442"/>
      <c r="L1019" s="442"/>
      <c r="M1019" s="442"/>
      <c r="N1019" s="442"/>
      <c r="O1019" s="442"/>
      <c r="P1019" s="442"/>
      <c r="Q1019" s="442"/>
      <c r="R1019" s="442"/>
      <c r="S1019" s="442"/>
      <c r="T1019" s="442"/>
      <c r="U1019" s="442"/>
      <c r="V1019" s="442"/>
      <c r="W1019" s="442"/>
      <c r="X1019" s="442"/>
      <c r="Y1019" s="442"/>
      <c r="Z1019" s="442"/>
    </row>
    <row r="1020" ht="19.5" customHeight="1">
      <c r="A1020" s="442"/>
      <c r="B1020" s="459"/>
      <c r="C1020" s="442"/>
      <c r="D1020" s="442"/>
      <c r="E1020" s="460"/>
      <c r="F1020" s="442"/>
      <c r="G1020" s="442"/>
      <c r="H1020" s="442"/>
      <c r="I1020" s="442"/>
      <c r="J1020" s="442"/>
      <c r="K1020" s="442"/>
      <c r="L1020" s="442"/>
      <c r="M1020" s="442"/>
      <c r="N1020" s="442"/>
      <c r="O1020" s="442"/>
      <c r="P1020" s="442"/>
      <c r="Q1020" s="442"/>
      <c r="R1020" s="442"/>
      <c r="S1020" s="442"/>
      <c r="T1020" s="442"/>
      <c r="U1020" s="442"/>
      <c r="V1020" s="442"/>
      <c r="W1020" s="442"/>
      <c r="X1020" s="442"/>
      <c r="Y1020" s="442"/>
      <c r="Z1020" s="442"/>
    </row>
    <row r="1021" ht="19.5" customHeight="1">
      <c r="A1021" s="442"/>
      <c r="B1021" s="459"/>
      <c r="C1021" s="442"/>
      <c r="D1021" s="442"/>
      <c r="E1021" s="460"/>
      <c r="F1021" s="442"/>
      <c r="G1021" s="442"/>
      <c r="H1021" s="442"/>
      <c r="I1021" s="442"/>
      <c r="J1021" s="442"/>
      <c r="K1021" s="442"/>
      <c r="L1021" s="442"/>
      <c r="M1021" s="442"/>
      <c r="N1021" s="442"/>
      <c r="O1021" s="442"/>
      <c r="P1021" s="442"/>
      <c r="Q1021" s="442"/>
      <c r="R1021" s="442"/>
      <c r="S1021" s="442"/>
      <c r="T1021" s="442"/>
      <c r="U1021" s="442"/>
      <c r="V1021" s="442"/>
      <c r="W1021" s="442"/>
      <c r="X1021" s="442"/>
      <c r="Y1021" s="442"/>
      <c r="Z1021" s="442"/>
    </row>
    <row r="1022" ht="19.5" customHeight="1">
      <c r="A1022" s="442"/>
      <c r="B1022" s="459"/>
      <c r="C1022" s="442"/>
      <c r="D1022" s="442"/>
      <c r="E1022" s="460"/>
      <c r="F1022" s="442"/>
      <c r="G1022" s="442"/>
      <c r="H1022" s="442"/>
      <c r="I1022" s="442"/>
      <c r="J1022" s="442"/>
      <c r="K1022" s="442"/>
      <c r="L1022" s="442"/>
      <c r="M1022" s="442"/>
      <c r="N1022" s="442"/>
      <c r="O1022" s="442"/>
      <c r="P1022" s="442"/>
      <c r="Q1022" s="442"/>
      <c r="R1022" s="442"/>
      <c r="S1022" s="442"/>
      <c r="T1022" s="442"/>
      <c r="U1022" s="442"/>
      <c r="V1022" s="442"/>
      <c r="W1022" s="442"/>
      <c r="X1022" s="442"/>
      <c r="Y1022" s="442"/>
      <c r="Z1022" s="442"/>
    </row>
    <row r="1023" ht="19.5" customHeight="1">
      <c r="A1023" s="442"/>
      <c r="B1023" s="459"/>
      <c r="C1023" s="442"/>
      <c r="D1023" s="442"/>
      <c r="E1023" s="460"/>
      <c r="F1023" s="442"/>
      <c r="G1023" s="442"/>
      <c r="H1023" s="442"/>
      <c r="I1023" s="442"/>
      <c r="J1023" s="442"/>
      <c r="K1023" s="442"/>
      <c r="L1023" s="442"/>
      <c r="M1023" s="442"/>
      <c r="N1023" s="442"/>
      <c r="O1023" s="442"/>
      <c r="P1023" s="442"/>
      <c r="Q1023" s="442"/>
      <c r="R1023" s="442"/>
      <c r="S1023" s="442"/>
      <c r="T1023" s="442"/>
      <c r="U1023" s="442"/>
      <c r="V1023" s="442"/>
      <c r="W1023" s="442"/>
      <c r="X1023" s="442"/>
      <c r="Y1023" s="442"/>
      <c r="Z1023" s="442"/>
    </row>
    <row r="1024" ht="19.5" customHeight="1">
      <c r="A1024" s="442"/>
      <c r="B1024" s="459"/>
      <c r="C1024" s="442"/>
      <c r="D1024" s="442"/>
      <c r="E1024" s="460"/>
      <c r="F1024" s="442"/>
      <c r="G1024" s="442"/>
      <c r="H1024" s="442"/>
      <c r="I1024" s="442"/>
      <c r="J1024" s="442"/>
      <c r="K1024" s="442"/>
      <c r="L1024" s="442"/>
      <c r="M1024" s="442"/>
      <c r="N1024" s="442"/>
      <c r="O1024" s="442"/>
      <c r="P1024" s="442"/>
      <c r="Q1024" s="442"/>
      <c r="R1024" s="442"/>
      <c r="S1024" s="442"/>
      <c r="T1024" s="442"/>
      <c r="U1024" s="442"/>
      <c r="V1024" s="442"/>
      <c r="W1024" s="442"/>
      <c r="X1024" s="442"/>
      <c r="Y1024" s="442"/>
      <c r="Z1024" s="442"/>
    </row>
    <row r="1025" ht="19.5" customHeight="1">
      <c r="A1025" s="442"/>
      <c r="B1025" s="459"/>
      <c r="C1025" s="442"/>
      <c r="D1025" s="442"/>
      <c r="E1025" s="460"/>
      <c r="F1025" s="442"/>
      <c r="G1025" s="442"/>
      <c r="H1025" s="442"/>
      <c r="I1025" s="442"/>
      <c r="J1025" s="442"/>
      <c r="K1025" s="442"/>
      <c r="L1025" s="442"/>
      <c r="M1025" s="442"/>
      <c r="N1025" s="442"/>
      <c r="O1025" s="442"/>
      <c r="P1025" s="442"/>
      <c r="Q1025" s="442"/>
      <c r="R1025" s="442"/>
      <c r="S1025" s="442"/>
      <c r="T1025" s="442"/>
      <c r="U1025" s="442"/>
      <c r="V1025" s="442"/>
      <c r="W1025" s="442"/>
      <c r="X1025" s="442"/>
      <c r="Y1025" s="442"/>
      <c r="Z1025" s="442"/>
    </row>
    <row r="1026" ht="19.5" customHeight="1">
      <c r="A1026" s="442"/>
      <c r="B1026" s="459"/>
      <c r="C1026" s="442"/>
      <c r="D1026" s="442"/>
      <c r="E1026" s="460"/>
      <c r="F1026" s="442"/>
      <c r="G1026" s="442"/>
      <c r="H1026" s="442"/>
      <c r="I1026" s="442"/>
      <c r="J1026" s="442"/>
      <c r="K1026" s="442"/>
      <c r="L1026" s="442"/>
      <c r="M1026" s="442"/>
      <c r="N1026" s="442"/>
      <c r="O1026" s="442"/>
      <c r="P1026" s="442"/>
      <c r="Q1026" s="442"/>
      <c r="R1026" s="442"/>
      <c r="S1026" s="442"/>
      <c r="T1026" s="442"/>
      <c r="U1026" s="442"/>
      <c r="V1026" s="442"/>
      <c r="W1026" s="442"/>
      <c r="X1026" s="442"/>
      <c r="Y1026" s="442"/>
      <c r="Z1026" s="442"/>
    </row>
    <row r="1027" ht="19.5" customHeight="1">
      <c r="A1027" s="442"/>
      <c r="B1027" s="459"/>
      <c r="C1027" s="442"/>
      <c r="D1027" s="442"/>
      <c r="E1027" s="460"/>
      <c r="F1027" s="442"/>
      <c r="G1027" s="442"/>
      <c r="H1027" s="442"/>
      <c r="I1027" s="442"/>
      <c r="J1027" s="442"/>
      <c r="K1027" s="442"/>
      <c r="L1027" s="442"/>
      <c r="M1027" s="442"/>
      <c r="N1027" s="442"/>
      <c r="O1027" s="442"/>
      <c r="P1027" s="442"/>
      <c r="Q1027" s="442"/>
      <c r="R1027" s="442"/>
      <c r="S1027" s="442"/>
      <c r="T1027" s="442"/>
      <c r="U1027" s="442"/>
      <c r="V1027" s="442"/>
      <c r="W1027" s="442"/>
      <c r="X1027" s="442"/>
      <c r="Y1027" s="442"/>
      <c r="Z1027" s="442"/>
    </row>
    <row r="1028" ht="19.5" customHeight="1">
      <c r="A1028" s="442"/>
      <c r="B1028" s="459"/>
      <c r="C1028" s="442"/>
      <c r="D1028" s="442"/>
      <c r="E1028" s="460"/>
      <c r="F1028" s="442"/>
      <c r="G1028" s="442"/>
      <c r="H1028" s="442"/>
      <c r="I1028" s="442"/>
      <c r="J1028" s="442"/>
      <c r="K1028" s="442"/>
      <c r="L1028" s="442"/>
      <c r="M1028" s="442"/>
      <c r="N1028" s="442"/>
      <c r="O1028" s="442"/>
      <c r="P1028" s="442"/>
      <c r="Q1028" s="442"/>
      <c r="R1028" s="442"/>
      <c r="S1028" s="442"/>
      <c r="T1028" s="442"/>
      <c r="U1028" s="442"/>
      <c r="V1028" s="442"/>
      <c r="W1028" s="442"/>
      <c r="X1028" s="442"/>
      <c r="Y1028" s="442"/>
      <c r="Z1028" s="442"/>
    </row>
    <row r="1029" ht="19.5" customHeight="1">
      <c r="A1029" s="442"/>
      <c r="B1029" s="459"/>
      <c r="C1029" s="442"/>
      <c r="D1029" s="442"/>
      <c r="E1029" s="460"/>
      <c r="F1029" s="442"/>
      <c r="G1029" s="442"/>
      <c r="H1029" s="442"/>
      <c r="I1029" s="442"/>
      <c r="J1029" s="442"/>
      <c r="K1029" s="442"/>
      <c r="L1029" s="442"/>
      <c r="M1029" s="442"/>
      <c r="N1029" s="442"/>
      <c r="O1029" s="442"/>
      <c r="P1029" s="442"/>
      <c r="Q1029" s="442"/>
      <c r="R1029" s="442"/>
      <c r="S1029" s="442"/>
      <c r="T1029" s="442"/>
      <c r="U1029" s="442"/>
      <c r="V1029" s="442"/>
      <c r="W1029" s="442"/>
      <c r="X1029" s="442"/>
      <c r="Y1029" s="442"/>
      <c r="Z1029" s="442"/>
    </row>
    <row r="1030" ht="19.5" customHeight="1">
      <c r="A1030" s="442"/>
      <c r="B1030" s="459"/>
      <c r="C1030" s="442"/>
      <c r="D1030" s="442"/>
      <c r="E1030" s="460"/>
      <c r="F1030" s="442"/>
      <c r="G1030" s="442"/>
      <c r="H1030" s="442"/>
      <c r="I1030" s="442"/>
      <c r="J1030" s="442"/>
      <c r="K1030" s="442"/>
      <c r="L1030" s="442"/>
      <c r="M1030" s="442"/>
      <c r="N1030" s="442"/>
      <c r="O1030" s="442"/>
      <c r="P1030" s="442"/>
      <c r="Q1030" s="442"/>
      <c r="R1030" s="442"/>
      <c r="S1030" s="442"/>
      <c r="T1030" s="442"/>
      <c r="U1030" s="442"/>
      <c r="V1030" s="442"/>
      <c r="W1030" s="442"/>
      <c r="X1030" s="442"/>
      <c r="Y1030" s="442"/>
      <c r="Z1030" s="442"/>
    </row>
    <row r="1031" ht="19.5" customHeight="1">
      <c r="A1031" s="442"/>
      <c r="B1031" s="459"/>
      <c r="C1031" s="442"/>
      <c r="D1031" s="442"/>
      <c r="E1031" s="460"/>
      <c r="F1031" s="442"/>
      <c r="G1031" s="442"/>
      <c r="H1031" s="442"/>
      <c r="I1031" s="442"/>
      <c r="J1031" s="442"/>
      <c r="K1031" s="442"/>
      <c r="L1031" s="442"/>
      <c r="M1031" s="442"/>
      <c r="N1031" s="442"/>
      <c r="O1031" s="442"/>
      <c r="P1031" s="442"/>
      <c r="Q1031" s="442"/>
      <c r="R1031" s="442"/>
      <c r="S1031" s="442"/>
      <c r="T1031" s="442"/>
      <c r="U1031" s="442"/>
      <c r="V1031" s="442"/>
      <c r="W1031" s="442"/>
      <c r="X1031" s="442"/>
      <c r="Y1031" s="442"/>
      <c r="Z1031" s="442"/>
    </row>
    <row r="1032" ht="19.5" customHeight="1">
      <c r="A1032" s="442"/>
      <c r="B1032" s="459"/>
      <c r="C1032" s="442"/>
      <c r="D1032" s="442"/>
      <c r="E1032" s="460"/>
      <c r="F1032" s="442"/>
      <c r="G1032" s="442"/>
      <c r="H1032" s="442"/>
      <c r="I1032" s="442"/>
      <c r="J1032" s="442"/>
      <c r="K1032" s="442"/>
      <c r="L1032" s="442"/>
      <c r="M1032" s="442"/>
      <c r="N1032" s="442"/>
      <c r="O1032" s="442"/>
      <c r="P1032" s="442"/>
      <c r="Q1032" s="442"/>
      <c r="R1032" s="442"/>
      <c r="S1032" s="442"/>
      <c r="T1032" s="442"/>
      <c r="U1032" s="442"/>
      <c r="V1032" s="442"/>
      <c r="W1032" s="442"/>
      <c r="X1032" s="442"/>
      <c r="Y1032" s="442"/>
      <c r="Z1032" s="442"/>
    </row>
    <row r="1033" ht="19.5" customHeight="1">
      <c r="A1033" s="442"/>
      <c r="B1033" s="459"/>
      <c r="C1033" s="442"/>
      <c r="D1033" s="442"/>
      <c r="E1033" s="460"/>
      <c r="F1033" s="442"/>
      <c r="G1033" s="442"/>
      <c r="H1033" s="442"/>
      <c r="I1033" s="442"/>
      <c r="J1033" s="442"/>
      <c r="K1033" s="442"/>
      <c r="L1033" s="442"/>
      <c r="M1033" s="442"/>
      <c r="N1033" s="442"/>
      <c r="O1033" s="442"/>
      <c r="P1033" s="442"/>
      <c r="Q1033" s="442"/>
      <c r="R1033" s="442"/>
      <c r="S1033" s="442"/>
      <c r="T1033" s="442"/>
      <c r="U1033" s="442"/>
      <c r="V1033" s="442"/>
      <c r="W1033" s="442"/>
      <c r="X1033" s="442"/>
      <c r="Y1033" s="442"/>
      <c r="Z1033" s="442"/>
    </row>
    <row r="1034" ht="19.5" customHeight="1">
      <c r="A1034" s="442"/>
      <c r="B1034" s="459"/>
      <c r="C1034" s="442"/>
      <c r="D1034" s="442"/>
      <c r="E1034" s="460"/>
      <c r="F1034" s="442"/>
      <c r="G1034" s="442"/>
      <c r="H1034" s="442"/>
      <c r="I1034" s="442"/>
      <c r="J1034" s="442"/>
      <c r="K1034" s="442"/>
      <c r="L1034" s="442"/>
      <c r="M1034" s="442"/>
      <c r="N1034" s="442"/>
      <c r="O1034" s="442"/>
      <c r="P1034" s="442"/>
      <c r="Q1034" s="442"/>
      <c r="R1034" s="442"/>
      <c r="S1034" s="442"/>
      <c r="T1034" s="442"/>
      <c r="U1034" s="442"/>
      <c r="V1034" s="442"/>
      <c r="W1034" s="442"/>
      <c r="X1034" s="442"/>
      <c r="Y1034" s="442"/>
      <c r="Z1034" s="442"/>
    </row>
    <row r="1035" ht="19.5" customHeight="1">
      <c r="A1035" s="442"/>
      <c r="B1035" s="459"/>
      <c r="C1035" s="442"/>
      <c r="D1035" s="442"/>
      <c r="E1035" s="460"/>
      <c r="F1035" s="442"/>
      <c r="G1035" s="442"/>
      <c r="H1035" s="442"/>
      <c r="I1035" s="442"/>
      <c r="J1035" s="442"/>
      <c r="K1035" s="442"/>
      <c r="L1035" s="442"/>
      <c r="M1035" s="442"/>
      <c r="N1035" s="442"/>
      <c r="O1035" s="442"/>
      <c r="P1035" s="442"/>
      <c r="Q1035" s="442"/>
      <c r="R1035" s="442"/>
      <c r="S1035" s="442"/>
      <c r="T1035" s="442"/>
      <c r="U1035" s="442"/>
      <c r="V1035" s="442"/>
      <c r="W1035" s="442"/>
      <c r="X1035" s="442"/>
      <c r="Y1035" s="442"/>
      <c r="Z1035" s="442"/>
    </row>
    <row r="1036" ht="19.5" customHeight="1">
      <c r="A1036" s="442"/>
      <c r="B1036" s="459"/>
      <c r="C1036" s="442"/>
      <c r="D1036" s="442"/>
      <c r="E1036" s="460"/>
      <c r="F1036" s="442"/>
      <c r="G1036" s="442"/>
      <c r="H1036" s="442"/>
      <c r="I1036" s="442"/>
      <c r="J1036" s="442"/>
      <c r="K1036" s="442"/>
      <c r="L1036" s="442"/>
      <c r="M1036" s="442"/>
      <c r="N1036" s="442"/>
      <c r="O1036" s="442"/>
      <c r="P1036" s="442"/>
      <c r="Q1036" s="442"/>
      <c r="R1036" s="442"/>
      <c r="S1036" s="442"/>
      <c r="T1036" s="442"/>
      <c r="U1036" s="442"/>
      <c r="V1036" s="442"/>
      <c r="W1036" s="442"/>
      <c r="X1036" s="442"/>
      <c r="Y1036" s="442"/>
      <c r="Z1036" s="442"/>
    </row>
    <row r="1037" ht="19.5" customHeight="1">
      <c r="A1037" s="442"/>
      <c r="B1037" s="459"/>
      <c r="C1037" s="442"/>
      <c r="D1037" s="442"/>
      <c r="E1037" s="460"/>
      <c r="F1037" s="442"/>
      <c r="G1037" s="442"/>
      <c r="H1037" s="442"/>
      <c r="I1037" s="442"/>
      <c r="J1037" s="442"/>
      <c r="K1037" s="442"/>
      <c r="L1037" s="442"/>
      <c r="M1037" s="442"/>
      <c r="N1037" s="442"/>
      <c r="O1037" s="442"/>
      <c r="P1037" s="442"/>
      <c r="Q1037" s="442"/>
      <c r="R1037" s="442"/>
      <c r="S1037" s="442"/>
      <c r="T1037" s="442"/>
      <c r="U1037" s="442"/>
      <c r="V1037" s="442"/>
      <c r="W1037" s="442"/>
      <c r="X1037" s="442"/>
      <c r="Y1037" s="442"/>
      <c r="Z1037" s="442"/>
    </row>
    <row r="1038" ht="19.5" customHeight="1">
      <c r="A1038" s="442"/>
      <c r="B1038" s="459"/>
      <c r="C1038" s="442"/>
      <c r="D1038" s="442"/>
      <c r="E1038" s="460"/>
      <c r="F1038" s="442"/>
      <c r="G1038" s="442"/>
      <c r="H1038" s="442"/>
      <c r="I1038" s="442"/>
      <c r="J1038" s="442"/>
      <c r="K1038" s="442"/>
      <c r="L1038" s="442"/>
      <c r="M1038" s="442"/>
      <c r="N1038" s="442"/>
      <c r="O1038" s="442"/>
      <c r="P1038" s="442"/>
      <c r="Q1038" s="442"/>
      <c r="R1038" s="442"/>
      <c r="S1038" s="442"/>
      <c r="T1038" s="442"/>
      <c r="U1038" s="442"/>
      <c r="V1038" s="442"/>
      <c r="W1038" s="442"/>
      <c r="X1038" s="442"/>
      <c r="Y1038" s="442"/>
      <c r="Z1038" s="442"/>
    </row>
    <row r="1039" ht="19.5" customHeight="1">
      <c r="A1039" s="442"/>
      <c r="B1039" s="459"/>
      <c r="C1039" s="442"/>
      <c r="D1039" s="442"/>
      <c r="E1039" s="460"/>
      <c r="F1039" s="442"/>
      <c r="G1039" s="442"/>
      <c r="H1039" s="442"/>
      <c r="I1039" s="442"/>
      <c r="J1039" s="442"/>
      <c r="K1039" s="442"/>
      <c r="L1039" s="442"/>
      <c r="M1039" s="442"/>
      <c r="N1039" s="442"/>
      <c r="O1039" s="442"/>
      <c r="P1039" s="442"/>
      <c r="Q1039" s="442"/>
      <c r="R1039" s="442"/>
      <c r="S1039" s="442"/>
      <c r="T1039" s="442"/>
      <c r="U1039" s="442"/>
      <c r="V1039" s="442"/>
      <c r="W1039" s="442"/>
      <c r="X1039" s="442"/>
      <c r="Y1039" s="442"/>
      <c r="Z1039" s="442"/>
    </row>
    <row r="1040" ht="19.5" customHeight="1">
      <c r="A1040" s="442"/>
      <c r="B1040" s="459"/>
      <c r="C1040" s="442"/>
      <c r="D1040" s="442"/>
      <c r="E1040" s="460"/>
      <c r="F1040" s="442"/>
      <c r="G1040" s="442"/>
      <c r="H1040" s="442"/>
      <c r="I1040" s="442"/>
      <c r="J1040" s="442"/>
      <c r="K1040" s="442"/>
      <c r="L1040" s="442"/>
      <c r="M1040" s="442"/>
      <c r="N1040" s="442"/>
      <c r="O1040" s="442"/>
      <c r="P1040" s="442"/>
      <c r="Q1040" s="442"/>
      <c r="R1040" s="442"/>
      <c r="S1040" s="442"/>
      <c r="T1040" s="442"/>
      <c r="U1040" s="442"/>
      <c r="V1040" s="442"/>
      <c r="W1040" s="442"/>
      <c r="X1040" s="442"/>
      <c r="Y1040" s="442"/>
      <c r="Z1040" s="442"/>
    </row>
    <row r="1041" ht="19.5" customHeight="1">
      <c r="A1041" s="442"/>
      <c r="B1041" s="459"/>
      <c r="C1041" s="442"/>
      <c r="D1041" s="442"/>
      <c r="E1041" s="460"/>
      <c r="F1041" s="442"/>
      <c r="G1041" s="442"/>
      <c r="H1041" s="442"/>
      <c r="I1041" s="442"/>
      <c r="J1041" s="442"/>
      <c r="K1041" s="442"/>
      <c r="L1041" s="442"/>
      <c r="M1041" s="442"/>
      <c r="N1041" s="442"/>
      <c r="O1041" s="442"/>
      <c r="P1041" s="442"/>
      <c r="Q1041" s="442"/>
      <c r="R1041" s="442"/>
      <c r="S1041" s="442"/>
      <c r="T1041" s="442"/>
      <c r="U1041" s="442"/>
      <c r="V1041" s="442"/>
      <c r="W1041" s="442"/>
      <c r="X1041" s="442"/>
      <c r="Y1041" s="442"/>
      <c r="Z1041" s="442"/>
    </row>
    <row r="1042" ht="19.5" customHeight="1">
      <c r="A1042" s="442"/>
      <c r="B1042" s="459"/>
      <c r="C1042" s="442"/>
      <c r="D1042" s="442"/>
      <c r="E1042" s="460"/>
      <c r="F1042" s="442"/>
      <c r="G1042" s="442"/>
      <c r="H1042" s="442"/>
      <c r="I1042" s="442"/>
      <c r="J1042" s="442"/>
      <c r="K1042" s="442"/>
      <c r="L1042" s="442"/>
      <c r="M1042" s="442"/>
      <c r="N1042" s="442"/>
      <c r="O1042" s="442"/>
      <c r="P1042" s="442"/>
      <c r="Q1042" s="442"/>
      <c r="R1042" s="442"/>
      <c r="S1042" s="442"/>
      <c r="T1042" s="442"/>
      <c r="U1042" s="442"/>
      <c r="V1042" s="442"/>
      <c r="W1042" s="442"/>
      <c r="X1042" s="442"/>
      <c r="Y1042" s="442"/>
      <c r="Z1042" s="442"/>
    </row>
    <row r="1043" ht="19.5" customHeight="1">
      <c r="A1043" s="442"/>
      <c r="B1043" s="459"/>
      <c r="C1043" s="442"/>
      <c r="D1043" s="442"/>
      <c r="E1043" s="460"/>
      <c r="F1043" s="442"/>
      <c r="G1043" s="442"/>
      <c r="H1043" s="442"/>
      <c r="I1043" s="442"/>
      <c r="J1043" s="442"/>
      <c r="K1043" s="442"/>
      <c r="L1043" s="442"/>
      <c r="M1043" s="442"/>
      <c r="N1043" s="442"/>
      <c r="O1043" s="442"/>
      <c r="P1043" s="442"/>
      <c r="Q1043" s="442"/>
      <c r="R1043" s="442"/>
      <c r="S1043" s="442"/>
      <c r="T1043" s="442"/>
      <c r="U1043" s="442"/>
      <c r="V1043" s="442"/>
      <c r="W1043" s="442"/>
      <c r="X1043" s="442"/>
      <c r="Y1043" s="442"/>
      <c r="Z1043" s="442"/>
    </row>
    <row r="1044" ht="19.5" customHeight="1">
      <c r="A1044" s="442"/>
      <c r="B1044" s="459"/>
      <c r="C1044" s="442"/>
      <c r="D1044" s="442"/>
      <c r="E1044" s="460"/>
      <c r="F1044" s="442"/>
      <c r="G1044" s="442"/>
      <c r="H1044" s="442"/>
      <c r="I1044" s="442"/>
      <c r="J1044" s="442"/>
      <c r="K1044" s="442"/>
      <c r="L1044" s="442"/>
      <c r="M1044" s="442"/>
      <c r="N1044" s="442"/>
      <c r="O1044" s="442"/>
      <c r="P1044" s="442"/>
      <c r="Q1044" s="442"/>
      <c r="R1044" s="442"/>
      <c r="S1044" s="442"/>
      <c r="T1044" s="442"/>
      <c r="U1044" s="442"/>
      <c r="V1044" s="442"/>
      <c r="W1044" s="442"/>
      <c r="X1044" s="442"/>
      <c r="Y1044" s="442"/>
      <c r="Z1044" s="442"/>
    </row>
    <row r="1045" ht="19.5" customHeight="1">
      <c r="A1045" s="442"/>
      <c r="B1045" s="459"/>
      <c r="C1045" s="442"/>
      <c r="D1045" s="442"/>
      <c r="E1045" s="460"/>
      <c r="F1045" s="442"/>
      <c r="G1045" s="442"/>
      <c r="H1045" s="442"/>
      <c r="I1045" s="442"/>
      <c r="J1045" s="442"/>
      <c r="K1045" s="442"/>
      <c r="L1045" s="442"/>
      <c r="M1045" s="442"/>
      <c r="N1045" s="442"/>
      <c r="O1045" s="442"/>
      <c r="P1045" s="442"/>
      <c r="Q1045" s="442"/>
      <c r="R1045" s="442"/>
      <c r="S1045" s="442"/>
      <c r="T1045" s="442"/>
      <c r="U1045" s="442"/>
      <c r="V1045" s="442"/>
      <c r="W1045" s="442"/>
      <c r="X1045" s="442"/>
      <c r="Y1045" s="442"/>
      <c r="Z1045" s="442"/>
    </row>
    <row r="1046" ht="19.5" customHeight="1">
      <c r="A1046" s="442"/>
      <c r="B1046" s="459"/>
      <c r="C1046" s="442"/>
      <c r="D1046" s="442"/>
      <c r="E1046" s="460"/>
      <c r="F1046" s="442"/>
      <c r="G1046" s="442"/>
      <c r="H1046" s="442"/>
      <c r="I1046" s="442"/>
      <c r="J1046" s="442"/>
      <c r="K1046" s="442"/>
      <c r="L1046" s="442"/>
      <c r="M1046" s="442"/>
      <c r="N1046" s="442"/>
      <c r="O1046" s="442"/>
      <c r="P1046" s="442"/>
      <c r="Q1046" s="442"/>
      <c r="R1046" s="442"/>
      <c r="S1046" s="442"/>
      <c r="T1046" s="442"/>
      <c r="U1046" s="442"/>
      <c r="V1046" s="442"/>
      <c r="W1046" s="442"/>
      <c r="X1046" s="442"/>
      <c r="Y1046" s="442"/>
      <c r="Z1046" s="442"/>
    </row>
    <row r="1047" ht="19.5" customHeight="1">
      <c r="A1047" s="442"/>
      <c r="B1047" s="459"/>
      <c r="C1047" s="442"/>
      <c r="D1047" s="442"/>
      <c r="E1047" s="460"/>
      <c r="F1047" s="442"/>
      <c r="G1047" s="442"/>
      <c r="H1047" s="442"/>
      <c r="I1047" s="442"/>
      <c r="J1047" s="442"/>
      <c r="K1047" s="442"/>
      <c r="L1047" s="442"/>
      <c r="M1047" s="442"/>
      <c r="N1047" s="442"/>
      <c r="O1047" s="442"/>
      <c r="P1047" s="442"/>
      <c r="Q1047" s="442"/>
      <c r="R1047" s="442"/>
      <c r="S1047" s="442"/>
      <c r="T1047" s="442"/>
      <c r="U1047" s="442"/>
      <c r="V1047" s="442"/>
      <c r="W1047" s="442"/>
      <c r="X1047" s="442"/>
      <c r="Y1047" s="442"/>
      <c r="Z1047" s="442"/>
    </row>
    <row r="1048" ht="19.5" customHeight="1">
      <c r="A1048" s="442"/>
      <c r="B1048" s="459"/>
      <c r="C1048" s="442"/>
      <c r="D1048" s="442"/>
      <c r="E1048" s="460"/>
      <c r="F1048" s="442"/>
      <c r="G1048" s="442"/>
      <c r="H1048" s="442"/>
      <c r="I1048" s="442"/>
      <c r="J1048" s="442"/>
      <c r="K1048" s="442"/>
      <c r="L1048" s="442"/>
      <c r="M1048" s="442"/>
      <c r="N1048" s="442"/>
      <c r="O1048" s="442"/>
      <c r="P1048" s="442"/>
      <c r="Q1048" s="442"/>
      <c r="R1048" s="442"/>
      <c r="S1048" s="442"/>
      <c r="T1048" s="442"/>
      <c r="U1048" s="442"/>
      <c r="V1048" s="442"/>
      <c r="W1048" s="442"/>
      <c r="X1048" s="442"/>
      <c r="Y1048" s="442"/>
      <c r="Z1048" s="442"/>
    </row>
    <row r="1049" ht="19.5" customHeight="1">
      <c r="A1049" s="442"/>
      <c r="B1049" s="459"/>
      <c r="C1049" s="442"/>
      <c r="D1049" s="442"/>
      <c r="E1049" s="460"/>
      <c r="F1049" s="442"/>
      <c r="G1049" s="442"/>
      <c r="H1049" s="442"/>
      <c r="I1049" s="442"/>
      <c r="J1049" s="442"/>
      <c r="K1049" s="442"/>
      <c r="L1049" s="442"/>
      <c r="M1049" s="442"/>
      <c r="N1049" s="442"/>
      <c r="O1049" s="442"/>
      <c r="P1049" s="442"/>
      <c r="Q1049" s="442"/>
      <c r="R1049" s="442"/>
      <c r="S1049" s="442"/>
      <c r="T1049" s="442"/>
      <c r="U1049" s="442"/>
      <c r="V1049" s="442"/>
      <c r="W1049" s="442"/>
      <c r="X1049" s="442"/>
      <c r="Y1049" s="442"/>
      <c r="Z1049" s="442"/>
    </row>
    <row r="1050" ht="19.5" customHeight="1">
      <c r="A1050" s="442"/>
      <c r="B1050" s="459"/>
      <c r="C1050" s="442"/>
      <c r="D1050" s="442"/>
      <c r="E1050" s="460"/>
      <c r="F1050" s="442"/>
      <c r="G1050" s="442"/>
      <c r="H1050" s="442"/>
      <c r="I1050" s="442"/>
      <c r="J1050" s="442"/>
      <c r="K1050" s="442"/>
      <c r="L1050" s="442"/>
      <c r="M1050" s="442"/>
      <c r="N1050" s="442"/>
      <c r="O1050" s="442"/>
      <c r="P1050" s="442"/>
      <c r="Q1050" s="442"/>
      <c r="R1050" s="442"/>
      <c r="S1050" s="442"/>
      <c r="T1050" s="442"/>
      <c r="U1050" s="442"/>
      <c r="V1050" s="442"/>
      <c r="W1050" s="442"/>
      <c r="X1050" s="442"/>
      <c r="Y1050" s="442"/>
      <c r="Z1050" s="442"/>
    </row>
    <row r="1051" ht="19.5" customHeight="1">
      <c r="A1051" s="442"/>
      <c r="B1051" s="459"/>
      <c r="C1051" s="442"/>
      <c r="D1051" s="442"/>
      <c r="E1051" s="460"/>
      <c r="F1051" s="442"/>
      <c r="G1051" s="442"/>
      <c r="H1051" s="442"/>
      <c r="I1051" s="442"/>
      <c r="J1051" s="442"/>
      <c r="K1051" s="442"/>
      <c r="L1051" s="442"/>
      <c r="M1051" s="442"/>
      <c r="N1051" s="442"/>
      <c r="O1051" s="442"/>
      <c r="P1051" s="442"/>
      <c r="Q1051" s="442"/>
      <c r="R1051" s="442"/>
      <c r="S1051" s="442"/>
      <c r="T1051" s="442"/>
      <c r="U1051" s="442"/>
      <c r="V1051" s="442"/>
      <c r="W1051" s="442"/>
      <c r="X1051" s="442"/>
      <c r="Y1051" s="442"/>
      <c r="Z1051" s="442"/>
    </row>
    <row r="1052" ht="19.5" customHeight="1">
      <c r="A1052" s="442"/>
      <c r="B1052" s="459"/>
      <c r="C1052" s="442"/>
      <c r="D1052" s="442"/>
      <c r="E1052" s="460"/>
      <c r="F1052" s="442"/>
      <c r="G1052" s="442"/>
      <c r="H1052" s="442"/>
      <c r="I1052" s="442"/>
      <c r="J1052" s="442"/>
      <c r="K1052" s="442"/>
      <c r="L1052" s="442"/>
      <c r="M1052" s="442"/>
      <c r="N1052" s="442"/>
      <c r="O1052" s="442"/>
      <c r="P1052" s="442"/>
      <c r="Q1052" s="442"/>
      <c r="R1052" s="442"/>
      <c r="S1052" s="442"/>
      <c r="T1052" s="442"/>
      <c r="U1052" s="442"/>
      <c r="V1052" s="442"/>
      <c r="W1052" s="442"/>
      <c r="X1052" s="442"/>
      <c r="Y1052" s="442"/>
      <c r="Z1052" s="442"/>
    </row>
    <row r="1053" ht="19.5" customHeight="1">
      <c r="A1053" s="442"/>
      <c r="B1053" s="459"/>
      <c r="C1053" s="442"/>
      <c r="D1053" s="442"/>
      <c r="E1053" s="460"/>
      <c r="F1053" s="442"/>
      <c r="G1053" s="442"/>
      <c r="H1053" s="442"/>
      <c r="I1053" s="442"/>
      <c r="J1053" s="442"/>
      <c r="K1053" s="442"/>
      <c r="L1053" s="442"/>
      <c r="M1053" s="442"/>
      <c r="N1053" s="442"/>
      <c r="O1053" s="442"/>
      <c r="P1053" s="442"/>
      <c r="Q1053" s="442"/>
      <c r="R1053" s="442"/>
      <c r="S1053" s="442"/>
      <c r="T1053" s="442"/>
      <c r="U1053" s="442"/>
      <c r="V1053" s="442"/>
      <c r="W1053" s="442"/>
      <c r="X1053" s="442"/>
      <c r="Y1053" s="442"/>
      <c r="Z1053" s="442"/>
    </row>
    <row r="1054" ht="19.5" customHeight="1">
      <c r="A1054" s="442"/>
      <c r="B1054" s="459"/>
      <c r="C1054" s="442"/>
      <c r="D1054" s="442"/>
      <c r="E1054" s="460"/>
      <c r="F1054" s="442"/>
      <c r="G1054" s="442"/>
      <c r="H1054" s="442"/>
      <c r="I1054" s="442"/>
      <c r="J1054" s="442"/>
      <c r="K1054" s="442"/>
      <c r="L1054" s="442"/>
      <c r="M1054" s="442"/>
      <c r="N1054" s="442"/>
      <c r="O1054" s="442"/>
      <c r="P1054" s="442"/>
      <c r="Q1054" s="442"/>
      <c r="R1054" s="442"/>
      <c r="S1054" s="442"/>
      <c r="T1054" s="442"/>
      <c r="U1054" s="442"/>
      <c r="V1054" s="442"/>
      <c r="W1054" s="442"/>
      <c r="X1054" s="442"/>
      <c r="Y1054" s="442"/>
      <c r="Z1054" s="442"/>
    </row>
    <row r="1055" ht="19.5" customHeight="1">
      <c r="A1055" s="442"/>
      <c r="B1055" s="459"/>
      <c r="C1055" s="442"/>
      <c r="D1055" s="442"/>
      <c r="E1055" s="460"/>
      <c r="F1055" s="442"/>
      <c r="G1055" s="442"/>
      <c r="H1055" s="442"/>
      <c r="I1055" s="442"/>
      <c r="J1055" s="442"/>
      <c r="K1055" s="442"/>
      <c r="L1055" s="442"/>
      <c r="M1055" s="442"/>
      <c r="N1055" s="442"/>
      <c r="O1055" s="442"/>
      <c r="P1055" s="442"/>
      <c r="Q1055" s="442"/>
      <c r="R1055" s="442"/>
      <c r="S1055" s="442"/>
      <c r="T1055" s="442"/>
      <c r="U1055" s="442"/>
      <c r="V1055" s="442"/>
      <c r="W1055" s="442"/>
      <c r="X1055" s="442"/>
      <c r="Y1055" s="442"/>
      <c r="Z1055" s="442"/>
    </row>
    <row r="1056" ht="19.5" customHeight="1">
      <c r="A1056" s="442"/>
      <c r="B1056" s="459"/>
      <c r="C1056" s="442"/>
      <c r="D1056" s="442"/>
      <c r="E1056" s="460"/>
      <c r="F1056" s="442"/>
      <c r="G1056" s="442"/>
      <c r="H1056" s="442"/>
      <c r="I1056" s="442"/>
      <c r="J1056" s="442"/>
      <c r="K1056" s="442"/>
      <c r="L1056" s="442"/>
      <c r="M1056" s="442"/>
      <c r="N1056" s="442"/>
      <c r="O1056" s="442"/>
      <c r="P1056" s="442"/>
      <c r="Q1056" s="442"/>
      <c r="R1056" s="442"/>
      <c r="S1056" s="442"/>
      <c r="T1056" s="442"/>
      <c r="U1056" s="442"/>
      <c r="V1056" s="442"/>
      <c r="W1056" s="442"/>
      <c r="X1056" s="442"/>
      <c r="Y1056" s="442"/>
      <c r="Z1056" s="442"/>
    </row>
    <row r="1057" ht="19.5" customHeight="1">
      <c r="A1057" s="442"/>
      <c r="B1057" s="459"/>
      <c r="C1057" s="442"/>
      <c r="D1057" s="442"/>
      <c r="E1057" s="460"/>
      <c r="F1057" s="442"/>
      <c r="G1057" s="442"/>
      <c r="H1057" s="442"/>
      <c r="I1057" s="442"/>
      <c r="J1057" s="442"/>
      <c r="K1057" s="442"/>
      <c r="L1057" s="442"/>
      <c r="M1057" s="442"/>
      <c r="N1057" s="442"/>
      <c r="O1057" s="442"/>
      <c r="P1057" s="442"/>
      <c r="Q1057" s="442"/>
      <c r="R1057" s="442"/>
      <c r="S1057" s="442"/>
      <c r="T1057" s="442"/>
      <c r="U1057" s="442"/>
      <c r="V1057" s="442"/>
      <c r="W1057" s="442"/>
      <c r="X1057" s="442"/>
      <c r="Y1057" s="442"/>
      <c r="Z1057" s="442"/>
    </row>
    <row r="1058" ht="19.5" customHeight="1">
      <c r="A1058" s="442"/>
      <c r="B1058" s="459"/>
      <c r="C1058" s="442"/>
      <c r="D1058" s="442"/>
      <c r="E1058" s="460"/>
      <c r="F1058" s="442"/>
      <c r="G1058" s="442"/>
      <c r="H1058" s="442"/>
      <c r="I1058" s="442"/>
      <c r="J1058" s="442"/>
      <c r="K1058" s="442"/>
      <c r="L1058" s="442"/>
      <c r="M1058" s="442"/>
      <c r="N1058" s="442"/>
      <c r="O1058" s="442"/>
      <c r="P1058" s="442"/>
      <c r="Q1058" s="442"/>
      <c r="R1058" s="442"/>
      <c r="S1058" s="442"/>
      <c r="T1058" s="442"/>
      <c r="U1058" s="442"/>
      <c r="V1058" s="442"/>
      <c r="W1058" s="442"/>
      <c r="X1058" s="442"/>
      <c r="Y1058" s="442"/>
      <c r="Z1058" s="442"/>
    </row>
    <row r="1059" ht="19.5" customHeight="1">
      <c r="A1059" s="442"/>
      <c r="B1059" s="459"/>
      <c r="C1059" s="442"/>
      <c r="D1059" s="442"/>
      <c r="E1059" s="460"/>
      <c r="F1059" s="442"/>
      <c r="G1059" s="442"/>
      <c r="H1059" s="442"/>
      <c r="I1059" s="442"/>
      <c r="J1059" s="442"/>
      <c r="K1059" s="442"/>
      <c r="L1059" s="442"/>
      <c r="M1059" s="442"/>
      <c r="N1059" s="442"/>
      <c r="O1059" s="442"/>
      <c r="P1059" s="442"/>
      <c r="Q1059" s="442"/>
      <c r="R1059" s="442"/>
      <c r="S1059" s="442"/>
      <c r="T1059" s="442"/>
      <c r="U1059" s="442"/>
      <c r="V1059" s="442"/>
      <c r="W1059" s="442"/>
      <c r="X1059" s="442"/>
      <c r="Y1059" s="442"/>
      <c r="Z1059" s="442"/>
    </row>
    <row r="1060" ht="19.5" customHeight="1">
      <c r="A1060" s="442"/>
      <c r="B1060" s="459"/>
      <c r="C1060" s="442"/>
      <c r="D1060" s="442"/>
      <c r="E1060" s="460"/>
      <c r="F1060" s="442"/>
      <c r="G1060" s="442"/>
      <c r="H1060" s="442"/>
      <c r="I1060" s="442"/>
      <c r="J1060" s="442"/>
      <c r="K1060" s="442"/>
      <c r="L1060" s="442"/>
      <c r="M1060" s="442"/>
      <c r="N1060" s="442"/>
      <c r="O1060" s="442"/>
      <c r="P1060" s="442"/>
      <c r="Q1060" s="442"/>
      <c r="R1060" s="442"/>
      <c r="S1060" s="442"/>
      <c r="T1060" s="442"/>
      <c r="U1060" s="442"/>
      <c r="V1060" s="442"/>
      <c r="W1060" s="442"/>
      <c r="X1060" s="442"/>
      <c r="Y1060" s="442"/>
      <c r="Z1060" s="442"/>
    </row>
    <row r="1061" ht="19.5" customHeight="1">
      <c r="A1061" s="442"/>
      <c r="B1061" s="459"/>
      <c r="C1061" s="442"/>
      <c r="D1061" s="442"/>
      <c r="E1061" s="460"/>
      <c r="F1061" s="442"/>
      <c r="G1061" s="442"/>
      <c r="H1061" s="442"/>
      <c r="I1061" s="442"/>
      <c r="J1061" s="442"/>
      <c r="K1061" s="442"/>
      <c r="L1061" s="442"/>
      <c r="M1061" s="442"/>
      <c r="N1061" s="442"/>
      <c r="O1061" s="442"/>
      <c r="P1061" s="442"/>
      <c r="Q1061" s="442"/>
      <c r="R1061" s="442"/>
      <c r="S1061" s="442"/>
      <c r="T1061" s="442"/>
      <c r="U1061" s="442"/>
      <c r="V1061" s="442"/>
      <c r="W1061" s="442"/>
      <c r="X1061" s="442"/>
      <c r="Y1061" s="442"/>
      <c r="Z1061" s="442"/>
    </row>
    <row r="1062" ht="19.5" customHeight="1">
      <c r="A1062" s="442"/>
      <c r="B1062" s="459"/>
      <c r="C1062" s="442"/>
      <c r="D1062" s="442"/>
      <c r="E1062" s="460"/>
      <c r="F1062" s="442"/>
      <c r="G1062" s="442"/>
      <c r="H1062" s="442"/>
      <c r="I1062" s="442"/>
      <c r="J1062" s="442"/>
      <c r="K1062" s="442"/>
      <c r="L1062" s="442"/>
      <c r="M1062" s="442"/>
      <c r="N1062" s="442"/>
      <c r="O1062" s="442"/>
      <c r="P1062" s="442"/>
      <c r="Q1062" s="442"/>
      <c r="R1062" s="442"/>
      <c r="S1062" s="442"/>
      <c r="T1062" s="442"/>
      <c r="U1062" s="442"/>
      <c r="V1062" s="442"/>
      <c r="W1062" s="442"/>
      <c r="X1062" s="442"/>
      <c r="Y1062" s="442"/>
      <c r="Z1062" s="442"/>
    </row>
    <row r="1063" ht="19.5" customHeight="1">
      <c r="A1063" s="442"/>
      <c r="B1063" s="459"/>
      <c r="C1063" s="442"/>
      <c r="D1063" s="442"/>
      <c r="E1063" s="460"/>
      <c r="F1063" s="442"/>
      <c r="G1063" s="442"/>
      <c r="H1063" s="442"/>
      <c r="I1063" s="442"/>
      <c r="J1063" s="442"/>
      <c r="K1063" s="442"/>
      <c r="L1063" s="442"/>
      <c r="M1063" s="442"/>
      <c r="N1063" s="442"/>
      <c r="O1063" s="442"/>
      <c r="P1063" s="442"/>
      <c r="Q1063" s="442"/>
      <c r="R1063" s="442"/>
      <c r="S1063" s="442"/>
      <c r="T1063" s="442"/>
      <c r="U1063" s="442"/>
      <c r="V1063" s="442"/>
      <c r="W1063" s="442"/>
      <c r="X1063" s="442"/>
      <c r="Y1063" s="442"/>
      <c r="Z1063" s="442"/>
    </row>
    <row r="1064" ht="19.5" customHeight="1">
      <c r="A1064" s="442"/>
      <c r="B1064" s="459"/>
      <c r="C1064" s="442"/>
      <c r="D1064" s="442"/>
      <c r="E1064" s="460"/>
      <c r="F1064" s="442"/>
      <c r="G1064" s="442"/>
      <c r="H1064" s="442"/>
      <c r="I1064" s="442"/>
      <c r="J1064" s="442"/>
      <c r="K1064" s="442"/>
      <c r="L1064" s="442"/>
      <c r="M1064" s="442"/>
      <c r="N1064" s="442"/>
      <c r="O1064" s="442"/>
      <c r="P1064" s="442"/>
      <c r="Q1064" s="442"/>
      <c r="R1064" s="442"/>
      <c r="S1064" s="442"/>
      <c r="T1064" s="442"/>
      <c r="U1064" s="442"/>
      <c r="V1064" s="442"/>
      <c r="W1064" s="442"/>
      <c r="X1064" s="442"/>
      <c r="Y1064" s="442"/>
      <c r="Z1064" s="442"/>
    </row>
    <row r="1065" ht="19.5" customHeight="1">
      <c r="A1065" s="442"/>
      <c r="B1065" s="459"/>
      <c r="C1065" s="442"/>
      <c r="D1065" s="442"/>
      <c r="E1065" s="460"/>
      <c r="F1065" s="442"/>
      <c r="G1065" s="442"/>
      <c r="H1065" s="442"/>
      <c r="I1065" s="442"/>
      <c r="J1065" s="442"/>
      <c r="K1065" s="442"/>
      <c r="L1065" s="442"/>
      <c r="M1065" s="442"/>
      <c r="N1065" s="442"/>
      <c r="O1065" s="442"/>
      <c r="P1065" s="442"/>
      <c r="Q1065" s="442"/>
      <c r="R1065" s="442"/>
      <c r="S1065" s="442"/>
      <c r="T1065" s="442"/>
      <c r="U1065" s="442"/>
      <c r="V1065" s="442"/>
      <c r="W1065" s="442"/>
      <c r="X1065" s="442"/>
      <c r="Y1065" s="442"/>
      <c r="Z1065" s="442"/>
    </row>
    <row r="1066" ht="19.5" customHeight="1">
      <c r="A1066" s="442"/>
      <c r="B1066" s="459"/>
      <c r="C1066" s="442"/>
      <c r="D1066" s="442"/>
      <c r="E1066" s="460"/>
      <c r="F1066" s="442"/>
      <c r="G1066" s="442"/>
      <c r="H1066" s="442"/>
      <c r="I1066" s="442"/>
      <c r="J1066" s="442"/>
      <c r="K1066" s="442"/>
      <c r="L1066" s="442"/>
      <c r="M1066" s="442"/>
      <c r="N1066" s="442"/>
      <c r="O1066" s="442"/>
      <c r="P1066" s="442"/>
      <c r="Q1066" s="442"/>
      <c r="R1066" s="442"/>
      <c r="S1066" s="442"/>
      <c r="T1066" s="442"/>
      <c r="U1066" s="442"/>
      <c r="V1066" s="442"/>
      <c r="W1066" s="442"/>
      <c r="X1066" s="442"/>
      <c r="Y1066" s="442"/>
      <c r="Z1066" s="442"/>
    </row>
    <row r="1067" ht="19.5" customHeight="1">
      <c r="A1067" s="442"/>
      <c r="B1067" s="459"/>
      <c r="C1067" s="442"/>
      <c r="D1067" s="442"/>
      <c r="E1067" s="460"/>
      <c r="F1067" s="442"/>
      <c r="G1067" s="442"/>
      <c r="H1067" s="442"/>
      <c r="I1067" s="442"/>
      <c r="J1067" s="442"/>
      <c r="K1067" s="442"/>
      <c r="L1067" s="442"/>
      <c r="M1067" s="442"/>
      <c r="N1067" s="442"/>
      <c r="O1067" s="442"/>
      <c r="P1067" s="442"/>
      <c r="Q1067" s="442"/>
      <c r="R1067" s="442"/>
      <c r="S1067" s="442"/>
      <c r="T1067" s="442"/>
      <c r="U1067" s="442"/>
      <c r="V1067" s="442"/>
      <c r="W1067" s="442"/>
      <c r="X1067" s="442"/>
      <c r="Y1067" s="442"/>
      <c r="Z1067" s="442"/>
    </row>
    <row r="1068" ht="19.5" customHeight="1">
      <c r="A1068" s="442"/>
      <c r="B1068" s="459"/>
      <c r="C1068" s="442"/>
      <c r="D1068" s="442"/>
      <c r="E1068" s="460"/>
      <c r="F1068" s="442"/>
      <c r="G1068" s="442"/>
      <c r="H1068" s="442"/>
      <c r="I1068" s="442"/>
      <c r="J1068" s="442"/>
      <c r="K1068" s="442"/>
      <c r="L1068" s="442"/>
      <c r="M1068" s="442"/>
      <c r="N1068" s="442"/>
      <c r="O1068" s="442"/>
      <c r="P1068" s="442"/>
      <c r="Q1068" s="442"/>
      <c r="R1068" s="442"/>
      <c r="S1068" s="442"/>
      <c r="T1068" s="442"/>
      <c r="U1068" s="442"/>
      <c r="V1068" s="442"/>
      <c r="W1068" s="442"/>
      <c r="X1068" s="442"/>
      <c r="Y1068" s="442"/>
      <c r="Z1068" s="442"/>
    </row>
    <row r="1069" ht="19.5" customHeight="1">
      <c r="A1069" s="442"/>
      <c r="B1069" s="459"/>
      <c r="C1069" s="442"/>
      <c r="D1069" s="442"/>
      <c r="E1069" s="460"/>
      <c r="F1069" s="442"/>
      <c r="G1069" s="442"/>
      <c r="H1069" s="442"/>
      <c r="I1069" s="442"/>
      <c r="J1069" s="442"/>
      <c r="K1069" s="442"/>
      <c r="L1069" s="442"/>
      <c r="M1069" s="442"/>
      <c r="N1069" s="442"/>
      <c r="O1069" s="442"/>
      <c r="P1069" s="442"/>
      <c r="Q1069" s="442"/>
      <c r="R1069" s="442"/>
      <c r="S1069" s="442"/>
      <c r="T1069" s="442"/>
      <c r="U1069" s="442"/>
      <c r="V1069" s="442"/>
      <c r="W1069" s="442"/>
      <c r="X1069" s="442"/>
      <c r="Y1069" s="442"/>
      <c r="Z1069" s="442"/>
    </row>
    <row r="1070" ht="19.5" customHeight="1">
      <c r="A1070" s="442"/>
      <c r="B1070" s="459"/>
      <c r="C1070" s="442"/>
      <c r="D1070" s="442"/>
      <c r="E1070" s="460"/>
      <c r="F1070" s="442"/>
      <c r="G1070" s="442"/>
      <c r="H1070" s="442"/>
      <c r="I1070" s="442"/>
      <c r="J1070" s="442"/>
      <c r="K1070" s="442"/>
      <c r="L1070" s="442"/>
      <c r="M1070" s="442"/>
      <c r="N1070" s="442"/>
      <c r="O1070" s="442"/>
      <c r="P1070" s="442"/>
      <c r="Q1070" s="442"/>
      <c r="R1070" s="442"/>
      <c r="S1070" s="442"/>
      <c r="T1070" s="442"/>
      <c r="U1070" s="442"/>
      <c r="V1070" s="442"/>
      <c r="W1070" s="442"/>
      <c r="X1070" s="442"/>
      <c r="Y1070" s="442"/>
      <c r="Z1070" s="442"/>
    </row>
    <row r="1071" ht="19.5" customHeight="1">
      <c r="A1071" s="442"/>
      <c r="B1071" s="459"/>
      <c r="C1071" s="442"/>
      <c r="D1071" s="442"/>
      <c r="E1071" s="460"/>
      <c r="F1071" s="442"/>
      <c r="G1071" s="442"/>
      <c r="H1071" s="442"/>
      <c r="I1071" s="442"/>
      <c r="J1071" s="442"/>
      <c r="K1071" s="442"/>
      <c r="L1071" s="442"/>
      <c r="M1071" s="442"/>
      <c r="N1071" s="442"/>
      <c r="O1071" s="442"/>
      <c r="P1071" s="442"/>
      <c r="Q1071" s="442"/>
      <c r="R1071" s="442"/>
      <c r="S1071" s="442"/>
      <c r="T1071" s="442"/>
      <c r="U1071" s="442"/>
      <c r="V1071" s="442"/>
      <c r="W1071" s="442"/>
      <c r="X1071" s="442"/>
      <c r="Y1071" s="442"/>
      <c r="Z1071" s="442"/>
    </row>
    <row r="1072" ht="19.5" customHeight="1">
      <c r="A1072" s="442"/>
      <c r="B1072" s="459"/>
      <c r="C1072" s="442"/>
      <c r="D1072" s="442"/>
      <c r="E1072" s="460"/>
      <c r="F1072" s="442"/>
      <c r="G1072" s="442"/>
      <c r="H1072" s="442"/>
      <c r="I1072" s="442"/>
      <c r="J1072" s="442"/>
      <c r="K1072" s="442"/>
      <c r="L1072" s="442"/>
      <c r="M1072" s="442"/>
      <c r="N1072" s="442"/>
      <c r="O1072" s="442"/>
      <c r="P1072" s="442"/>
      <c r="Q1072" s="442"/>
      <c r="R1072" s="442"/>
      <c r="S1072" s="442"/>
      <c r="T1072" s="442"/>
      <c r="U1072" s="442"/>
      <c r="V1072" s="442"/>
      <c r="W1072" s="442"/>
      <c r="X1072" s="442"/>
      <c r="Y1072" s="442"/>
      <c r="Z1072" s="442"/>
    </row>
    <row r="1073" ht="19.5" customHeight="1">
      <c r="A1073" s="442"/>
      <c r="B1073" s="459"/>
      <c r="C1073" s="442"/>
      <c r="D1073" s="442"/>
      <c r="E1073" s="460"/>
      <c r="F1073" s="442"/>
      <c r="G1073" s="442"/>
      <c r="H1073" s="442"/>
      <c r="I1073" s="442"/>
      <c r="J1073" s="442"/>
      <c r="K1073" s="442"/>
      <c r="L1073" s="442"/>
      <c r="M1073" s="442"/>
      <c r="N1073" s="442"/>
      <c r="O1073" s="442"/>
      <c r="P1073" s="442"/>
      <c r="Q1073" s="442"/>
      <c r="R1073" s="442"/>
      <c r="S1073" s="442"/>
      <c r="T1073" s="442"/>
      <c r="U1073" s="442"/>
      <c r="V1073" s="442"/>
      <c r="W1073" s="442"/>
      <c r="X1073" s="442"/>
      <c r="Y1073" s="442"/>
      <c r="Z1073" s="442"/>
    </row>
  </sheetData>
  <autoFilter ref="$A$2:$Z$140"/>
  <mergeCells count="1">
    <mergeCell ref="A1:F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</hyperlinks>
  <drawing r:id="rId1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63"/>
    <col customWidth="1" min="2" max="2" width="17.63"/>
    <col customWidth="1" min="3" max="3" width="54.88"/>
    <col customWidth="1" min="4" max="4" width="11.88"/>
    <col customWidth="1" min="5" max="5" width="52.88"/>
  </cols>
  <sheetData>
    <row r="1" ht="38.25" customHeight="1">
      <c r="A1" s="441" t="s">
        <v>1446</v>
      </c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</row>
    <row r="2" ht="25.5" customHeight="1">
      <c r="A2" s="443" t="s">
        <v>1182</v>
      </c>
      <c r="B2" s="444" t="s">
        <v>1183</v>
      </c>
      <c r="C2" s="443" t="s">
        <v>1447</v>
      </c>
      <c r="D2" s="443" t="s">
        <v>1186</v>
      </c>
      <c r="E2" s="443" t="s">
        <v>1187</v>
      </c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</row>
    <row r="3" ht="19.5" customHeight="1">
      <c r="A3" s="446">
        <v>1.0</v>
      </c>
      <c r="B3" s="447">
        <v>45713.0</v>
      </c>
      <c r="C3" s="448" t="s">
        <v>1448</v>
      </c>
      <c r="D3" s="449" t="s">
        <v>1198</v>
      </c>
      <c r="E3" s="450" t="s">
        <v>1449</v>
      </c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  <c r="Y3" s="451"/>
      <c r="Z3" s="451"/>
    </row>
    <row r="4" ht="19.5" customHeight="1">
      <c r="A4" s="18">
        <f t="shared" ref="A4:A82" si="1">IF(ISBLANK(B4),"",COUNTA($B$3:B4))</f>
        <v>2</v>
      </c>
      <c r="B4" s="447">
        <v>45715.0</v>
      </c>
      <c r="C4" s="448" t="s">
        <v>1448</v>
      </c>
      <c r="D4" s="449" t="s">
        <v>1198</v>
      </c>
      <c r="E4" s="450" t="s">
        <v>1450</v>
      </c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  <c r="S4" s="451"/>
      <c r="T4" s="451"/>
      <c r="U4" s="451"/>
      <c r="V4" s="451"/>
      <c r="W4" s="451"/>
      <c r="X4" s="451"/>
      <c r="Y4" s="451"/>
      <c r="Z4" s="451"/>
    </row>
    <row r="5" ht="19.5" customHeight="1">
      <c r="A5" s="18">
        <f t="shared" si="1"/>
        <v>3</v>
      </c>
      <c r="B5" s="447">
        <v>45716.0</v>
      </c>
      <c r="C5" s="448" t="s">
        <v>1451</v>
      </c>
      <c r="D5" s="449" t="s">
        <v>1189</v>
      </c>
      <c r="E5" s="450" t="s">
        <v>1452</v>
      </c>
      <c r="F5" s="451"/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451"/>
      <c r="Y5" s="451"/>
      <c r="Z5" s="451"/>
    </row>
    <row r="6" ht="19.5" customHeight="1">
      <c r="A6" s="18">
        <f t="shared" si="1"/>
        <v>4</v>
      </c>
      <c r="B6" s="447">
        <v>45718.0</v>
      </c>
      <c r="C6" s="448" t="s">
        <v>1448</v>
      </c>
      <c r="D6" s="449" t="s">
        <v>1198</v>
      </c>
      <c r="E6" s="450" t="s">
        <v>1453</v>
      </c>
      <c r="F6" s="451"/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X6" s="451"/>
      <c r="Y6" s="451"/>
      <c r="Z6" s="451"/>
    </row>
    <row r="7" ht="19.5" customHeight="1">
      <c r="A7" s="18">
        <f t="shared" si="1"/>
        <v>5</v>
      </c>
      <c r="B7" s="447">
        <v>45718.0</v>
      </c>
      <c r="C7" s="448" t="s">
        <v>1454</v>
      </c>
      <c r="D7" s="449" t="s">
        <v>1198</v>
      </c>
      <c r="E7" s="450" t="s">
        <v>1455</v>
      </c>
      <c r="F7" s="451"/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  <c r="V7" s="451"/>
      <c r="W7" s="451"/>
      <c r="X7" s="451"/>
      <c r="Y7" s="451"/>
      <c r="Z7" s="451"/>
    </row>
    <row r="8" ht="19.5" customHeight="1">
      <c r="A8" s="18">
        <f t="shared" si="1"/>
        <v>6</v>
      </c>
      <c r="B8" s="447">
        <v>45723.0</v>
      </c>
      <c r="C8" s="448" t="s">
        <v>1448</v>
      </c>
      <c r="D8" s="449" t="s">
        <v>1198</v>
      </c>
      <c r="E8" s="450" t="s">
        <v>1456</v>
      </c>
      <c r="F8" s="451"/>
      <c r="G8" s="451"/>
      <c r="H8" s="451"/>
      <c r="I8" s="451"/>
      <c r="J8" s="451"/>
      <c r="K8" s="451"/>
      <c r="L8" s="451"/>
      <c r="M8" s="451"/>
      <c r="N8" s="451"/>
      <c r="O8" s="451"/>
      <c r="P8" s="451"/>
      <c r="Q8" s="451"/>
      <c r="R8" s="451"/>
      <c r="S8" s="451"/>
      <c r="T8" s="451"/>
      <c r="U8" s="451"/>
      <c r="V8" s="451"/>
      <c r="W8" s="451"/>
      <c r="X8" s="451"/>
      <c r="Y8" s="451"/>
      <c r="Z8" s="451"/>
    </row>
    <row r="9" ht="19.5" customHeight="1">
      <c r="A9" s="18">
        <f t="shared" si="1"/>
        <v>7</v>
      </c>
      <c r="B9" s="447">
        <v>45729.0</v>
      </c>
      <c r="C9" s="448" t="s">
        <v>1448</v>
      </c>
      <c r="D9" s="449" t="s">
        <v>1198</v>
      </c>
      <c r="E9" s="450" t="s">
        <v>1457</v>
      </c>
      <c r="F9" s="451"/>
      <c r="G9" s="451"/>
      <c r="H9" s="451"/>
      <c r="I9" s="451"/>
      <c r="J9" s="451"/>
      <c r="K9" s="451"/>
      <c r="L9" s="451"/>
      <c r="M9" s="451"/>
      <c r="N9" s="451"/>
      <c r="O9" s="451"/>
      <c r="P9" s="451"/>
      <c r="Q9" s="451"/>
      <c r="R9" s="451"/>
      <c r="S9" s="451"/>
      <c r="T9" s="451"/>
      <c r="U9" s="451"/>
      <c r="V9" s="451"/>
      <c r="W9" s="451"/>
      <c r="X9" s="451"/>
      <c r="Y9" s="451"/>
      <c r="Z9" s="451"/>
    </row>
    <row r="10" ht="19.5" customHeight="1">
      <c r="A10" s="18">
        <f t="shared" si="1"/>
        <v>8</v>
      </c>
      <c r="B10" s="447">
        <v>45733.0</v>
      </c>
      <c r="C10" s="448" t="s">
        <v>1458</v>
      </c>
      <c r="D10" s="449" t="s">
        <v>1189</v>
      </c>
      <c r="E10" s="450" t="s">
        <v>1459</v>
      </c>
      <c r="F10" s="451"/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  <c r="V10" s="451"/>
      <c r="W10" s="451"/>
      <c r="X10" s="451"/>
      <c r="Y10" s="451"/>
      <c r="Z10" s="451"/>
    </row>
    <row r="11" ht="19.5" customHeight="1">
      <c r="A11" s="18">
        <f t="shared" si="1"/>
        <v>9</v>
      </c>
      <c r="B11" s="447">
        <v>45734.0</v>
      </c>
      <c r="C11" s="448" t="s">
        <v>1448</v>
      </c>
      <c r="D11" s="449" t="s">
        <v>1198</v>
      </c>
      <c r="E11" s="450" t="s">
        <v>1460</v>
      </c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</row>
    <row r="12" ht="19.5" customHeight="1">
      <c r="A12" s="18">
        <f t="shared" si="1"/>
        <v>10</v>
      </c>
      <c r="B12" s="447">
        <v>45736.0</v>
      </c>
      <c r="C12" s="448" t="s">
        <v>1448</v>
      </c>
      <c r="D12" s="449" t="s">
        <v>1198</v>
      </c>
      <c r="E12" s="450" t="s">
        <v>1461</v>
      </c>
      <c r="F12" s="451"/>
      <c r="G12" s="451"/>
      <c r="H12" s="451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</row>
    <row r="13" ht="19.5" customHeight="1">
      <c r="A13" s="18">
        <f t="shared" si="1"/>
        <v>11</v>
      </c>
      <c r="B13" s="447">
        <v>45757.0</v>
      </c>
      <c r="C13" s="448" t="s">
        <v>1448</v>
      </c>
      <c r="D13" s="449" t="s">
        <v>1198</v>
      </c>
      <c r="E13" s="450" t="s">
        <v>1462</v>
      </c>
      <c r="F13" s="451"/>
      <c r="G13" s="451"/>
      <c r="H13" s="451"/>
      <c r="I13" s="451"/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1"/>
      <c r="X13" s="451"/>
      <c r="Y13" s="451"/>
      <c r="Z13" s="451"/>
    </row>
    <row r="14" ht="19.5" customHeight="1">
      <c r="A14" s="18">
        <f t="shared" si="1"/>
        <v>12</v>
      </c>
      <c r="B14" s="447">
        <v>45757.0</v>
      </c>
      <c r="C14" s="448" t="s">
        <v>1454</v>
      </c>
      <c r="D14" s="449" t="s">
        <v>1198</v>
      </c>
      <c r="E14" s="450" t="s">
        <v>1463</v>
      </c>
      <c r="F14" s="451"/>
      <c r="G14" s="451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1"/>
      <c r="W14" s="451"/>
      <c r="X14" s="451"/>
      <c r="Y14" s="451"/>
      <c r="Z14" s="451"/>
    </row>
    <row r="15" ht="19.5" customHeight="1">
      <c r="A15" s="18">
        <f t="shared" si="1"/>
        <v>13</v>
      </c>
      <c r="B15" s="447">
        <v>45758.0</v>
      </c>
      <c r="C15" s="448" t="s">
        <v>1464</v>
      </c>
      <c r="D15" s="449" t="s">
        <v>1192</v>
      </c>
      <c r="E15" s="450" t="s">
        <v>1465</v>
      </c>
      <c r="F15" s="451"/>
      <c r="G15" s="451"/>
      <c r="H15" s="451"/>
      <c r="I15" s="451"/>
      <c r="J15" s="451"/>
      <c r="K15" s="451"/>
      <c r="L15" s="451"/>
      <c r="M15" s="451"/>
      <c r="N15" s="451"/>
      <c r="O15" s="451"/>
      <c r="P15" s="451"/>
      <c r="Q15" s="451"/>
      <c r="R15" s="451"/>
      <c r="S15" s="451"/>
      <c r="T15" s="451"/>
      <c r="U15" s="451"/>
      <c r="V15" s="451"/>
      <c r="W15" s="451"/>
      <c r="X15" s="451"/>
      <c r="Y15" s="451"/>
      <c r="Z15" s="451"/>
    </row>
    <row r="16" ht="19.5" customHeight="1">
      <c r="A16" s="18">
        <f t="shared" si="1"/>
        <v>14</v>
      </c>
      <c r="B16" s="447">
        <v>45761.0</v>
      </c>
      <c r="C16" s="448" t="s">
        <v>1466</v>
      </c>
      <c r="D16" s="449" t="s">
        <v>1189</v>
      </c>
      <c r="E16" s="450" t="s">
        <v>1467</v>
      </c>
      <c r="F16" s="451"/>
      <c r="G16" s="451"/>
      <c r="H16" s="451"/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  <c r="Y16" s="451"/>
      <c r="Z16" s="451"/>
    </row>
    <row r="17" ht="19.5" customHeight="1">
      <c r="A17" s="18">
        <f t="shared" si="1"/>
        <v>15</v>
      </c>
      <c r="B17" s="447">
        <v>45761.0</v>
      </c>
      <c r="C17" s="448" t="s">
        <v>1468</v>
      </c>
      <c r="D17" s="449" t="s">
        <v>1198</v>
      </c>
      <c r="E17" s="450" t="s">
        <v>1469</v>
      </c>
      <c r="F17" s="451"/>
      <c r="G17" s="451"/>
      <c r="H17" s="451"/>
      <c r="I17" s="451"/>
      <c r="J17" s="451"/>
      <c r="K17" s="451"/>
      <c r="L17" s="451"/>
      <c r="M17" s="451"/>
      <c r="N17" s="451"/>
      <c r="O17" s="451"/>
      <c r="P17" s="451"/>
      <c r="Q17" s="451"/>
      <c r="R17" s="451"/>
      <c r="S17" s="451"/>
      <c r="T17" s="451"/>
      <c r="U17" s="451"/>
      <c r="V17" s="451"/>
      <c r="W17" s="451"/>
      <c r="X17" s="451"/>
      <c r="Y17" s="451"/>
      <c r="Z17" s="451"/>
    </row>
    <row r="18" ht="19.5" customHeight="1">
      <c r="A18" s="18">
        <f t="shared" si="1"/>
        <v>16</v>
      </c>
      <c r="B18" s="447">
        <v>45770.0</v>
      </c>
      <c r="C18" s="448" t="s">
        <v>1470</v>
      </c>
      <c r="D18" s="449" t="s">
        <v>1189</v>
      </c>
      <c r="E18" s="450" t="s">
        <v>1471</v>
      </c>
      <c r="F18" s="451"/>
      <c r="G18" s="451"/>
      <c r="H18" s="451"/>
      <c r="I18" s="451"/>
      <c r="J18" s="451"/>
      <c r="K18" s="451"/>
      <c r="L18" s="451"/>
      <c r="M18" s="451"/>
      <c r="N18" s="451"/>
      <c r="O18" s="451"/>
      <c r="P18" s="451"/>
      <c r="Q18" s="451"/>
      <c r="R18" s="451"/>
      <c r="S18" s="451"/>
      <c r="T18" s="451"/>
      <c r="U18" s="451"/>
      <c r="V18" s="451"/>
      <c r="W18" s="451"/>
      <c r="X18" s="451"/>
      <c r="Y18" s="451"/>
      <c r="Z18" s="451"/>
    </row>
    <row r="19" ht="19.5" customHeight="1">
      <c r="A19" s="18">
        <f t="shared" si="1"/>
        <v>17</v>
      </c>
      <c r="B19" s="447">
        <v>45770.0</v>
      </c>
      <c r="C19" s="448" t="s">
        <v>1472</v>
      </c>
      <c r="D19" s="449" t="s">
        <v>1189</v>
      </c>
      <c r="E19" s="450" t="s">
        <v>1473</v>
      </c>
      <c r="F19" s="451"/>
      <c r="G19" s="451"/>
      <c r="H19" s="451"/>
      <c r="I19" s="451"/>
      <c r="J19" s="451"/>
      <c r="K19" s="451"/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1"/>
      <c r="X19" s="451"/>
      <c r="Y19" s="451"/>
      <c r="Z19" s="451"/>
    </row>
    <row r="20" ht="19.5" customHeight="1">
      <c r="A20" s="18">
        <f t="shared" si="1"/>
        <v>18</v>
      </c>
      <c r="B20" s="447">
        <v>45770.0</v>
      </c>
      <c r="C20" s="448" t="s">
        <v>1474</v>
      </c>
      <c r="D20" s="449" t="s">
        <v>1189</v>
      </c>
      <c r="E20" s="450" t="s">
        <v>1475</v>
      </c>
      <c r="F20" s="451"/>
      <c r="G20" s="451"/>
      <c r="H20" s="451"/>
      <c r="I20" s="451"/>
      <c r="J20" s="451"/>
      <c r="K20" s="451"/>
      <c r="L20" s="451"/>
      <c r="M20" s="451"/>
      <c r="N20" s="451"/>
      <c r="O20" s="451"/>
      <c r="P20" s="451"/>
      <c r="Q20" s="451"/>
      <c r="R20" s="451"/>
      <c r="S20" s="451"/>
      <c r="T20" s="451"/>
      <c r="U20" s="451"/>
      <c r="V20" s="451"/>
      <c r="W20" s="451"/>
      <c r="X20" s="451"/>
      <c r="Y20" s="451"/>
      <c r="Z20" s="451"/>
    </row>
    <row r="21" ht="19.5" customHeight="1">
      <c r="A21" s="18">
        <f t="shared" si="1"/>
        <v>19</v>
      </c>
      <c r="B21" s="447">
        <v>45770.0</v>
      </c>
      <c r="C21" s="448" t="s">
        <v>1476</v>
      </c>
      <c r="D21" s="449" t="s">
        <v>1189</v>
      </c>
      <c r="E21" s="450" t="s">
        <v>1477</v>
      </c>
      <c r="F21" s="451"/>
      <c r="G21" s="451"/>
      <c r="H21" s="451"/>
      <c r="I21" s="451"/>
      <c r="J21" s="451"/>
      <c r="K21" s="451"/>
      <c r="L21" s="451"/>
      <c r="M21" s="451"/>
      <c r="N21" s="451"/>
      <c r="O21" s="451"/>
      <c r="P21" s="451"/>
      <c r="Q21" s="451"/>
      <c r="R21" s="451"/>
      <c r="S21" s="451"/>
      <c r="T21" s="451"/>
      <c r="U21" s="451"/>
      <c r="V21" s="451"/>
      <c r="W21" s="451"/>
      <c r="X21" s="451"/>
      <c r="Y21" s="451"/>
      <c r="Z21" s="451"/>
    </row>
    <row r="22" ht="19.5" customHeight="1">
      <c r="A22" s="18">
        <f t="shared" si="1"/>
        <v>20</v>
      </c>
      <c r="B22" s="447">
        <v>45773.0</v>
      </c>
      <c r="C22" s="448" t="s">
        <v>1478</v>
      </c>
      <c r="D22" s="449" t="s">
        <v>1192</v>
      </c>
      <c r="E22" s="450" t="s">
        <v>1479</v>
      </c>
      <c r="F22" s="451"/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  <c r="Y22" s="451"/>
      <c r="Z22" s="451"/>
    </row>
    <row r="23" ht="19.5" customHeight="1">
      <c r="A23" s="18">
        <f t="shared" si="1"/>
        <v>21</v>
      </c>
      <c r="B23" s="447">
        <v>45773.0</v>
      </c>
      <c r="C23" s="448" t="s">
        <v>1480</v>
      </c>
      <c r="D23" s="449" t="s">
        <v>1192</v>
      </c>
      <c r="E23" s="450" t="s">
        <v>1481</v>
      </c>
      <c r="F23" s="451"/>
      <c r="G23" s="451"/>
      <c r="H23" s="451"/>
      <c r="I23" s="451"/>
      <c r="J23" s="451"/>
      <c r="K23" s="451"/>
      <c r="L23" s="451"/>
      <c r="M23" s="451"/>
      <c r="N23" s="451"/>
      <c r="O23" s="451"/>
      <c r="P23" s="451"/>
      <c r="Q23" s="451"/>
      <c r="R23" s="451"/>
      <c r="S23" s="451"/>
      <c r="T23" s="451"/>
      <c r="U23" s="451"/>
      <c r="V23" s="451"/>
      <c r="W23" s="451"/>
      <c r="X23" s="451"/>
      <c r="Y23" s="451"/>
      <c r="Z23" s="451"/>
    </row>
    <row r="24" ht="19.5" customHeight="1">
      <c r="A24" s="18">
        <f t="shared" si="1"/>
        <v>22</v>
      </c>
      <c r="B24" s="447">
        <v>45784.0</v>
      </c>
      <c r="C24" s="448" t="s">
        <v>1482</v>
      </c>
      <c r="D24" s="449" t="s">
        <v>1189</v>
      </c>
      <c r="E24" s="450" t="s">
        <v>1483</v>
      </c>
      <c r="F24" s="451"/>
      <c r="G24" s="451"/>
      <c r="H24" s="451"/>
      <c r="I24" s="451"/>
      <c r="J24" s="451"/>
      <c r="K24" s="451"/>
      <c r="L24" s="451"/>
      <c r="M24" s="451"/>
      <c r="N24" s="451"/>
      <c r="O24" s="451"/>
      <c r="P24" s="451"/>
      <c r="Q24" s="451"/>
      <c r="R24" s="451"/>
      <c r="S24" s="451"/>
      <c r="T24" s="451"/>
      <c r="U24" s="451"/>
      <c r="V24" s="451"/>
      <c r="W24" s="451"/>
      <c r="X24" s="451"/>
      <c r="Y24" s="451"/>
      <c r="Z24" s="451"/>
    </row>
    <row r="25" ht="19.5" customHeight="1">
      <c r="A25" s="18">
        <f t="shared" si="1"/>
        <v>23</v>
      </c>
      <c r="B25" s="447">
        <v>45797.0</v>
      </c>
      <c r="C25" s="448" t="s">
        <v>1484</v>
      </c>
      <c r="D25" s="449" t="s">
        <v>1189</v>
      </c>
      <c r="E25" s="450" t="s">
        <v>1485</v>
      </c>
      <c r="F25" s="451"/>
      <c r="G25" s="451"/>
      <c r="H25" s="451"/>
      <c r="I25" s="451"/>
      <c r="J25" s="451"/>
      <c r="K25" s="451"/>
      <c r="L25" s="451"/>
      <c r="M25" s="451"/>
      <c r="N25" s="451"/>
      <c r="O25" s="451"/>
      <c r="P25" s="451"/>
      <c r="Q25" s="451"/>
      <c r="R25" s="451"/>
      <c r="S25" s="451"/>
      <c r="T25" s="451"/>
      <c r="U25" s="451"/>
      <c r="V25" s="451"/>
      <c r="W25" s="451"/>
      <c r="X25" s="451"/>
      <c r="Y25" s="451"/>
      <c r="Z25" s="451"/>
    </row>
    <row r="26" ht="19.5" customHeight="1">
      <c r="A26" s="18">
        <f t="shared" si="1"/>
        <v>24</v>
      </c>
      <c r="B26" s="447">
        <v>45797.0</v>
      </c>
      <c r="C26" s="448" t="s">
        <v>1486</v>
      </c>
      <c r="D26" s="449" t="s">
        <v>1189</v>
      </c>
      <c r="E26" s="450" t="s">
        <v>1487</v>
      </c>
      <c r="F26" s="451"/>
      <c r="G26" s="451"/>
      <c r="H26" s="451"/>
      <c r="I26" s="451"/>
      <c r="J26" s="451"/>
      <c r="K26" s="451"/>
      <c r="L26" s="451"/>
      <c r="M26" s="451"/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/>
      <c r="Y26" s="451"/>
      <c r="Z26" s="451"/>
    </row>
    <row r="27" ht="19.5" customHeight="1">
      <c r="A27" s="18">
        <f t="shared" si="1"/>
        <v>25</v>
      </c>
      <c r="B27" s="447">
        <v>45798.0</v>
      </c>
      <c r="C27" s="448" t="s">
        <v>1488</v>
      </c>
      <c r="D27" s="449" t="s">
        <v>1192</v>
      </c>
      <c r="E27" s="450" t="s">
        <v>1489</v>
      </c>
      <c r="F27" s="451"/>
      <c r="G27" s="451"/>
      <c r="H27" s="451"/>
      <c r="I27" s="451"/>
      <c r="J27" s="451"/>
      <c r="K27" s="451"/>
      <c r="L27" s="451"/>
      <c r="M27" s="451"/>
      <c r="N27" s="451"/>
      <c r="O27" s="451"/>
      <c r="P27" s="451"/>
      <c r="Q27" s="451"/>
      <c r="R27" s="451"/>
      <c r="S27" s="451"/>
      <c r="T27" s="451"/>
      <c r="U27" s="451"/>
      <c r="V27" s="451"/>
      <c r="W27" s="451"/>
      <c r="X27" s="451"/>
      <c r="Y27" s="451"/>
      <c r="Z27" s="451"/>
    </row>
    <row r="28" ht="19.5" customHeight="1">
      <c r="A28" s="18">
        <f t="shared" si="1"/>
        <v>26</v>
      </c>
      <c r="B28" s="447">
        <v>45799.0</v>
      </c>
      <c r="C28" s="448" t="s">
        <v>1490</v>
      </c>
      <c r="D28" s="449" t="s">
        <v>1198</v>
      </c>
      <c r="E28" s="450" t="s">
        <v>1491</v>
      </c>
      <c r="F28" s="451"/>
      <c r="G28" s="451"/>
      <c r="H28" s="451"/>
      <c r="I28" s="451"/>
      <c r="J28" s="451"/>
      <c r="K28" s="451"/>
      <c r="L28" s="451"/>
      <c r="M28" s="451"/>
      <c r="N28" s="451"/>
      <c r="O28" s="451"/>
      <c r="P28" s="451"/>
      <c r="Q28" s="451"/>
      <c r="R28" s="451"/>
      <c r="S28" s="451"/>
      <c r="T28" s="451"/>
      <c r="U28" s="451"/>
      <c r="V28" s="451"/>
      <c r="W28" s="451"/>
      <c r="X28" s="451"/>
      <c r="Y28" s="451"/>
      <c r="Z28" s="451"/>
    </row>
    <row r="29" ht="19.5" customHeight="1">
      <c r="A29" s="18">
        <f t="shared" si="1"/>
        <v>27</v>
      </c>
      <c r="B29" s="447">
        <v>45800.0</v>
      </c>
      <c r="C29" s="448" t="s">
        <v>1492</v>
      </c>
      <c r="D29" s="449" t="s">
        <v>1189</v>
      </c>
      <c r="E29" s="450" t="s">
        <v>1493</v>
      </c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51"/>
    </row>
    <row r="30" ht="19.5" customHeight="1">
      <c r="A30" s="18">
        <f t="shared" si="1"/>
        <v>28</v>
      </c>
      <c r="B30" s="447">
        <v>45800.0</v>
      </c>
      <c r="C30" s="448" t="s">
        <v>1486</v>
      </c>
      <c r="D30" s="449" t="s">
        <v>1189</v>
      </c>
      <c r="E30" s="450" t="s">
        <v>1494</v>
      </c>
      <c r="F30" s="451"/>
      <c r="G30" s="451"/>
      <c r="H30" s="451"/>
      <c r="I30" s="451"/>
      <c r="J30" s="451"/>
      <c r="K30" s="451"/>
      <c r="L30" s="451"/>
      <c r="M30" s="451"/>
      <c r="N30" s="451"/>
      <c r="O30" s="451"/>
      <c r="P30" s="451"/>
      <c r="Q30" s="451"/>
      <c r="R30" s="451"/>
      <c r="S30" s="451"/>
      <c r="T30" s="451"/>
      <c r="U30" s="451"/>
      <c r="V30" s="451"/>
      <c r="W30" s="451"/>
      <c r="X30" s="451"/>
      <c r="Y30" s="451"/>
      <c r="Z30" s="451"/>
    </row>
    <row r="31" ht="19.5" customHeight="1">
      <c r="A31" s="18">
        <f t="shared" si="1"/>
        <v>29</v>
      </c>
      <c r="B31" s="447">
        <v>45817.0</v>
      </c>
      <c r="C31" s="448" t="s">
        <v>1495</v>
      </c>
      <c r="D31" s="449" t="s">
        <v>1198</v>
      </c>
      <c r="E31" s="450" t="s">
        <v>1496</v>
      </c>
      <c r="F31" s="451"/>
      <c r="G31" s="451"/>
      <c r="H31" s="451"/>
      <c r="I31" s="451"/>
      <c r="J31" s="451"/>
      <c r="K31" s="451"/>
      <c r="L31" s="451"/>
      <c r="M31" s="451"/>
      <c r="N31" s="451"/>
      <c r="O31" s="451"/>
      <c r="P31" s="451"/>
      <c r="Q31" s="451"/>
      <c r="R31" s="451"/>
      <c r="S31" s="451"/>
      <c r="T31" s="451"/>
      <c r="U31" s="451"/>
      <c r="V31" s="451"/>
      <c r="W31" s="451"/>
      <c r="X31" s="451"/>
      <c r="Y31" s="451"/>
      <c r="Z31" s="451"/>
    </row>
    <row r="32" ht="19.5" customHeight="1">
      <c r="A32" s="18">
        <f t="shared" si="1"/>
        <v>30</v>
      </c>
      <c r="B32" s="447">
        <v>45822.0</v>
      </c>
      <c r="C32" s="448" t="s">
        <v>1497</v>
      </c>
      <c r="D32" s="449" t="s">
        <v>1189</v>
      </c>
      <c r="E32" s="461"/>
      <c r="F32" s="451"/>
      <c r="G32" s="451"/>
      <c r="H32" s="451"/>
      <c r="I32" s="451"/>
      <c r="J32" s="451"/>
      <c r="K32" s="451"/>
      <c r="L32" s="451"/>
      <c r="M32" s="451"/>
      <c r="N32" s="451"/>
      <c r="O32" s="451"/>
      <c r="P32" s="451"/>
      <c r="Q32" s="451"/>
      <c r="R32" s="451"/>
      <c r="S32" s="451"/>
      <c r="T32" s="451"/>
      <c r="U32" s="451"/>
      <c r="V32" s="451"/>
      <c r="W32" s="451"/>
      <c r="X32" s="451"/>
      <c r="Y32" s="451"/>
      <c r="Z32" s="451"/>
    </row>
    <row r="33" ht="19.5" customHeight="1">
      <c r="A33" s="18">
        <f t="shared" si="1"/>
        <v>31</v>
      </c>
      <c r="B33" s="447">
        <v>45826.0</v>
      </c>
      <c r="C33" s="448" t="s">
        <v>1498</v>
      </c>
      <c r="D33" s="449" t="s">
        <v>1192</v>
      </c>
      <c r="E33" s="450" t="s">
        <v>1499</v>
      </c>
      <c r="F33" s="451"/>
      <c r="G33" s="451"/>
      <c r="H33" s="451"/>
      <c r="I33" s="451"/>
      <c r="J33" s="451"/>
      <c r="K33" s="451"/>
      <c r="L33" s="451"/>
      <c r="M33" s="451"/>
      <c r="N33" s="451"/>
      <c r="O33" s="451"/>
      <c r="P33" s="451"/>
      <c r="Q33" s="451"/>
      <c r="R33" s="451"/>
      <c r="S33" s="451"/>
      <c r="T33" s="451"/>
      <c r="U33" s="451"/>
      <c r="V33" s="451"/>
      <c r="W33" s="451"/>
      <c r="X33" s="451"/>
      <c r="Y33" s="451"/>
      <c r="Z33" s="451"/>
    </row>
    <row r="34" ht="19.5" customHeight="1">
      <c r="A34" s="18">
        <f t="shared" si="1"/>
        <v>32</v>
      </c>
      <c r="B34" s="447">
        <v>46967.0</v>
      </c>
      <c r="C34" s="448" t="s">
        <v>1500</v>
      </c>
      <c r="D34" s="449" t="s">
        <v>1192</v>
      </c>
      <c r="E34" s="450" t="s">
        <v>1501</v>
      </c>
      <c r="F34" s="451"/>
      <c r="G34" s="451"/>
      <c r="H34" s="451"/>
      <c r="I34" s="451"/>
      <c r="J34" s="451"/>
      <c r="K34" s="451"/>
      <c r="L34" s="451"/>
      <c r="M34" s="451"/>
      <c r="N34" s="451"/>
      <c r="O34" s="451"/>
      <c r="P34" s="451"/>
      <c r="Q34" s="451"/>
      <c r="R34" s="451"/>
      <c r="S34" s="451"/>
      <c r="T34" s="451"/>
      <c r="U34" s="451"/>
      <c r="V34" s="451"/>
      <c r="W34" s="451"/>
      <c r="X34" s="451"/>
      <c r="Y34" s="451"/>
      <c r="Z34" s="451"/>
    </row>
    <row r="35" ht="19.5" customHeight="1">
      <c r="A35" s="18">
        <f t="shared" si="1"/>
        <v>33</v>
      </c>
      <c r="B35" s="447">
        <v>46969.0</v>
      </c>
      <c r="C35" s="448" t="s">
        <v>1502</v>
      </c>
      <c r="D35" s="449" t="s">
        <v>1503</v>
      </c>
      <c r="E35" s="450" t="s">
        <v>1504</v>
      </c>
      <c r="F35" s="451"/>
      <c r="G35" s="451"/>
      <c r="H35" s="451"/>
      <c r="I35" s="451"/>
      <c r="J35" s="451"/>
      <c r="K35" s="451"/>
      <c r="L35" s="451"/>
      <c r="M35" s="451"/>
      <c r="N35" s="451"/>
      <c r="O35" s="451"/>
      <c r="P35" s="451"/>
      <c r="Q35" s="451"/>
      <c r="R35" s="451"/>
      <c r="S35" s="451"/>
      <c r="T35" s="451"/>
      <c r="U35" s="451"/>
      <c r="V35" s="451"/>
      <c r="W35" s="451"/>
      <c r="X35" s="451"/>
      <c r="Y35" s="451"/>
      <c r="Z35" s="451"/>
    </row>
    <row r="36" ht="19.5" customHeight="1">
      <c r="A36" s="18" t="str">
        <f t="shared" si="1"/>
        <v/>
      </c>
      <c r="B36" s="447"/>
      <c r="C36" s="448"/>
      <c r="D36" s="449"/>
      <c r="E36" s="461"/>
      <c r="F36" s="451"/>
      <c r="G36" s="451"/>
      <c r="H36" s="451"/>
      <c r="I36" s="451"/>
      <c r="J36" s="451"/>
      <c r="K36" s="451"/>
      <c r="L36" s="451"/>
      <c r="M36" s="451"/>
      <c r="N36" s="451"/>
      <c r="O36" s="451"/>
      <c r="P36" s="451"/>
      <c r="Q36" s="451"/>
      <c r="R36" s="451"/>
      <c r="S36" s="451"/>
      <c r="T36" s="451"/>
      <c r="U36" s="451"/>
      <c r="V36" s="451"/>
      <c r="W36" s="451"/>
      <c r="X36" s="451"/>
      <c r="Y36" s="451"/>
      <c r="Z36" s="451"/>
    </row>
    <row r="37" ht="19.5" customHeight="1">
      <c r="A37" s="18" t="str">
        <f t="shared" si="1"/>
        <v/>
      </c>
      <c r="B37" s="447"/>
      <c r="C37" s="448"/>
      <c r="D37" s="449"/>
      <c r="E37" s="461"/>
      <c r="F37" s="451"/>
      <c r="G37" s="451"/>
      <c r="H37" s="451"/>
      <c r="I37" s="451"/>
      <c r="J37" s="451"/>
      <c r="K37" s="451"/>
      <c r="L37" s="451"/>
      <c r="M37" s="451"/>
      <c r="N37" s="451"/>
      <c r="O37" s="451"/>
      <c r="P37" s="451"/>
      <c r="Q37" s="451"/>
      <c r="R37" s="451"/>
      <c r="S37" s="451"/>
      <c r="T37" s="451"/>
      <c r="U37" s="451"/>
      <c r="V37" s="451"/>
      <c r="W37" s="451"/>
      <c r="X37" s="451"/>
      <c r="Y37" s="451"/>
      <c r="Z37" s="451"/>
    </row>
    <row r="38" ht="19.5" customHeight="1">
      <c r="A38" s="18" t="str">
        <f t="shared" si="1"/>
        <v/>
      </c>
      <c r="B38" s="447"/>
      <c r="C38" s="448"/>
      <c r="D38" s="449"/>
      <c r="E38" s="448"/>
      <c r="F38" s="451"/>
      <c r="G38" s="451"/>
      <c r="H38" s="451"/>
      <c r="I38" s="451"/>
      <c r="J38" s="451"/>
      <c r="K38" s="451"/>
      <c r="L38" s="451"/>
      <c r="M38" s="451"/>
      <c r="N38" s="451"/>
      <c r="O38" s="451"/>
      <c r="P38" s="451"/>
      <c r="Q38" s="451"/>
      <c r="R38" s="451"/>
      <c r="S38" s="451"/>
      <c r="T38" s="451"/>
      <c r="U38" s="451"/>
      <c r="V38" s="451"/>
      <c r="W38" s="451"/>
      <c r="X38" s="451"/>
      <c r="Y38" s="451"/>
      <c r="Z38" s="451"/>
    </row>
    <row r="39" ht="19.5" customHeight="1">
      <c r="A39" s="18" t="str">
        <f t="shared" si="1"/>
        <v/>
      </c>
      <c r="B39" s="447"/>
      <c r="C39" s="448"/>
      <c r="D39" s="449"/>
      <c r="E39" s="448"/>
      <c r="F39" s="451"/>
      <c r="G39" s="451"/>
      <c r="H39" s="451"/>
      <c r="I39" s="451"/>
      <c r="J39" s="451"/>
      <c r="K39" s="451"/>
      <c r="L39" s="451"/>
      <c r="M39" s="451"/>
      <c r="N39" s="451"/>
      <c r="O39" s="451"/>
      <c r="P39" s="451"/>
      <c r="Q39" s="451"/>
      <c r="R39" s="451"/>
      <c r="S39" s="451"/>
      <c r="T39" s="451"/>
      <c r="U39" s="451"/>
      <c r="V39" s="451"/>
      <c r="W39" s="451"/>
      <c r="X39" s="451"/>
      <c r="Y39" s="451"/>
      <c r="Z39" s="451"/>
    </row>
    <row r="40" ht="19.5" customHeight="1">
      <c r="A40" s="18" t="str">
        <f t="shared" si="1"/>
        <v/>
      </c>
      <c r="B40" s="447"/>
      <c r="C40" s="448"/>
      <c r="D40" s="449"/>
      <c r="E40" s="448"/>
      <c r="F40" s="451"/>
      <c r="G40" s="451"/>
      <c r="H40" s="451"/>
      <c r="I40" s="451"/>
      <c r="J40" s="451"/>
      <c r="K40" s="451"/>
      <c r="L40" s="451"/>
      <c r="M40" s="451"/>
      <c r="N40" s="451"/>
      <c r="O40" s="451"/>
      <c r="P40" s="451"/>
      <c r="Q40" s="451"/>
      <c r="R40" s="451"/>
      <c r="S40" s="451"/>
      <c r="T40" s="451"/>
      <c r="U40" s="451"/>
      <c r="V40" s="451"/>
      <c r="W40" s="451"/>
      <c r="X40" s="451"/>
      <c r="Y40" s="451"/>
      <c r="Z40" s="451"/>
    </row>
    <row r="41" ht="19.5" customHeight="1">
      <c r="A41" s="18" t="str">
        <f t="shared" si="1"/>
        <v/>
      </c>
      <c r="B41" s="447"/>
      <c r="C41" s="448"/>
      <c r="D41" s="449"/>
      <c r="E41" s="448"/>
      <c r="F41" s="451"/>
      <c r="G41" s="451"/>
      <c r="H41" s="451"/>
      <c r="I41" s="451"/>
      <c r="J41" s="451"/>
      <c r="K41" s="451"/>
      <c r="L41" s="451"/>
      <c r="M41" s="451"/>
      <c r="N41" s="451"/>
      <c r="O41" s="451"/>
      <c r="P41" s="451"/>
      <c r="Q41" s="451"/>
      <c r="R41" s="451"/>
      <c r="S41" s="451"/>
      <c r="T41" s="451"/>
      <c r="U41" s="451"/>
      <c r="V41" s="451"/>
      <c r="W41" s="451"/>
      <c r="X41" s="451"/>
      <c r="Y41" s="451"/>
      <c r="Z41" s="451"/>
    </row>
    <row r="42" ht="19.5" customHeight="1">
      <c r="A42" s="18" t="str">
        <f t="shared" si="1"/>
        <v/>
      </c>
      <c r="B42" s="447"/>
      <c r="C42" s="448"/>
      <c r="D42" s="449"/>
      <c r="E42" s="448"/>
      <c r="F42" s="451"/>
      <c r="G42" s="451"/>
      <c r="H42" s="451"/>
      <c r="I42" s="451"/>
      <c r="J42" s="451"/>
      <c r="K42" s="451"/>
      <c r="L42" s="451"/>
      <c r="M42" s="451"/>
      <c r="N42" s="451"/>
      <c r="O42" s="451"/>
      <c r="P42" s="451"/>
      <c r="Q42" s="451"/>
      <c r="R42" s="451"/>
      <c r="S42" s="451"/>
      <c r="T42" s="451"/>
      <c r="U42" s="451"/>
      <c r="V42" s="451"/>
      <c r="W42" s="451"/>
      <c r="X42" s="451"/>
      <c r="Y42" s="451"/>
      <c r="Z42" s="451"/>
    </row>
    <row r="43" ht="19.5" customHeight="1">
      <c r="A43" s="18" t="str">
        <f t="shared" si="1"/>
        <v/>
      </c>
      <c r="B43" s="447"/>
      <c r="C43" s="448"/>
      <c r="D43" s="449"/>
      <c r="E43" s="448"/>
      <c r="F43" s="451"/>
      <c r="G43" s="451"/>
      <c r="H43" s="451"/>
      <c r="I43" s="451"/>
      <c r="J43" s="451"/>
      <c r="K43" s="451"/>
      <c r="L43" s="451"/>
      <c r="M43" s="451"/>
      <c r="N43" s="451"/>
      <c r="O43" s="451"/>
      <c r="P43" s="451"/>
      <c r="Q43" s="451"/>
      <c r="R43" s="451"/>
      <c r="S43" s="451"/>
      <c r="T43" s="451"/>
      <c r="U43" s="451"/>
      <c r="V43" s="451"/>
      <c r="W43" s="451"/>
      <c r="X43" s="451"/>
      <c r="Y43" s="451"/>
      <c r="Z43" s="451"/>
    </row>
    <row r="44" ht="19.5" customHeight="1">
      <c r="A44" s="18" t="str">
        <f t="shared" si="1"/>
        <v/>
      </c>
      <c r="B44" s="447"/>
      <c r="C44" s="448"/>
      <c r="D44" s="449"/>
      <c r="E44" s="448"/>
      <c r="F44" s="451"/>
      <c r="G44" s="451"/>
      <c r="H44" s="451"/>
      <c r="I44" s="451"/>
      <c r="J44" s="451"/>
      <c r="K44" s="451"/>
      <c r="L44" s="451"/>
      <c r="M44" s="451"/>
      <c r="N44" s="451"/>
      <c r="O44" s="451"/>
      <c r="P44" s="451"/>
      <c r="Q44" s="451"/>
      <c r="R44" s="451"/>
      <c r="S44" s="451"/>
      <c r="T44" s="451"/>
      <c r="U44" s="451"/>
      <c r="V44" s="451"/>
      <c r="W44" s="451"/>
      <c r="X44" s="451"/>
      <c r="Y44" s="451"/>
      <c r="Z44" s="451"/>
    </row>
    <row r="45" ht="19.5" customHeight="1">
      <c r="A45" s="18" t="str">
        <f t="shared" si="1"/>
        <v/>
      </c>
      <c r="B45" s="447"/>
      <c r="C45" s="448"/>
      <c r="D45" s="449"/>
      <c r="E45" s="448"/>
      <c r="F45" s="451"/>
      <c r="G45" s="451"/>
      <c r="H45" s="451"/>
      <c r="I45" s="451"/>
      <c r="J45" s="451"/>
      <c r="K45" s="451"/>
      <c r="L45" s="451"/>
      <c r="M45" s="451"/>
      <c r="N45" s="451"/>
      <c r="O45" s="451"/>
      <c r="P45" s="451"/>
      <c r="Q45" s="451"/>
      <c r="R45" s="451"/>
      <c r="S45" s="451"/>
      <c r="T45" s="451"/>
      <c r="U45" s="451"/>
      <c r="V45" s="451"/>
      <c r="W45" s="451"/>
      <c r="X45" s="451"/>
      <c r="Y45" s="451"/>
      <c r="Z45" s="451"/>
    </row>
    <row r="46" ht="19.5" customHeight="1">
      <c r="A46" s="18" t="str">
        <f t="shared" si="1"/>
        <v/>
      </c>
      <c r="B46" s="447"/>
      <c r="C46" s="448"/>
      <c r="D46" s="449"/>
      <c r="E46" s="448"/>
      <c r="F46" s="451"/>
      <c r="G46" s="451"/>
      <c r="H46" s="451"/>
      <c r="I46" s="451"/>
      <c r="J46" s="451"/>
      <c r="K46" s="451"/>
      <c r="L46" s="451"/>
      <c r="M46" s="451"/>
      <c r="N46" s="451"/>
      <c r="O46" s="451"/>
      <c r="P46" s="451"/>
      <c r="Q46" s="451"/>
      <c r="R46" s="451"/>
      <c r="S46" s="451"/>
      <c r="T46" s="451"/>
      <c r="U46" s="451"/>
      <c r="V46" s="451"/>
      <c r="W46" s="451"/>
      <c r="X46" s="451"/>
      <c r="Y46" s="451"/>
      <c r="Z46" s="451"/>
    </row>
    <row r="47" ht="19.5" customHeight="1">
      <c r="A47" s="18" t="str">
        <f t="shared" si="1"/>
        <v/>
      </c>
      <c r="B47" s="447"/>
      <c r="C47" s="448"/>
      <c r="D47" s="449"/>
      <c r="E47" s="448"/>
      <c r="F47" s="451"/>
      <c r="G47" s="451"/>
      <c r="H47" s="451"/>
      <c r="I47" s="451"/>
      <c r="J47" s="451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1"/>
      <c r="Z47" s="451"/>
    </row>
    <row r="48" ht="19.5" customHeight="1">
      <c r="A48" s="18" t="str">
        <f t="shared" si="1"/>
        <v/>
      </c>
      <c r="B48" s="447"/>
      <c r="C48" s="448"/>
      <c r="D48" s="449"/>
      <c r="E48" s="448"/>
      <c r="F48" s="451"/>
      <c r="G48" s="451"/>
      <c r="H48" s="451"/>
      <c r="I48" s="451"/>
      <c r="J48" s="451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</row>
    <row r="49" ht="19.5" customHeight="1">
      <c r="A49" s="18" t="str">
        <f t="shared" si="1"/>
        <v/>
      </c>
      <c r="B49" s="447"/>
      <c r="C49" s="448"/>
      <c r="D49" s="449"/>
      <c r="E49" s="448"/>
      <c r="F49" s="451"/>
      <c r="G49" s="451"/>
      <c r="H49" s="451"/>
      <c r="I49" s="451"/>
      <c r="J49" s="451"/>
      <c r="K49" s="451"/>
      <c r="L49" s="451"/>
      <c r="M49" s="451"/>
      <c r="N49" s="451"/>
      <c r="O49" s="451"/>
      <c r="P49" s="451"/>
      <c r="Q49" s="451"/>
      <c r="R49" s="451"/>
      <c r="S49" s="451"/>
      <c r="T49" s="451"/>
      <c r="U49" s="451"/>
      <c r="V49" s="451"/>
      <c r="W49" s="451"/>
      <c r="X49" s="451"/>
      <c r="Y49" s="451"/>
      <c r="Z49" s="451"/>
    </row>
    <row r="50" ht="19.5" customHeight="1">
      <c r="A50" s="18" t="str">
        <f t="shared" si="1"/>
        <v/>
      </c>
      <c r="B50" s="447"/>
      <c r="C50" s="448"/>
      <c r="D50" s="449"/>
      <c r="E50" s="448"/>
      <c r="F50" s="451"/>
      <c r="G50" s="451"/>
      <c r="H50" s="451"/>
      <c r="I50" s="451"/>
      <c r="J50" s="451"/>
      <c r="K50" s="451"/>
      <c r="L50" s="451"/>
      <c r="M50" s="451"/>
      <c r="N50" s="451"/>
      <c r="O50" s="451"/>
      <c r="P50" s="451"/>
      <c r="Q50" s="451"/>
      <c r="R50" s="451"/>
      <c r="S50" s="451"/>
      <c r="T50" s="451"/>
      <c r="U50" s="451"/>
      <c r="V50" s="451"/>
      <c r="W50" s="451"/>
      <c r="X50" s="451"/>
      <c r="Y50" s="451"/>
      <c r="Z50" s="451"/>
    </row>
    <row r="51" ht="19.5" customHeight="1">
      <c r="A51" s="18" t="str">
        <f t="shared" si="1"/>
        <v/>
      </c>
      <c r="B51" s="447"/>
      <c r="C51" s="448"/>
      <c r="D51" s="449"/>
      <c r="E51" s="448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1"/>
      <c r="Z51" s="451"/>
    </row>
    <row r="52" ht="19.5" customHeight="1">
      <c r="A52" s="18" t="str">
        <f t="shared" si="1"/>
        <v/>
      </c>
      <c r="B52" s="447"/>
      <c r="C52" s="448"/>
      <c r="D52" s="449"/>
      <c r="E52" s="448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1"/>
      <c r="R52" s="451"/>
      <c r="S52" s="451"/>
      <c r="T52" s="451"/>
      <c r="U52" s="451"/>
      <c r="V52" s="451"/>
      <c r="W52" s="451"/>
      <c r="X52" s="451"/>
      <c r="Y52" s="451"/>
      <c r="Z52" s="451"/>
    </row>
    <row r="53" ht="19.5" customHeight="1">
      <c r="A53" s="18" t="str">
        <f t="shared" si="1"/>
        <v/>
      </c>
      <c r="B53" s="447"/>
      <c r="C53" s="461"/>
      <c r="D53" s="462"/>
      <c r="E53" s="46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51"/>
      <c r="S53" s="451"/>
      <c r="T53" s="451"/>
      <c r="U53" s="451"/>
      <c r="V53" s="451"/>
      <c r="W53" s="451"/>
      <c r="X53" s="451"/>
      <c r="Y53" s="451"/>
      <c r="Z53" s="451"/>
    </row>
    <row r="54" ht="19.5" customHeight="1">
      <c r="A54" s="18" t="str">
        <f t="shared" si="1"/>
        <v/>
      </c>
      <c r="B54" s="447"/>
      <c r="C54" s="461"/>
      <c r="D54" s="462"/>
      <c r="E54" s="46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1"/>
      <c r="S54" s="451"/>
      <c r="T54" s="451"/>
      <c r="U54" s="451"/>
      <c r="V54" s="451"/>
      <c r="W54" s="451"/>
      <c r="X54" s="451"/>
      <c r="Y54" s="451"/>
      <c r="Z54" s="451"/>
    </row>
    <row r="55" ht="19.5" customHeight="1">
      <c r="A55" s="18" t="str">
        <f t="shared" si="1"/>
        <v/>
      </c>
      <c r="B55" s="447"/>
      <c r="C55" s="461"/>
      <c r="D55" s="462"/>
      <c r="E55" s="46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1"/>
      <c r="S55" s="451"/>
      <c r="T55" s="451"/>
      <c r="U55" s="451"/>
      <c r="V55" s="451"/>
      <c r="W55" s="451"/>
      <c r="X55" s="451"/>
      <c r="Y55" s="451"/>
      <c r="Z55" s="451"/>
    </row>
    <row r="56" ht="19.5" customHeight="1">
      <c r="A56" s="18" t="str">
        <f t="shared" si="1"/>
        <v/>
      </c>
      <c r="B56" s="447"/>
      <c r="C56" s="461"/>
      <c r="D56" s="462"/>
      <c r="E56" s="46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1"/>
      <c r="S56" s="451"/>
      <c r="T56" s="451"/>
      <c r="U56" s="451"/>
      <c r="V56" s="451"/>
      <c r="W56" s="451"/>
      <c r="X56" s="451"/>
      <c r="Y56" s="451"/>
      <c r="Z56" s="451"/>
    </row>
    <row r="57" ht="19.5" customHeight="1">
      <c r="A57" s="18" t="str">
        <f t="shared" si="1"/>
        <v/>
      </c>
      <c r="B57" s="447"/>
      <c r="C57" s="461"/>
      <c r="D57" s="462"/>
      <c r="E57" s="461"/>
      <c r="F57" s="451"/>
      <c r="G57" s="451"/>
      <c r="H57" s="451"/>
      <c r="I57" s="451"/>
      <c r="J57" s="451"/>
      <c r="K57" s="451"/>
      <c r="L57" s="451"/>
      <c r="M57" s="451"/>
      <c r="N57" s="451"/>
      <c r="O57" s="451"/>
      <c r="P57" s="451"/>
      <c r="Q57" s="451"/>
      <c r="R57" s="451"/>
      <c r="S57" s="451"/>
      <c r="T57" s="451"/>
      <c r="U57" s="451"/>
      <c r="V57" s="451"/>
      <c r="W57" s="451"/>
      <c r="X57" s="451"/>
      <c r="Y57" s="451"/>
      <c r="Z57" s="451"/>
    </row>
    <row r="58" ht="19.5" customHeight="1">
      <c r="A58" s="18" t="str">
        <f t="shared" si="1"/>
        <v/>
      </c>
      <c r="B58" s="447"/>
      <c r="C58" s="461"/>
      <c r="D58" s="462"/>
      <c r="E58" s="461"/>
      <c r="F58" s="451"/>
      <c r="G58" s="451"/>
      <c r="H58" s="451"/>
      <c r="I58" s="451"/>
      <c r="J58" s="451"/>
      <c r="K58" s="451"/>
      <c r="L58" s="451"/>
      <c r="M58" s="451"/>
      <c r="N58" s="451"/>
      <c r="O58" s="451"/>
      <c r="P58" s="451"/>
      <c r="Q58" s="451"/>
      <c r="R58" s="451"/>
      <c r="S58" s="451"/>
      <c r="T58" s="451"/>
      <c r="U58" s="451"/>
      <c r="V58" s="451"/>
      <c r="W58" s="451"/>
      <c r="X58" s="451"/>
      <c r="Y58" s="451"/>
      <c r="Z58" s="451"/>
    </row>
    <row r="59" ht="19.5" customHeight="1">
      <c r="A59" s="18" t="str">
        <f t="shared" si="1"/>
        <v/>
      </c>
      <c r="B59" s="447"/>
      <c r="C59" s="461"/>
      <c r="D59" s="462"/>
      <c r="E59" s="461"/>
      <c r="F59" s="451"/>
      <c r="G59" s="451"/>
      <c r="H59" s="451"/>
      <c r="I59" s="451"/>
      <c r="J59" s="451"/>
      <c r="K59" s="451"/>
      <c r="L59" s="451"/>
      <c r="M59" s="451"/>
      <c r="N59" s="451"/>
      <c r="O59" s="451"/>
      <c r="P59" s="451"/>
      <c r="Q59" s="451"/>
      <c r="R59" s="451"/>
      <c r="S59" s="451"/>
      <c r="T59" s="451"/>
      <c r="U59" s="451"/>
      <c r="V59" s="451"/>
      <c r="W59" s="451"/>
      <c r="X59" s="451"/>
      <c r="Y59" s="451"/>
      <c r="Z59" s="451"/>
    </row>
    <row r="60" ht="19.5" customHeight="1">
      <c r="A60" s="18" t="str">
        <f t="shared" si="1"/>
        <v/>
      </c>
      <c r="B60" s="447"/>
      <c r="C60" s="461"/>
      <c r="D60" s="462"/>
      <c r="E60" s="46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  <c r="S60" s="451"/>
      <c r="T60" s="451"/>
      <c r="U60" s="451"/>
      <c r="V60" s="451"/>
      <c r="W60" s="451"/>
      <c r="X60" s="451"/>
      <c r="Y60" s="451"/>
      <c r="Z60" s="451"/>
    </row>
    <row r="61" ht="19.5" customHeight="1">
      <c r="A61" s="18" t="str">
        <f t="shared" si="1"/>
        <v/>
      </c>
      <c r="B61" s="447"/>
      <c r="C61" s="461"/>
      <c r="D61" s="462"/>
      <c r="E61" s="461"/>
      <c r="F61" s="451"/>
      <c r="G61" s="451"/>
      <c r="H61" s="451"/>
      <c r="I61" s="451"/>
      <c r="J61" s="451"/>
      <c r="K61" s="451"/>
      <c r="L61" s="451"/>
      <c r="M61" s="451"/>
      <c r="N61" s="451"/>
      <c r="O61" s="451"/>
      <c r="P61" s="451"/>
      <c r="Q61" s="451"/>
      <c r="R61" s="451"/>
      <c r="S61" s="451"/>
      <c r="T61" s="451"/>
      <c r="U61" s="451"/>
      <c r="V61" s="451"/>
      <c r="W61" s="451"/>
      <c r="X61" s="451"/>
      <c r="Y61" s="451"/>
      <c r="Z61" s="451"/>
    </row>
    <row r="62" ht="19.5" customHeight="1">
      <c r="A62" s="18" t="str">
        <f t="shared" si="1"/>
        <v/>
      </c>
      <c r="B62" s="447"/>
      <c r="C62" s="461"/>
      <c r="D62" s="462"/>
      <c r="E62" s="461"/>
      <c r="F62" s="451"/>
      <c r="G62" s="451"/>
      <c r="H62" s="451"/>
      <c r="I62" s="451"/>
      <c r="J62" s="451"/>
      <c r="K62" s="451"/>
      <c r="L62" s="451"/>
      <c r="M62" s="451"/>
      <c r="N62" s="451"/>
      <c r="O62" s="451"/>
      <c r="P62" s="451"/>
      <c r="Q62" s="451"/>
      <c r="R62" s="451"/>
      <c r="S62" s="451"/>
      <c r="T62" s="451"/>
      <c r="U62" s="451"/>
      <c r="V62" s="451"/>
      <c r="W62" s="451"/>
      <c r="X62" s="451"/>
      <c r="Y62" s="451"/>
      <c r="Z62" s="451"/>
    </row>
    <row r="63" ht="19.5" customHeight="1">
      <c r="A63" s="18" t="str">
        <f t="shared" si="1"/>
        <v/>
      </c>
      <c r="B63" s="447"/>
      <c r="C63" s="461"/>
      <c r="D63" s="462"/>
      <c r="E63" s="461"/>
      <c r="F63" s="451"/>
      <c r="G63" s="451"/>
      <c r="H63" s="451"/>
      <c r="I63" s="451"/>
      <c r="J63" s="451"/>
      <c r="K63" s="451"/>
      <c r="L63" s="451"/>
      <c r="M63" s="451"/>
      <c r="N63" s="451"/>
      <c r="O63" s="451"/>
      <c r="P63" s="451"/>
      <c r="Q63" s="451"/>
      <c r="R63" s="451"/>
      <c r="S63" s="451"/>
      <c r="T63" s="451"/>
      <c r="U63" s="451"/>
      <c r="V63" s="451"/>
      <c r="W63" s="451"/>
      <c r="X63" s="451"/>
      <c r="Y63" s="451"/>
      <c r="Z63" s="451"/>
    </row>
    <row r="64" ht="19.5" customHeight="1">
      <c r="A64" s="18" t="str">
        <f t="shared" si="1"/>
        <v/>
      </c>
      <c r="B64" s="447"/>
      <c r="C64" s="461"/>
      <c r="D64" s="462"/>
      <c r="E64" s="461"/>
      <c r="F64" s="451"/>
      <c r="G64" s="451"/>
      <c r="H64" s="451"/>
      <c r="I64" s="451"/>
      <c r="J64" s="451"/>
      <c r="K64" s="451"/>
      <c r="L64" s="451"/>
      <c r="M64" s="451"/>
      <c r="N64" s="451"/>
      <c r="O64" s="451"/>
      <c r="P64" s="451"/>
      <c r="Q64" s="451"/>
      <c r="R64" s="451"/>
      <c r="S64" s="451"/>
      <c r="T64" s="451"/>
      <c r="U64" s="451"/>
      <c r="V64" s="451"/>
      <c r="W64" s="451"/>
      <c r="X64" s="451"/>
      <c r="Y64" s="451"/>
      <c r="Z64" s="451"/>
    </row>
    <row r="65" ht="19.5" customHeight="1">
      <c r="A65" s="18" t="str">
        <f t="shared" si="1"/>
        <v/>
      </c>
      <c r="B65" s="447"/>
      <c r="C65" s="461"/>
      <c r="D65" s="462"/>
      <c r="E65" s="461"/>
      <c r="F65" s="451"/>
      <c r="G65" s="451"/>
      <c r="H65" s="451"/>
      <c r="I65" s="451"/>
      <c r="J65" s="451"/>
      <c r="K65" s="451"/>
      <c r="L65" s="451"/>
      <c r="M65" s="451"/>
      <c r="N65" s="451"/>
      <c r="O65" s="451"/>
      <c r="P65" s="451"/>
      <c r="Q65" s="451"/>
      <c r="R65" s="451"/>
      <c r="S65" s="451"/>
      <c r="T65" s="451"/>
      <c r="U65" s="451"/>
      <c r="V65" s="451"/>
      <c r="W65" s="451"/>
      <c r="X65" s="451"/>
      <c r="Y65" s="451"/>
      <c r="Z65" s="451"/>
    </row>
    <row r="66" ht="19.5" customHeight="1">
      <c r="A66" s="18" t="str">
        <f t="shared" si="1"/>
        <v/>
      </c>
      <c r="B66" s="447"/>
      <c r="C66" s="461"/>
      <c r="D66" s="462"/>
      <c r="E66" s="46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1"/>
      <c r="Q66" s="451"/>
      <c r="R66" s="451"/>
      <c r="S66" s="451"/>
      <c r="T66" s="451"/>
      <c r="U66" s="451"/>
      <c r="V66" s="451"/>
      <c r="W66" s="451"/>
      <c r="X66" s="451"/>
      <c r="Y66" s="451"/>
      <c r="Z66" s="451"/>
    </row>
    <row r="67" ht="19.5" customHeight="1">
      <c r="A67" s="18" t="str">
        <f t="shared" si="1"/>
        <v/>
      </c>
      <c r="B67" s="447"/>
      <c r="C67" s="461"/>
      <c r="D67" s="462"/>
      <c r="E67" s="461"/>
      <c r="F67" s="451"/>
      <c r="G67" s="451"/>
      <c r="H67" s="451"/>
      <c r="I67" s="451"/>
      <c r="J67" s="451"/>
      <c r="K67" s="451"/>
      <c r="L67" s="451"/>
      <c r="M67" s="451"/>
      <c r="N67" s="451"/>
      <c r="O67" s="451"/>
      <c r="P67" s="451"/>
      <c r="Q67" s="451"/>
      <c r="R67" s="451"/>
      <c r="S67" s="451"/>
      <c r="T67" s="451"/>
      <c r="U67" s="451"/>
      <c r="V67" s="451"/>
      <c r="W67" s="451"/>
      <c r="X67" s="451"/>
      <c r="Y67" s="451"/>
      <c r="Z67" s="451"/>
    </row>
    <row r="68" ht="19.5" customHeight="1">
      <c r="A68" s="18" t="str">
        <f t="shared" si="1"/>
        <v/>
      </c>
      <c r="B68" s="447"/>
      <c r="C68" s="461"/>
      <c r="D68" s="462"/>
      <c r="E68" s="46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1"/>
      <c r="Q68" s="451"/>
      <c r="R68" s="451"/>
      <c r="S68" s="451"/>
      <c r="T68" s="451"/>
      <c r="U68" s="451"/>
      <c r="V68" s="451"/>
      <c r="W68" s="451"/>
      <c r="X68" s="451"/>
      <c r="Y68" s="451"/>
      <c r="Z68" s="451"/>
    </row>
    <row r="69" ht="19.5" customHeight="1">
      <c r="A69" s="18" t="str">
        <f t="shared" si="1"/>
        <v/>
      </c>
      <c r="B69" s="457"/>
      <c r="C69" s="456"/>
      <c r="D69" s="458"/>
      <c r="E69" s="456"/>
      <c r="F69" s="442"/>
      <c r="G69" s="442"/>
      <c r="H69" s="442"/>
      <c r="I69" s="442"/>
      <c r="J69" s="442"/>
      <c r="K69" s="442"/>
      <c r="L69" s="442"/>
      <c r="M69" s="442"/>
      <c r="N69" s="442"/>
      <c r="O69" s="442"/>
      <c r="P69" s="442"/>
      <c r="Q69" s="442"/>
      <c r="R69" s="442"/>
      <c r="S69" s="442"/>
      <c r="T69" s="442"/>
      <c r="U69" s="442"/>
      <c r="V69" s="442"/>
      <c r="W69" s="442"/>
      <c r="X69" s="442"/>
      <c r="Y69" s="442"/>
      <c r="Z69" s="442"/>
    </row>
    <row r="70" ht="19.5" customHeight="1">
      <c r="A70" s="18" t="str">
        <f t="shared" si="1"/>
        <v/>
      </c>
      <c r="B70" s="457"/>
      <c r="C70" s="456"/>
      <c r="D70" s="458"/>
      <c r="E70" s="456"/>
      <c r="F70" s="442"/>
      <c r="G70" s="442"/>
      <c r="H70" s="442"/>
      <c r="I70" s="442"/>
      <c r="J70" s="442"/>
      <c r="K70" s="442"/>
      <c r="L70" s="442"/>
      <c r="M70" s="442"/>
      <c r="N70" s="442"/>
      <c r="O70" s="442"/>
      <c r="P70" s="442"/>
      <c r="Q70" s="442"/>
      <c r="R70" s="442"/>
      <c r="S70" s="442"/>
      <c r="T70" s="442"/>
      <c r="U70" s="442"/>
      <c r="V70" s="442"/>
      <c r="W70" s="442"/>
      <c r="X70" s="442"/>
      <c r="Y70" s="442"/>
      <c r="Z70" s="442"/>
    </row>
    <row r="71" ht="19.5" customHeight="1">
      <c r="A71" s="18" t="str">
        <f t="shared" si="1"/>
        <v/>
      </c>
      <c r="B71" s="457"/>
      <c r="C71" s="456"/>
      <c r="D71" s="458"/>
      <c r="E71" s="456"/>
      <c r="F71" s="442"/>
      <c r="G71" s="442"/>
      <c r="H71" s="442"/>
      <c r="I71" s="442"/>
      <c r="J71" s="442"/>
      <c r="K71" s="442"/>
      <c r="L71" s="442"/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  <c r="X71" s="442"/>
      <c r="Y71" s="442"/>
      <c r="Z71" s="442"/>
    </row>
    <row r="72" ht="19.5" customHeight="1">
      <c r="A72" s="18" t="str">
        <f t="shared" si="1"/>
        <v/>
      </c>
      <c r="B72" s="457"/>
      <c r="C72" s="456"/>
      <c r="D72" s="458"/>
      <c r="E72" s="456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  <c r="Y72" s="442"/>
      <c r="Z72" s="442"/>
    </row>
    <row r="73" ht="19.5" customHeight="1">
      <c r="A73" s="18" t="str">
        <f t="shared" si="1"/>
        <v/>
      </c>
      <c r="B73" s="457"/>
      <c r="C73" s="456"/>
      <c r="D73" s="458"/>
      <c r="E73" s="456"/>
      <c r="F73" s="442"/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  <c r="Y73" s="442"/>
      <c r="Z73" s="442"/>
    </row>
    <row r="74" ht="19.5" customHeight="1">
      <c r="A74" s="18" t="str">
        <f t="shared" si="1"/>
        <v/>
      </c>
      <c r="B74" s="457"/>
      <c r="C74" s="456"/>
      <c r="D74" s="458"/>
      <c r="E74" s="456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</row>
    <row r="75" ht="19.5" customHeight="1">
      <c r="A75" s="18" t="str">
        <f t="shared" si="1"/>
        <v/>
      </c>
      <c r="B75" s="457"/>
      <c r="C75" s="456"/>
      <c r="D75" s="458"/>
      <c r="E75" s="456"/>
      <c r="F75" s="442"/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  <c r="Y75" s="442"/>
      <c r="Z75" s="442"/>
    </row>
    <row r="76" ht="19.5" customHeight="1">
      <c r="A76" s="18" t="str">
        <f t="shared" si="1"/>
        <v/>
      </c>
      <c r="B76" s="457"/>
      <c r="C76" s="456"/>
      <c r="D76" s="458"/>
      <c r="E76" s="456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  <c r="Y76" s="442"/>
      <c r="Z76" s="442"/>
    </row>
    <row r="77" ht="19.5" customHeight="1">
      <c r="A77" s="18" t="str">
        <f t="shared" si="1"/>
        <v/>
      </c>
      <c r="B77" s="457"/>
      <c r="C77" s="456"/>
      <c r="D77" s="458"/>
      <c r="E77" s="456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  <c r="Y77" s="442"/>
      <c r="Z77" s="442"/>
    </row>
    <row r="78" ht="19.5" customHeight="1">
      <c r="A78" s="18" t="str">
        <f t="shared" si="1"/>
        <v/>
      </c>
      <c r="B78" s="457"/>
      <c r="C78" s="456"/>
      <c r="D78" s="458"/>
      <c r="E78" s="456"/>
      <c r="F78" s="442"/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  <c r="Y78" s="442"/>
      <c r="Z78" s="442"/>
    </row>
    <row r="79" ht="19.5" customHeight="1">
      <c r="A79" s="18" t="str">
        <f t="shared" si="1"/>
        <v/>
      </c>
      <c r="B79" s="457"/>
      <c r="C79" s="456"/>
      <c r="D79" s="458"/>
      <c r="E79" s="456"/>
      <c r="F79" s="442"/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  <c r="Y79" s="442"/>
      <c r="Z79" s="442"/>
    </row>
    <row r="80" ht="19.5" customHeight="1">
      <c r="A80" s="18" t="str">
        <f t="shared" si="1"/>
        <v/>
      </c>
      <c r="B80" s="457"/>
      <c r="C80" s="456"/>
      <c r="D80" s="458"/>
      <c r="E80" s="456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</row>
    <row r="81" ht="19.5" customHeight="1">
      <c r="A81" s="18" t="str">
        <f t="shared" si="1"/>
        <v/>
      </c>
      <c r="B81" s="457"/>
      <c r="C81" s="456"/>
      <c r="D81" s="458"/>
      <c r="E81" s="456"/>
      <c r="F81" s="442"/>
      <c r="G81" s="442"/>
      <c r="H81" s="442"/>
      <c r="I81" s="442"/>
      <c r="J81" s="442"/>
      <c r="K81" s="442"/>
      <c r="L81" s="442"/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  <c r="X81" s="442"/>
      <c r="Y81" s="442"/>
      <c r="Z81" s="442"/>
    </row>
    <row r="82" ht="19.5" customHeight="1">
      <c r="A82" s="18" t="str">
        <f t="shared" si="1"/>
        <v/>
      </c>
      <c r="B82" s="457"/>
      <c r="C82" s="456"/>
      <c r="D82" s="458"/>
      <c r="E82" s="456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</row>
    <row r="83" ht="19.5" customHeight="1">
      <c r="A83" s="442"/>
      <c r="B83" s="459"/>
      <c r="C83" s="442"/>
      <c r="D83" s="460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2"/>
    </row>
    <row r="84" ht="19.5" customHeight="1">
      <c r="A84" s="442"/>
      <c r="B84" s="459"/>
      <c r="C84" s="442"/>
      <c r="D84" s="460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  <c r="Y84" s="442"/>
      <c r="Z84" s="442"/>
    </row>
    <row r="85" ht="19.5" customHeight="1">
      <c r="A85" s="442"/>
      <c r="B85" s="459"/>
      <c r="C85" s="442"/>
      <c r="D85" s="460"/>
      <c r="E85" s="442"/>
      <c r="F85" s="442"/>
      <c r="G85" s="442"/>
      <c r="H85" s="442"/>
      <c r="I85" s="442"/>
      <c r="J85" s="442"/>
      <c r="K85" s="442"/>
      <c r="L85" s="442"/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  <c r="X85" s="442"/>
      <c r="Y85" s="442"/>
      <c r="Z85" s="442"/>
    </row>
    <row r="86" ht="19.5" customHeight="1">
      <c r="A86" s="442"/>
      <c r="B86" s="459"/>
      <c r="C86" s="442"/>
      <c r="D86" s="460"/>
      <c r="E86" s="442"/>
      <c r="F86" s="442"/>
      <c r="G86" s="442"/>
      <c r="H86" s="442"/>
      <c r="I86" s="442"/>
      <c r="J86" s="442"/>
      <c r="K86" s="442"/>
      <c r="L86" s="442"/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  <c r="X86" s="442"/>
      <c r="Y86" s="442"/>
      <c r="Z86" s="442"/>
    </row>
    <row r="87" ht="19.5" customHeight="1">
      <c r="A87" s="442"/>
      <c r="B87" s="459"/>
      <c r="C87" s="442"/>
      <c r="D87" s="460"/>
      <c r="E87" s="442"/>
      <c r="F87" s="442"/>
      <c r="G87" s="442"/>
      <c r="H87" s="442"/>
      <c r="I87" s="442"/>
      <c r="J87" s="442"/>
      <c r="K87" s="442"/>
      <c r="L87" s="442"/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  <c r="X87" s="442"/>
      <c r="Y87" s="442"/>
      <c r="Z87" s="442"/>
    </row>
    <row r="88" ht="19.5" customHeight="1">
      <c r="A88" s="442"/>
      <c r="B88" s="459"/>
      <c r="C88" s="442"/>
      <c r="D88" s="460"/>
      <c r="E88" s="442"/>
      <c r="F88" s="442"/>
      <c r="G88" s="442"/>
      <c r="H88" s="442"/>
      <c r="I88" s="442"/>
      <c r="J88" s="442"/>
      <c r="K88" s="442"/>
      <c r="L88" s="442"/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  <c r="X88" s="442"/>
      <c r="Y88" s="442"/>
      <c r="Z88" s="442"/>
    </row>
    <row r="89" ht="19.5" customHeight="1">
      <c r="A89" s="442"/>
      <c r="B89" s="459"/>
      <c r="C89" s="442"/>
      <c r="D89" s="460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  <c r="Y89" s="442"/>
      <c r="Z89" s="442"/>
    </row>
    <row r="90" ht="19.5" customHeight="1">
      <c r="A90" s="442"/>
      <c r="B90" s="459"/>
      <c r="C90" s="442"/>
      <c r="D90" s="460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</row>
    <row r="91" ht="19.5" customHeight="1">
      <c r="A91" s="442"/>
      <c r="B91" s="459"/>
      <c r="C91" s="442"/>
      <c r="D91" s="460"/>
      <c r="E91" s="442"/>
      <c r="F91" s="442"/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2"/>
    </row>
    <row r="92" ht="19.5" customHeight="1">
      <c r="A92" s="442"/>
      <c r="B92" s="459"/>
      <c r="C92" s="442"/>
      <c r="D92" s="460"/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  <c r="Y92" s="442"/>
      <c r="Z92" s="442"/>
    </row>
    <row r="93" ht="19.5" customHeight="1">
      <c r="A93" s="442"/>
      <c r="B93" s="459"/>
      <c r="C93" s="442"/>
      <c r="D93" s="460"/>
      <c r="E93" s="442"/>
      <c r="F93" s="442"/>
      <c r="G93" s="442"/>
      <c r="H93" s="442"/>
      <c r="I93" s="442"/>
      <c r="J93" s="442"/>
      <c r="K93" s="442"/>
      <c r="L93" s="442"/>
      <c r="M93" s="442"/>
      <c r="N93" s="442"/>
      <c r="O93" s="442"/>
      <c r="P93" s="442"/>
      <c r="Q93" s="442"/>
      <c r="R93" s="442"/>
      <c r="S93" s="442"/>
      <c r="T93" s="442"/>
      <c r="U93" s="442"/>
      <c r="V93" s="442"/>
      <c r="W93" s="442"/>
      <c r="X93" s="442"/>
      <c r="Y93" s="442"/>
      <c r="Z93" s="442"/>
    </row>
    <row r="94" ht="19.5" customHeight="1">
      <c r="A94" s="442"/>
      <c r="B94" s="459"/>
      <c r="C94" s="442"/>
      <c r="D94" s="460"/>
      <c r="E94" s="442"/>
      <c r="F94" s="442"/>
      <c r="G94" s="442"/>
      <c r="H94" s="442"/>
      <c r="I94" s="442"/>
      <c r="J94" s="442"/>
      <c r="K94" s="442"/>
      <c r="L94" s="442"/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  <c r="X94" s="442"/>
      <c r="Y94" s="442"/>
      <c r="Z94" s="442"/>
    </row>
    <row r="95" ht="19.5" customHeight="1">
      <c r="A95" s="442"/>
      <c r="B95" s="459"/>
      <c r="C95" s="442"/>
      <c r="D95" s="460"/>
      <c r="E95" s="442"/>
      <c r="F95" s="442"/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  <c r="Y95" s="442"/>
      <c r="Z95" s="442"/>
    </row>
    <row r="96" ht="19.5" customHeight="1">
      <c r="A96" s="442"/>
      <c r="B96" s="459"/>
      <c r="C96" s="442"/>
      <c r="D96" s="460"/>
      <c r="E96" s="442"/>
      <c r="F96" s="442"/>
      <c r="G96" s="442"/>
      <c r="H96" s="442"/>
      <c r="I96" s="442"/>
      <c r="J96" s="442"/>
      <c r="K96" s="442"/>
      <c r="L96" s="442"/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  <c r="X96" s="442"/>
      <c r="Y96" s="442"/>
      <c r="Z96" s="442"/>
    </row>
    <row r="97" ht="19.5" customHeight="1">
      <c r="A97" s="442"/>
      <c r="B97" s="459"/>
      <c r="C97" s="442"/>
      <c r="D97" s="460"/>
      <c r="E97" s="442"/>
      <c r="F97" s="442"/>
      <c r="G97" s="442"/>
      <c r="H97" s="442"/>
      <c r="I97" s="442"/>
      <c r="J97" s="442"/>
      <c r="K97" s="442"/>
      <c r="L97" s="442"/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  <c r="X97" s="442"/>
      <c r="Y97" s="442"/>
      <c r="Z97" s="442"/>
    </row>
    <row r="98" ht="19.5" customHeight="1">
      <c r="A98" s="442"/>
      <c r="B98" s="459"/>
      <c r="C98" s="442"/>
      <c r="D98" s="460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</row>
    <row r="99" ht="19.5" customHeight="1">
      <c r="A99" s="442"/>
      <c r="B99" s="459"/>
      <c r="C99" s="442"/>
      <c r="D99" s="460"/>
      <c r="E99" s="442"/>
      <c r="F99" s="442"/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  <c r="Y99" s="442"/>
      <c r="Z99" s="442"/>
    </row>
    <row r="100" ht="19.5" customHeight="1">
      <c r="A100" s="442"/>
      <c r="B100" s="459"/>
      <c r="C100" s="442"/>
      <c r="D100" s="460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  <c r="Y100" s="442"/>
      <c r="Z100" s="442"/>
    </row>
    <row r="101" ht="19.5" customHeight="1">
      <c r="A101" s="442"/>
      <c r="B101" s="459"/>
      <c r="C101" s="442"/>
      <c r="D101" s="460"/>
      <c r="E101" s="442"/>
      <c r="F101" s="442"/>
      <c r="G101" s="442"/>
      <c r="H101" s="442"/>
      <c r="I101" s="442"/>
      <c r="J101" s="442"/>
      <c r="K101" s="442"/>
      <c r="L101" s="442"/>
      <c r="M101" s="442"/>
      <c r="N101" s="442"/>
      <c r="O101" s="442"/>
      <c r="P101" s="442"/>
      <c r="Q101" s="442"/>
      <c r="R101" s="442"/>
      <c r="S101" s="442"/>
      <c r="T101" s="442"/>
      <c r="U101" s="442"/>
      <c r="V101" s="442"/>
      <c r="W101" s="442"/>
      <c r="X101" s="442"/>
      <c r="Y101" s="442"/>
      <c r="Z101" s="442"/>
    </row>
    <row r="102" ht="19.5" customHeight="1">
      <c r="A102" s="442"/>
      <c r="B102" s="459"/>
      <c r="C102" s="442"/>
      <c r="D102" s="460"/>
      <c r="E102" s="442"/>
      <c r="F102" s="442"/>
      <c r="G102" s="442"/>
      <c r="H102" s="442"/>
      <c r="I102" s="442"/>
      <c r="J102" s="442"/>
      <c r="K102" s="442"/>
      <c r="L102" s="442"/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  <c r="X102" s="442"/>
      <c r="Y102" s="442"/>
      <c r="Z102" s="442"/>
    </row>
    <row r="103" ht="19.5" customHeight="1">
      <c r="A103" s="442"/>
      <c r="B103" s="459"/>
      <c r="C103" s="442"/>
      <c r="D103" s="460"/>
      <c r="E103" s="442"/>
      <c r="F103" s="442"/>
      <c r="G103" s="442"/>
      <c r="H103" s="442"/>
      <c r="I103" s="442"/>
      <c r="J103" s="442"/>
      <c r="K103" s="442"/>
      <c r="L103" s="442"/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  <c r="X103" s="442"/>
      <c r="Y103" s="442"/>
      <c r="Z103" s="442"/>
    </row>
    <row r="104" ht="19.5" customHeight="1">
      <c r="A104" s="442"/>
      <c r="B104" s="459"/>
      <c r="C104" s="442"/>
      <c r="D104" s="460"/>
      <c r="E104" s="442"/>
      <c r="F104" s="442"/>
      <c r="G104" s="442"/>
      <c r="H104" s="442"/>
      <c r="I104" s="442"/>
      <c r="J104" s="442"/>
      <c r="K104" s="442"/>
      <c r="L104" s="442"/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  <c r="X104" s="442"/>
      <c r="Y104" s="442"/>
      <c r="Z104" s="442"/>
    </row>
    <row r="105" ht="19.5" customHeight="1">
      <c r="A105" s="442"/>
      <c r="B105" s="459"/>
      <c r="C105" s="442"/>
      <c r="D105" s="460"/>
      <c r="E105" s="442"/>
      <c r="F105" s="442"/>
      <c r="G105" s="442"/>
      <c r="H105" s="442"/>
      <c r="I105" s="442"/>
      <c r="J105" s="442"/>
      <c r="K105" s="442"/>
      <c r="L105" s="442"/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  <c r="X105" s="442"/>
      <c r="Y105" s="442"/>
      <c r="Z105" s="442"/>
    </row>
    <row r="106" ht="19.5" customHeight="1">
      <c r="A106" s="442"/>
      <c r="B106" s="459"/>
      <c r="C106" s="442"/>
      <c r="D106" s="460"/>
      <c r="E106" s="442"/>
      <c r="F106" s="442"/>
      <c r="G106" s="442"/>
      <c r="H106" s="442"/>
      <c r="I106" s="442"/>
      <c r="J106" s="442"/>
      <c r="K106" s="442"/>
      <c r="L106" s="442"/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  <c r="X106" s="442"/>
      <c r="Y106" s="442"/>
      <c r="Z106" s="442"/>
    </row>
    <row r="107" ht="19.5" customHeight="1">
      <c r="A107" s="442"/>
      <c r="B107" s="459"/>
      <c r="C107" s="442"/>
      <c r="D107" s="460"/>
      <c r="E107" s="442"/>
      <c r="F107" s="442"/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  <c r="Y107" s="442"/>
      <c r="Z107" s="442"/>
    </row>
    <row r="108" ht="19.5" customHeight="1">
      <c r="A108" s="442"/>
      <c r="B108" s="459"/>
      <c r="C108" s="442"/>
      <c r="D108" s="460"/>
      <c r="E108" s="442"/>
      <c r="F108" s="442"/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  <c r="Y108" s="442"/>
      <c r="Z108" s="442"/>
    </row>
    <row r="109" ht="19.5" customHeight="1">
      <c r="A109" s="442"/>
      <c r="B109" s="459"/>
      <c r="C109" s="442"/>
      <c r="D109" s="460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  <c r="Y109" s="442"/>
      <c r="Z109" s="442"/>
    </row>
    <row r="110" ht="19.5" customHeight="1">
      <c r="A110" s="442"/>
      <c r="B110" s="459"/>
      <c r="C110" s="442"/>
      <c r="D110" s="460"/>
      <c r="E110" s="442"/>
      <c r="F110" s="442"/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  <c r="X110" s="442"/>
      <c r="Y110" s="442"/>
      <c r="Z110" s="442"/>
    </row>
    <row r="111" ht="19.5" customHeight="1">
      <c r="A111" s="442"/>
      <c r="B111" s="459"/>
      <c r="C111" s="442"/>
      <c r="D111" s="460"/>
      <c r="E111" s="442"/>
      <c r="F111" s="442"/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  <c r="X111" s="442"/>
      <c r="Y111" s="442"/>
      <c r="Z111" s="442"/>
    </row>
    <row r="112" ht="19.5" customHeight="1">
      <c r="A112" s="442"/>
      <c r="B112" s="459"/>
      <c r="C112" s="442"/>
      <c r="D112" s="460"/>
      <c r="E112" s="442"/>
      <c r="F112" s="442"/>
      <c r="G112" s="442"/>
      <c r="H112" s="442"/>
      <c r="I112" s="442"/>
      <c r="J112" s="442"/>
      <c r="K112" s="442"/>
      <c r="L112" s="442"/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  <c r="X112" s="442"/>
      <c r="Y112" s="442"/>
      <c r="Z112" s="442"/>
    </row>
    <row r="113" ht="19.5" customHeight="1">
      <c r="A113" s="442"/>
      <c r="B113" s="459"/>
      <c r="C113" s="442"/>
      <c r="D113" s="460"/>
      <c r="E113" s="442"/>
      <c r="F113" s="442"/>
      <c r="G113" s="442"/>
      <c r="H113" s="442"/>
      <c r="I113" s="442"/>
      <c r="J113" s="442"/>
      <c r="K113" s="442"/>
      <c r="L113" s="442"/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  <c r="X113" s="442"/>
      <c r="Y113" s="442"/>
      <c r="Z113" s="442"/>
    </row>
    <row r="114" ht="19.5" customHeight="1">
      <c r="A114" s="442"/>
      <c r="B114" s="459"/>
      <c r="C114" s="442"/>
      <c r="D114" s="460"/>
      <c r="E114" s="442"/>
      <c r="F114" s="442"/>
      <c r="G114" s="442"/>
      <c r="H114" s="442"/>
      <c r="I114" s="442"/>
      <c r="J114" s="442"/>
      <c r="K114" s="442"/>
      <c r="L114" s="442"/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  <c r="X114" s="442"/>
      <c r="Y114" s="442"/>
      <c r="Z114" s="442"/>
    </row>
    <row r="115" ht="19.5" customHeight="1">
      <c r="A115" s="442"/>
      <c r="B115" s="459"/>
      <c r="C115" s="442"/>
      <c r="D115" s="460"/>
      <c r="E115" s="442"/>
      <c r="F115" s="442"/>
      <c r="G115" s="442"/>
      <c r="H115" s="442"/>
      <c r="I115" s="442"/>
      <c r="J115" s="442"/>
      <c r="K115" s="442"/>
      <c r="L115" s="442"/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  <c r="X115" s="442"/>
      <c r="Y115" s="442"/>
      <c r="Z115" s="442"/>
    </row>
    <row r="116" ht="19.5" customHeight="1">
      <c r="A116" s="442"/>
      <c r="B116" s="459"/>
      <c r="C116" s="442"/>
      <c r="D116" s="460"/>
      <c r="E116" s="442"/>
      <c r="F116" s="442"/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  <c r="Y116" s="442"/>
      <c r="Z116" s="442"/>
    </row>
    <row r="117" ht="19.5" customHeight="1">
      <c r="A117" s="442"/>
      <c r="B117" s="459"/>
      <c r="C117" s="442"/>
      <c r="D117" s="460"/>
      <c r="E117" s="442"/>
      <c r="F117" s="442"/>
      <c r="G117" s="442"/>
      <c r="H117" s="442"/>
      <c r="I117" s="442"/>
      <c r="J117" s="442"/>
      <c r="K117" s="442"/>
      <c r="L117" s="442"/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  <c r="X117" s="442"/>
      <c r="Y117" s="442"/>
      <c r="Z117" s="442"/>
    </row>
    <row r="118" ht="19.5" customHeight="1">
      <c r="A118" s="442"/>
      <c r="B118" s="459"/>
      <c r="C118" s="442"/>
      <c r="D118" s="460"/>
      <c r="E118" s="442"/>
      <c r="F118" s="442"/>
      <c r="G118" s="442"/>
      <c r="H118" s="442"/>
      <c r="I118" s="442"/>
      <c r="J118" s="442"/>
      <c r="K118" s="442"/>
      <c r="L118" s="442"/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  <c r="X118" s="442"/>
      <c r="Y118" s="442"/>
      <c r="Z118" s="442"/>
    </row>
    <row r="119" ht="19.5" customHeight="1">
      <c r="A119" s="442"/>
      <c r="B119" s="459"/>
      <c r="C119" s="442"/>
      <c r="D119" s="460"/>
      <c r="E119" s="442"/>
      <c r="F119" s="442"/>
      <c r="G119" s="442"/>
      <c r="H119" s="442"/>
      <c r="I119" s="442"/>
      <c r="J119" s="442"/>
      <c r="K119" s="442"/>
      <c r="L119" s="442"/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  <c r="X119" s="442"/>
      <c r="Y119" s="442"/>
      <c r="Z119" s="442"/>
    </row>
    <row r="120" ht="19.5" customHeight="1">
      <c r="A120" s="442"/>
      <c r="B120" s="459"/>
      <c r="C120" s="442"/>
      <c r="D120" s="460"/>
      <c r="E120" s="442"/>
      <c r="F120" s="442"/>
      <c r="G120" s="442"/>
      <c r="H120" s="442"/>
      <c r="I120" s="442"/>
      <c r="J120" s="442"/>
      <c r="K120" s="442"/>
      <c r="L120" s="442"/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  <c r="X120" s="442"/>
      <c r="Y120" s="442"/>
      <c r="Z120" s="442"/>
    </row>
    <row r="121" ht="19.5" customHeight="1">
      <c r="A121" s="442"/>
      <c r="B121" s="459"/>
      <c r="C121" s="442"/>
      <c r="D121" s="460"/>
      <c r="E121" s="442"/>
      <c r="F121" s="442"/>
      <c r="G121" s="442"/>
      <c r="H121" s="442"/>
      <c r="I121" s="442"/>
      <c r="J121" s="442"/>
      <c r="K121" s="442"/>
      <c r="L121" s="442"/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  <c r="X121" s="442"/>
      <c r="Y121" s="442"/>
      <c r="Z121" s="442"/>
    </row>
    <row r="122" ht="19.5" customHeight="1">
      <c r="A122" s="442"/>
      <c r="B122" s="459"/>
      <c r="C122" s="442"/>
      <c r="D122" s="460"/>
      <c r="E122" s="442"/>
      <c r="F122" s="442"/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  <c r="Y122" s="442"/>
      <c r="Z122" s="442"/>
    </row>
    <row r="123" ht="19.5" customHeight="1">
      <c r="A123" s="442"/>
      <c r="B123" s="459"/>
      <c r="C123" s="442"/>
      <c r="D123" s="460"/>
      <c r="E123" s="442"/>
      <c r="F123" s="442"/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  <c r="Y123" s="442"/>
      <c r="Z123" s="442"/>
    </row>
    <row r="124" ht="19.5" customHeight="1">
      <c r="A124" s="442"/>
      <c r="B124" s="459"/>
      <c r="C124" s="442"/>
      <c r="D124" s="460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  <c r="Y124" s="442"/>
      <c r="Z124" s="442"/>
    </row>
    <row r="125" ht="19.5" customHeight="1">
      <c r="A125" s="442"/>
      <c r="B125" s="459"/>
      <c r="C125" s="442"/>
      <c r="D125" s="460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  <c r="Y125" s="442"/>
      <c r="Z125" s="442"/>
    </row>
    <row r="126" ht="19.5" customHeight="1">
      <c r="A126" s="442"/>
      <c r="B126" s="459"/>
      <c r="C126" s="442"/>
      <c r="D126" s="460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  <c r="Y126" s="442"/>
      <c r="Z126" s="442"/>
    </row>
    <row r="127" ht="19.5" customHeight="1">
      <c r="A127" s="442"/>
      <c r="B127" s="459"/>
      <c r="C127" s="442"/>
      <c r="D127" s="460"/>
      <c r="E127" s="442"/>
      <c r="F127" s="442"/>
      <c r="G127" s="442"/>
      <c r="H127" s="442"/>
      <c r="I127" s="442"/>
      <c r="J127" s="442"/>
      <c r="K127" s="442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  <c r="X127" s="442"/>
      <c r="Y127" s="442"/>
      <c r="Z127" s="442"/>
    </row>
    <row r="128" ht="19.5" customHeight="1">
      <c r="A128" s="442"/>
      <c r="B128" s="459"/>
      <c r="C128" s="442"/>
      <c r="D128" s="460"/>
      <c r="E128" s="442"/>
      <c r="F128" s="442"/>
      <c r="G128" s="442"/>
      <c r="H128" s="442"/>
      <c r="I128" s="442"/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  <c r="X128" s="442"/>
      <c r="Y128" s="442"/>
      <c r="Z128" s="442"/>
    </row>
    <row r="129" ht="19.5" customHeight="1">
      <c r="A129" s="442"/>
      <c r="B129" s="459"/>
      <c r="C129" s="442"/>
      <c r="D129" s="460"/>
      <c r="E129" s="442"/>
      <c r="F129" s="442"/>
      <c r="G129" s="442"/>
      <c r="H129" s="442"/>
      <c r="I129" s="442"/>
      <c r="J129" s="442"/>
      <c r="K129" s="442"/>
      <c r="L129" s="442"/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  <c r="X129" s="442"/>
      <c r="Y129" s="442"/>
      <c r="Z129" s="442"/>
    </row>
    <row r="130" ht="19.5" customHeight="1">
      <c r="A130" s="442"/>
      <c r="B130" s="459"/>
      <c r="C130" s="442"/>
      <c r="D130" s="460"/>
      <c r="E130" s="442"/>
      <c r="F130" s="442"/>
      <c r="G130" s="442"/>
      <c r="H130" s="442"/>
      <c r="I130" s="442"/>
      <c r="J130" s="442"/>
      <c r="K130" s="442"/>
      <c r="L130" s="442"/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  <c r="X130" s="442"/>
      <c r="Y130" s="442"/>
      <c r="Z130" s="442"/>
    </row>
    <row r="131" ht="19.5" customHeight="1">
      <c r="A131" s="442"/>
      <c r="B131" s="459"/>
      <c r="C131" s="442"/>
      <c r="D131" s="460"/>
      <c r="E131" s="442"/>
      <c r="F131" s="442"/>
      <c r="G131" s="442"/>
      <c r="H131" s="442"/>
      <c r="I131" s="442"/>
      <c r="J131" s="442"/>
      <c r="K131" s="442"/>
      <c r="L131" s="442"/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  <c r="X131" s="442"/>
      <c r="Y131" s="442"/>
      <c r="Z131" s="442"/>
    </row>
    <row r="132" ht="19.5" customHeight="1">
      <c r="A132" s="442"/>
      <c r="B132" s="459"/>
      <c r="C132" s="442"/>
      <c r="D132" s="460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</row>
    <row r="133" ht="19.5" customHeight="1">
      <c r="A133" s="442"/>
      <c r="B133" s="459"/>
      <c r="C133" s="442"/>
      <c r="D133" s="460"/>
      <c r="E133" s="442"/>
      <c r="F133" s="442"/>
      <c r="G133" s="442"/>
      <c r="H133" s="442"/>
      <c r="I133" s="442"/>
      <c r="J133" s="442"/>
      <c r="K133" s="442"/>
      <c r="L133" s="442"/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  <c r="X133" s="442"/>
      <c r="Y133" s="442"/>
      <c r="Z133" s="442"/>
    </row>
    <row r="134" ht="19.5" customHeight="1">
      <c r="A134" s="442"/>
      <c r="B134" s="459"/>
      <c r="C134" s="442"/>
      <c r="D134" s="460"/>
      <c r="E134" s="442"/>
      <c r="F134" s="442"/>
      <c r="G134" s="442"/>
      <c r="H134" s="442"/>
      <c r="I134" s="442"/>
      <c r="J134" s="442"/>
      <c r="K134" s="442"/>
      <c r="L134" s="442"/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  <c r="X134" s="442"/>
      <c r="Y134" s="442"/>
      <c r="Z134" s="442"/>
    </row>
    <row r="135" ht="19.5" customHeight="1">
      <c r="A135" s="442"/>
      <c r="B135" s="459"/>
      <c r="C135" s="442"/>
      <c r="D135" s="460"/>
      <c r="E135" s="442"/>
      <c r="F135" s="442"/>
      <c r="G135" s="442"/>
      <c r="H135" s="442"/>
      <c r="I135" s="442"/>
      <c r="J135" s="442"/>
      <c r="K135" s="442"/>
      <c r="L135" s="442"/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  <c r="X135" s="442"/>
      <c r="Y135" s="442"/>
      <c r="Z135" s="442"/>
    </row>
    <row r="136" ht="19.5" customHeight="1">
      <c r="A136" s="442"/>
      <c r="B136" s="459"/>
      <c r="C136" s="442"/>
      <c r="D136" s="460"/>
      <c r="E136" s="442"/>
      <c r="F136" s="442"/>
      <c r="G136" s="442"/>
      <c r="H136" s="442"/>
      <c r="I136" s="442"/>
      <c r="J136" s="442"/>
      <c r="K136" s="442"/>
      <c r="L136" s="442"/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  <c r="X136" s="442"/>
      <c r="Y136" s="442"/>
      <c r="Z136" s="442"/>
    </row>
    <row r="137" ht="19.5" customHeight="1">
      <c r="A137" s="442"/>
      <c r="B137" s="459"/>
      <c r="C137" s="442"/>
      <c r="D137" s="460"/>
      <c r="E137" s="442"/>
      <c r="F137" s="442"/>
      <c r="G137" s="442"/>
      <c r="H137" s="442"/>
      <c r="I137" s="442"/>
      <c r="J137" s="442"/>
      <c r="K137" s="442"/>
      <c r="L137" s="442"/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  <c r="X137" s="442"/>
      <c r="Y137" s="442"/>
      <c r="Z137" s="442"/>
    </row>
    <row r="138" ht="19.5" customHeight="1">
      <c r="A138" s="442"/>
      <c r="B138" s="459"/>
      <c r="C138" s="442"/>
      <c r="D138" s="460"/>
      <c r="E138" s="442"/>
      <c r="F138" s="442"/>
      <c r="G138" s="442"/>
      <c r="H138" s="442"/>
      <c r="I138" s="442"/>
      <c r="J138" s="442"/>
      <c r="K138" s="442"/>
      <c r="L138" s="442"/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  <c r="X138" s="442"/>
      <c r="Y138" s="442"/>
      <c r="Z138" s="442"/>
    </row>
    <row r="139" ht="19.5" customHeight="1">
      <c r="A139" s="442"/>
      <c r="B139" s="459"/>
      <c r="C139" s="442"/>
      <c r="D139" s="460"/>
      <c r="E139" s="442"/>
      <c r="F139" s="442"/>
      <c r="G139" s="442"/>
      <c r="H139" s="442"/>
      <c r="I139" s="442"/>
      <c r="J139" s="442"/>
      <c r="K139" s="442"/>
      <c r="L139" s="442"/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  <c r="X139" s="442"/>
      <c r="Y139" s="442"/>
      <c r="Z139" s="442"/>
    </row>
    <row r="140" ht="19.5" customHeight="1">
      <c r="A140" s="442"/>
      <c r="B140" s="459"/>
      <c r="C140" s="442"/>
      <c r="D140" s="460"/>
      <c r="E140" s="442"/>
      <c r="F140" s="442"/>
      <c r="G140" s="442"/>
      <c r="H140" s="442"/>
      <c r="I140" s="442"/>
      <c r="J140" s="442"/>
      <c r="K140" s="442"/>
      <c r="L140" s="442"/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  <c r="X140" s="442"/>
      <c r="Y140" s="442"/>
      <c r="Z140" s="442"/>
    </row>
    <row r="141" ht="19.5" customHeight="1">
      <c r="A141" s="442"/>
      <c r="B141" s="459"/>
      <c r="C141" s="442"/>
      <c r="D141" s="460"/>
      <c r="E141" s="442"/>
      <c r="F141" s="442"/>
      <c r="G141" s="442"/>
      <c r="H141" s="442"/>
      <c r="I141" s="442"/>
      <c r="J141" s="442"/>
      <c r="K141" s="442"/>
      <c r="L141" s="442"/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  <c r="X141" s="442"/>
      <c r="Y141" s="442"/>
      <c r="Z141" s="442"/>
    </row>
    <row r="142" ht="19.5" customHeight="1">
      <c r="A142" s="442"/>
      <c r="B142" s="459"/>
      <c r="C142" s="442"/>
      <c r="D142" s="460"/>
      <c r="E142" s="442"/>
      <c r="F142" s="442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  <c r="X142" s="442"/>
      <c r="Y142" s="442"/>
      <c r="Z142" s="442"/>
    </row>
    <row r="143" ht="19.5" customHeight="1">
      <c r="A143" s="442"/>
      <c r="B143" s="459"/>
      <c r="C143" s="442"/>
      <c r="D143" s="460"/>
      <c r="E143" s="442"/>
      <c r="F143" s="442"/>
      <c r="G143" s="442"/>
      <c r="H143" s="442"/>
      <c r="I143" s="442"/>
      <c r="J143" s="442"/>
      <c r="K143" s="442"/>
      <c r="L143" s="442"/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  <c r="X143" s="442"/>
      <c r="Y143" s="442"/>
      <c r="Z143" s="442"/>
    </row>
    <row r="144" ht="19.5" customHeight="1">
      <c r="A144" s="442"/>
      <c r="B144" s="459"/>
      <c r="C144" s="442"/>
      <c r="D144" s="460"/>
      <c r="E144" s="442"/>
      <c r="F144" s="442"/>
      <c r="G144" s="442"/>
      <c r="H144" s="442"/>
      <c r="I144" s="442"/>
      <c r="J144" s="442"/>
      <c r="K144" s="442"/>
      <c r="L144" s="442"/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  <c r="X144" s="442"/>
      <c r="Y144" s="442"/>
      <c r="Z144" s="442"/>
    </row>
    <row r="145" ht="19.5" customHeight="1">
      <c r="A145" s="442"/>
      <c r="B145" s="459"/>
      <c r="C145" s="442"/>
      <c r="D145" s="460"/>
      <c r="E145" s="442"/>
      <c r="F145" s="442"/>
      <c r="G145" s="442"/>
      <c r="H145" s="442"/>
      <c r="I145" s="442"/>
      <c r="J145" s="442"/>
      <c r="K145" s="442"/>
      <c r="L145" s="442"/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  <c r="X145" s="442"/>
      <c r="Y145" s="442"/>
      <c r="Z145" s="442"/>
    </row>
    <row r="146" ht="19.5" customHeight="1">
      <c r="A146" s="442"/>
      <c r="B146" s="459"/>
      <c r="C146" s="442"/>
      <c r="D146" s="460"/>
      <c r="E146" s="442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  <c r="X146" s="442"/>
      <c r="Y146" s="442"/>
      <c r="Z146" s="442"/>
    </row>
    <row r="147" ht="19.5" customHeight="1">
      <c r="A147" s="442"/>
      <c r="B147" s="459"/>
      <c r="C147" s="442"/>
      <c r="D147" s="460"/>
      <c r="E147" s="442"/>
      <c r="F147" s="442"/>
      <c r="G147" s="442"/>
      <c r="H147" s="442"/>
      <c r="I147" s="442"/>
      <c r="J147" s="442"/>
      <c r="K147" s="442"/>
      <c r="L147" s="442"/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  <c r="X147" s="442"/>
      <c r="Y147" s="442"/>
      <c r="Z147" s="442"/>
    </row>
    <row r="148" ht="19.5" customHeight="1">
      <c r="A148" s="442"/>
      <c r="B148" s="459"/>
      <c r="C148" s="442"/>
      <c r="D148" s="460"/>
      <c r="E148" s="442"/>
      <c r="F148" s="442"/>
      <c r="G148" s="442"/>
      <c r="H148" s="442"/>
      <c r="I148" s="442"/>
      <c r="J148" s="442"/>
      <c r="K148" s="442"/>
      <c r="L148" s="442"/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  <c r="X148" s="442"/>
      <c r="Y148" s="442"/>
      <c r="Z148" s="442"/>
    </row>
    <row r="149" ht="19.5" customHeight="1">
      <c r="A149" s="442"/>
      <c r="B149" s="459"/>
      <c r="C149" s="442"/>
      <c r="D149" s="460"/>
      <c r="E149" s="442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  <c r="Y149" s="442"/>
      <c r="Z149" s="442"/>
    </row>
    <row r="150" ht="19.5" customHeight="1">
      <c r="A150" s="442"/>
      <c r="B150" s="459"/>
      <c r="C150" s="442"/>
      <c r="D150" s="460"/>
      <c r="E150" s="442"/>
      <c r="F150" s="442"/>
      <c r="G150" s="442"/>
      <c r="H150" s="442"/>
      <c r="I150" s="442"/>
      <c r="J150" s="442"/>
      <c r="K150" s="442"/>
      <c r="L150" s="442"/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  <c r="X150" s="442"/>
      <c r="Y150" s="442"/>
      <c r="Z150" s="442"/>
    </row>
    <row r="151" ht="19.5" customHeight="1">
      <c r="A151" s="442"/>
      <c r="B151" s="459"/>
      <c r="C151" s="442"/>
      <c r="D151" s="460"/>
      <c r="E151" s="442"/>
      <c r="F151" s="442"/>
      <c r="G151" s="442"/>
      <c r="H151" s="442"/>
      <c r="I151" s="442"/>
      <c r="J151" s="442"/>
      <c r="K151" s="442"/>
      <c r="L151" s="442"/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  <c r="X151" s="442"/>
      <c r="Y151" s="442"/>
      <c r="Z151" s="442"/>
    </row>
    <row r="152" ht="19.5" customHeight="1">
      <c r="A152" s="442"/>
      <c r="B152" s="459"/>
      <c r="C152" s="442"/>
      <c r="D152" s="460"/>
      <c r="E152" s="442"/>
      <c r="F152" s="442"/>
      <c r="G152" s="442"/>
      <c r="H152" s="442"/>
      <c r="I152" s="442"/>
      <c r="J152" s="442"/>
      <c r="K152" s="442"/>
      <c r="L152" s="442"/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  <c r="X152" s="442"/>
      <c r="Y152" s="442"/>
      <c r="Z152" s="442"/>
    </row>
    <row r="153" ht="19.5" customHeight="1">
      <c r="A153" s="442"/>
      <c r="B153" s="459"/>
      <c r="C153" s="442"/>
      <c r="D153" s="460"/>
      <c r="E153" s="442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  <c r="Y153" s="442"/>
      <c r="Z153" s="442"/>
    </row>
    <row r="154" ht="19.5" customHeight="1">
      <c r="A154" s="442"/>
      <c r="B154" s="459"/>
      <c r="C154" s="442"/>
      <c r="D154" s="460"/>
      <c r="E154" s="442"/>
      <c r="F154" s="442"/>
      <c r="G154" s="442"/>
      <c r="H154" s="442"/>
      <c r="I154" s="442"/>
      <c r="J154" s="442"/>
      <c r="K154" s="442"/>
      <c r="L154" s="442"/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  <c r="Y154" s="442"/>
      <c r="Z154" s="442"/>
    </row>
    <row r="155" ht="19.5" customHeight="1">
      <c r="A155" s="442"/>
      <c r="B155" s="459"/>
      <c r="C155" s="442"/>
      <c r="D155" s="460"/>
      <c r="E155" s="442"/>
      <c r="F155" s="442"/>
      <c r="G155" s="442"/>
      <c r="H155" s="442"/>
      <c r="I155" s="442"/>
      <c r="J155" s="442"/>
      <c r="K155" s="442"/>
      <c r="L155" s="442"/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  <c r="Y155" s="442"/>
      <c r="Z155" s="442"/>
    </row>
    <row r="156" ht="19.5" customHeight="1">
      <c r="A156" s="442"/>
      <c r="B156" s="459"/>
      <c r="C156" s="442"/>
      <c r="D156" s="460"/>
      <c r="E156" s="442"/>
      <c r="F156" s="442"/>
      <c r="G156" s="442"/>
      <c r="H156" s="442"/>
      <c r="I156" s="442"/>
      <c r="J156" s="442"/>
      <c r="K156" s="442"/>
      <c r="L156" s="442"/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  <c r="Y156" s="442"/>
      <c r="Z156" s="442"/>
    </row>
    <row r="157" ht="19.5" customHeight="1">
      <c r="A157" s="442"/>
      <c r="B157" s="459"/>
      <c r="C157" s="442"/>
      <c r="D157" s="460"/>
      <c r="E157" s="442"/>
      <c r="F157" s="442"/>
      <c r="G157" s="442"/>
      <c r="H157" s="442"/>
      <c r="I157" s="442"/>
      <c r="J157" s="442"/>
      <c r="K157" s="442"/>
      <c r="L157" s="442"/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  <c r="X157" s="442"/>
      <c r="Y157" s="442"/>
      <c r="Z157" s="442"/>
    </row>
    <row r="158" ht="19.5" customHeight="1">
      <c r="A158" s="442"/>
      <c r="B158" s="459"/>
      <c r="C158" s="442"/>
      <c r="D158" s="460"/>
      <c r="E158" s="442"/>
      <c r="F158" s="442"/>
      <c r="G158" s="442"/>
      <c r="H158" s="442"/>
      <c r="I158" s="442"/>
      <c r="J158" s="442"/>
      <c r="K158" s="442"/>
      <c r="L158" s="442"/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  <c r="X158" s="442"/>
      <c r="Y158" s="442"/>
      <c r="Z158" s="442"/>
    </row>
    <row r="159" ht="19.5" customHeight="1">
      <c r="A159" s="442"/>
      <c r="B159" s="459"/>
      <c r="C159" s="442"/>
      <c r="D159" s="460"/>
      <c r="E159" s="442"/>
      <c r="F159" s="442"/>
      <c r="G159" s="442"/>
      <c r="H159" s="442"/>
      <c r="I159" s="442"/>
      <c r="J159" s="442"/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  <c r="Y159" s="442"/>
      <c r="Z159" s="442"/>
    </row>
    <row r="160" ht="19.5" customHeight="1">
      <c r="A160" s="442"/>
      <c r="B160" s="459"/>
      <c r="C160" s="442"/>
      <c r="D160" s="460"/>
      <c r="E160" s="442"/>
      <c r="F160" s="442"/>
      <c r="G160" s="442"/>
      <c r="H160" s="442"/>
      <c r="I160" s="442"/>
      <c r="J160" s="442"/>
      <c r="K160" s="442"/>
      <c r="L160" s="442"/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  <c r="X160" s="442"/>
      <c r="Y160" s="442"/>
      <c r="Z160" s="442"/>
    </row>
    <row r="161" ht="19.5" customHeight="1">
      <c r="A161" s="442"/>
      <c r="B161" s="459"/>
      <c r="C161" s="442"/>
      <c r="D161" s="460"/>
      <c r="E161" s="442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  <c r="X161" s="442"/>
      <c r="Y161" s="442"/>
      <c r="Z161" s="442"/>
    </row>
    <row r="162" ht="19.5" customHeight="1">
      <c r="A162" s="442"/>
      <c r="B162" s="459"/>
      <c r="C162" s="442"/>
      <c r="D162" s="460"/>
      <c r="E162" s="442"/>
      <c r="F162" s="442"/>
      <c r="G162" s="442"/>
      <c r="H162" s="442"/>
      <c r="I162" s="442"/>
      <c r="J162" s="442"/>
      <c r="K162" s="442"/>
      <c r="L162" s="442"/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  <c r="X162" s="442"/>
      <c r="Y162" s="442"/>
      <c r="Z162" s="442"/>
    </row>
    <row r="163" ht="19.5" customHeight="1">
      <c r="A163" s="442"/>
      <c r="B163" s="459"/>
      <c r="C163" s="442"/>
      <c r="D163" s="460"/>
      <c r="E163" s="442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  <c r="X163" s="442"/>
      <c r="Y163" s="442"/>
      <c r="Z163" s="442"/>
    </row>
    <row r="164" ht="19.5" customHeight="1">
      <c r="A164" s="442"/>
      <c r="B164" s="459"/>
      <c r="C164" s="442"/>
      <c r="D164" s="460"/>
      <c r="E164" s="442"/>
      <c r="F164" s="442"/>
      <c r="G164" s="442"/>
      <c r="H164" s="442"/>
      <c r="I164" s="442"/>
      <c r="J164" s="442"/>
      <c r="K164" s="442"/>
      <c r="L164" s="442"/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  <c r="X164" s="442"/>
      <c r="Y164" s="442"/>
      <c r="Z164" s="442"/>
    </row>
    <row r="165" ht="19.5" customHeight="1">
      <c r="A165" s="442"/>
      <c r="B165" s="459"/>
      <c r="C165" s="442"/>
      <c r="D165" s="460"/>
      <c r="E165" s="442"/>
      <c r="F165" s="442"/>
      <c r="G165" s="442"/>
      <c r="H165" s="442"/>
      <c r="I165" s="442"/>
      <c r="J165" s="442"/>
      <c r="K165" s="442"/>
      <c r="L165" s="442"/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  <c r="X165" s="442"/>
      <c r="Y165" s="442"/>
      <c r="Z165" s="442"/>
    </row>
    <row r="166" ht="19.5" customHeight="1">
      <c r="A166" s="442"/>
      <c r="B166" s="459"/>
      <c r="C166" s="442"/>
      <c r="D166" s="460"/>
      <c r="E166" s="442"/>
      <c r="F166" s="442"/>
      <c r="G166" s="442"/>
      <c r="H166" s="442"/>
      <c r="I166" s="442"/>
      <c r="J166" s="442"/>
      <c r="K166" s="442"/>
      <c r="L166" s="442"/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  <c r="X166" s="442"/>
      <c r="Y166" s="442"/>
      <c r="Z166" s="442"/>
    </row>
    <row r="167" ht="19.5" customHeight="1">
      <c r="A167" s="442"/>
      <c r="B167" s="459"/>
      <c r="C167" s="442"/>
      <c r="D167" s="460"/>
      <c r="E167" s="442"/>
      <c r="F167" s="442"/>
      <c r="G167" s="442"/>
      <c r="H167" s="442"/>
      <c r="I167" s="442"/>
      <c r="J167" s="442"/>
      <c r="K167" s="442"/>
      <c r="L167" s="442"/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  <c r="X167" s="442"/>
      <c r="Y167" s="442"/>
      <c r="Z167" s="442"/>
    </row>
    <row r="168" ht="19.5" customHeight="1">
      <c r="A168" s="442"/>
      <c r="B168" s="459"/>
      <c r="C168" s="442"/>
      <c r="D168" s="460"/>
      <c r="E168" s="442"/>
      <c r="F168" s="442"/>
      <c r="G168" s="442"/>
      <c r="H168" s="442"/>
      <c r="I168" s="442"/>
      <c r="J168" s="442"/>
      <c r="K168" s="442"/>
      <c r="L168" s="442"/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  <c r="X168" s="442"/>
      <c r="Y168" s="442"/>
      <c r="Z168" s="442"/>
    </row>
    <row r="169" ht="19.5" customHeight="1">
      <c r="A169" s="442"/>
      <c r="B169" s="459"/>
      <c r="C169" s="442"/>
      <c r="D169" s="460"/>
      <c r="E169" s="442"/>
      <c r="F169" s="442"/>
      <c r="G169" s="442"/>
      <c r="H169" s="442"/>
      <c r="I169" s="442"/>
      <c r="J169" s="442"/>
      <c r="K169" s="442"/>
      <c r="L169" s="442"/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  <c r="X169" s="442"/>
      <c r="Y169" s="442"/>
      <c r="Z169" s="442"/>
    </row>
    <row r="170" ht="19.5" customHeight="1">
      <c r="A170" s="442"/>
      <c r="B170" s="459"/>
      <c r="C170" s="442"/>
      <c r="D170" s="460"/>
      <c r="E170" s="442"/>
      <c r="F170" s="442"/>
      <c r="G170" s="442"/>
      <c r="H170" s="442"/>
      <c r="I170" s="442"/>
      <c r="J170" s="442"/>
      <c r="K170" s="442"/>
      <c r="L170" s="442"/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  <c r="X170" s="442"/>
      <c r="Y170" s="442"/>
      <c r="Z170" s="442"/>
    </row>
    <row r="171" ht="19.5" customHeight="1">
      <c r="A171" s="442"/>
      <c r="B171" s="459"/>
      <c r="C171" s="442"/>
      <c r="D171" s="460"/>
      <c r="E171" s="442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  <c r="X171" s="442"/>
      <c r="Y171" s="442"/>
      <c r="Z171" s="442"/>
    </row>
    <row r="172" ht="19.5" customHeight="1">
      <c r="A172" s="442"/>
      <c r="B172" s="459"/>
      <c r="C172" s="442"/>
      <c r="D172" s="460"/>
      <c r="E172" s="442"/>
      <c r="F172" s="442"/>
      <c r="G172" s="442"/>
      <c r="H172" s="442"/>
      <c r="I172" s="442"/>
      <c r="J172" s="442"/>
      <c r="K172" s="442"/>
      <c r="L172" s="442"/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  <c r="X172" s="442"/>
      <c r="Y172" s="442"/>
      <c r="Z172" s="442"/>
    </row>
    <row r="173" ht="19.5" customHeight="1">
      <c r="A173" s="442"/>
      <c r="B173" s="459"/>
      <c r="C173" s="442"/>
      <c r="D173" s="460"/>
      <c r="E173" s="442"/>
      <c r="F173" s="442"/>
      <c r="G173" s="442"/>
      <c r="H173" s="442"/>
      <c r="I173" s="442"/>
      <c r="J173" s="442"/>
      <c r="K173" s="442"/>
      <c r="L173" s="442"/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  <c r="X173" s="442"/>
      <c r="Y173" s="442"/>
      <c r="Z173" s="442"/>
    </row>
    <row r="174" ht="19.5" customHeight="1">
      <c r="A174" s="442"/>
      <c r="B174" s="459"/>
      <c r="C174" s="442"/>
      <c r="D174" s="460"/>
      <c r="E174" s="442"/>
      <c r="F174" s="442"/>
      <c r="G174" s="442"/>
      <c r="H174" s="442"/>
      <c r="I174" s="442"/>
      <c r="J174" s="442"/>
      <c r="K174" s="442"/>
      <c r="L174" s="442"/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  <c r="X174" s="442"/>
      <c r="Y174" s="442"/>
      <c r="Z174" s="442"/>
    </row>
    <row r="175" ht="19.5" customHeight="1">
      <c r="A175" s="442"/>
      <c r="B175" s="459"/>
      <c r="C175" s="442"/>
      <c r="D175" s="460"/>
      <c r="E175" s="442"/>
      <c r="F175" s="442"/>
      <c r="G175" s="442"/>
      <c r="H175" s="442"/>
      <c r="I175" s="442"/>
      <c r="J175" s="442"/>
      <c r="K175" s="442"/>
      <c r="L175" s="442"/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  <c r="X175" s="442"/>
      <c r="Y175" s="442"/>
      <c r="Z175" s="442"/>
    </row>
    <row r="176" ht="19.5" customHeight="1">
      <c r="A176" s="442"/>
      <c r="B176" s="459"/>
      <c r="C176" s="442"/>
      <c r="D176" s="460"/>
      <c r="E176" s="442"/>
      <c r="F176" s="442"/>
      <c r="G176" s="442"/>
      <c r="H176" s="442"/>
      <c r="I176" s="442"/>
      <c r="J176" s="442"/>
      <c r="K176" s="442"/>
      <c r="L176" s="442"/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  <c r="X176" s="442"/>
      <c r="Y176" s="442"/>
      <c r="Z176" s="442"/>
    </row>
    <row r="177" ht="19.5" customHeight="1">
      <c r="A177" s="442"/>
      <c r="B177" s="459"/>
      <c r="C177" s="442"/>
      <c r="D177" s="460"/>
      <c r="E177" s="442"/>
      <c r="F177" s="442"/>
      <c r="G177" s="442"/>
      <c r="H177" s="442"/>
      <c r="I177" s="442"/>
      <c r="J177" s="442"/>
      <c r="K177" s="442"/>
      <c r="L177" s="442"/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  <c r="X177" s="442"/>
      <c r="Y177" s="442"/>
      <c r="Z177" s="442"/>
    </row>
    <row r="178" ht="19.5" customHeight="1">
      <c r="A178" s="442"/>
      <c r="B178" s="459"/>
      <c r="C178" s="442"/>
      <c r="D178" s="460"/>
      <c r="E178" s="442"/>
      <c r="F178" s="442"/>
      <c r="G178" s="442"/>
      <c r="H178" s="442"/>
      <c r="I178" s="442"/>
      <c r="J178" s="442"/>
      <c r="K178" s="442"/>
      <c r="L178" s="442"/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  <c r="X178" s="442"/>
      <c r="Y178" s="442"/>
      <c r="Z178" s="442"/>
    </row>
    <row r="179" ht="19.5" customHeight="1">
      <c r="A179" s="442"/>
      <c r="B179" s="459"/>
      <c r="C179" s="442"/>
      <c r="D179" s="460"/>
      <c r="E179" s="442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  <c r="Y179" s="442"/>
      <c r="Z179" s="442"/>
    </row>
    <row r="180" ht="19.5" customHeight="1">
      <c r="A180" s="442"/>
      <c r="B180" s="459"/>
      <c r="C180" s="442"/>
      <c r="D180" s="460"/>
      <c r="E180" s="442"/>
      <c r="F180" s="442"/>
      <c r="G180" s="442"/>
      <c r="H180" s="442"/>
      <c r="I180" s="442"/>
      <c r="J180" s="442"/>
      <c r="K180" s="442"/>
      <c r="L180" s="442"/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  <c r="X180" s="442"/>
      <c r="Y180" s="442"/>
      <c r="Z180" s="442"/>
    </row>
    <row r="181" ht="19.5" customHeight="1">
      <c r="A181" s="442"/>
      <c r="B181" s="459"/>
      <c r="C181" s="442"/>
      <c r="D181" s="460"/>
      <c r="E181" s="442"/>
      <c r="F181" s="442"/>
      <c r="G181" s="442"/>
      <c r="H181" s="442"/>
      <c r="I181" s="442"/>
      <c r="J181" s="442"/>
      <c r="K181" s="442"/>
      <c r="L181" s="442"/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  <c r="X181" s="442"/>
      <c r="Y181" s="442"/>
      <c r="Z181" s="442"/>
    </row>
    <row r="182" ht="19.5" customHeight="1">
      <c r="A182" s="442"/>
      <c r="B182" s="459"/>
      <c r="C182" s="442"/>
      <c r="D182" s="460"/>
      <c r="E182" s="442"/>
      <c r="F182" s="442"/>
      <c r="G182" s="442"/>
      <c r="H182" s="442"/>
      <c r="I182" s="442"/>
      <c r="J182" s="442"/>
      <c r="K182" s="442"/>
      <c r="L182" s="442"/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  <c r="X182" s="442"/>
      <c r="Y182" s="442"/>
      <c r="Z182" s="442"/>
    </row>
    <row r="183" ht="19.5" customHeight="1">
      <c r="A183" s="442"/>
      <c r="B183" s="459"/>
      <c r="C183" s="442"/>
      <c r="D183" s="460"/>
      <c r="E183" s="442"/>
      <c r="F183" s="442"/>
      <c r="G183" s="442"/>
      <c r="H183" s="442"/>
      <c r="I183" s="442"/>
      <c r="J183" s="442"/>
      <c r="K183" s="442"/>
      <c r="L183" s="442"/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  <c r="X183" s="442"/>
      <c r="Y183" s="442"/>
      <c r="Z183" s="442"/>
    </row>
    <row r="184" ht="19.5" customHeight="1">
      <c r="A184" s="442"/>
      <c r="B184" s="459"/>
      <c r="C184" s="442"/>
      <c r="D184" s="460"/>
      <c r="E184" s="442"/>
      <c r="F184" s="442"/>
      <c r="G184" s="442"/>
      <c r="H184" s="442"/>
      <c r="I184" s="442"/>
      <c r="J184" s="442"/>
      <c r="K184" s="442"/>
      <c r="L184" s="442"/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  <c r="X184" s="442"/>
      <c r="Y184" s="442"/>
      <c r="Z184" s="442"/>
    </row>
    <row r="185" ht="19.5" customHeight="1">
      <c r="A185" s="442"/>
      <c r="B185" s="459"/>
      <c r="C185" s="442"/>
      <c r="D185" s="460"/>
      <c r="E185" s="442"/>
      <c r="F185" s="442"/>
      <c r="G185" s="442"/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  <c r="X185" s="442"/>
      <c r="Y185" s="442"/>
      <c r="Z185" s="442"/>
    </row>
    <row r="186" ht="19.5" customHeight="1">
      <c r="A186" s="442"/>
      <c r="B186" s="459"/>
      <c r="C186" s="442"/>
      <c r="D186" s="460"/>
      <c r="E186" s="442"/>
      <c r="F186" s="442"/>
      <c r="G186" s="442"/>
      <c r="H186" s="442"/>
      <c r="I186" s="442"/>
      <c r="J186" s="442"/>
      <c r="K186" s="442"/>
      <c r="L186" s="442"/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  <c r="X186" s="442"/>
      <c r="Y186" s="442"/>
      <c r="Z186" s="442"/>
    </row>
    <row r="187" ht="19.5" customHeight="1">
      <c r="A187" s="442"/>
      <c r="B187" s="459"/>
      <c r="C187" s="442"/>
      <c r="D187" s="460"/>
      <c r="E187" s="442"/>
      <c r="F187" s="442"/>
      <c r="G187" s="442"/>
      <c r="H187" s="442"/>
      <c r="I187" s="442"/>
      <c r="J187" s="442"/>
      <c r="K187" s="442"/>
      <c r="L187" s="442"/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  <c r="X187" s="442"/>
      <c r="Y187" s="442"/>
      <c r="Z187" s="442"/>
    </row>
    <row r="188" ht="19.5" customHeight="1">
      <c r="A188" s="442"/>
      <c r="B188" s="459"/>
      <c r="C188" s="442"/>
      <c r="D188" s="460"/>
      <c r="E188" s="442"/>
      <c r="F188" s="442"/>
      <c r="G188" s="442"/>
      <c r="H188" s="442"/>
      <c r="I188" s="442"/>
      <c r="J188" s="442"/>
      <c r="K188" s="442"/>
      <c r="L188" s="442"/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  <c r="X188" s="442"/>
      <c r="Y188" s="442"/>
      <c r="Z188" s="442"/>
    </row>
    <row r="189" ht="19.5" customHeight="1">
      <c r="A189" s="442"/>
      <c r="B189" s="459"/>
      <c r="C189" s="442"/>
      <c r="D189" s="460"/>
      <c r="E189" s="442"/>
      <c r="F189" s="442"/>
      <c r="G189" s="442"/>
      <c r="H189" s="442"/>
      <c r="I189" s="442"/>
      <c r="J189" s="442"/>
      <c r="K189" s="442"/>
      <c r="L189" s="442"/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  <c r="X189" s="442"/>
      <c r="Y189" s="442"/>
      <c r="Z189" s="442"/>
    </row>
    <row r="190" ht="19.5" customHeight="1">
      <c r="A190" s="442"/>
      <c r="B190" s="459"/>
      <c r="C190" s="442"/>
      <c r="D190" s="460"/>
      <c r="E190" s="442"/>
      <c r="F190" s="442"/>
      <c r="G190" s="442"/>
      <c r="H190" s="442"/>
      <c r="I190" s="442"/>
      <c r="J190" s="442"/>
      <c r="K190" s="442"/>
      <c r="L190" s="442"/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  <c r="X190" s="442"/>
      <c r="Y190" s="442"/>
      <c r="Z190" s="442"/>
    </row>
    <row r="191" ht="19.5" customHeight="1">
      <c r="A191" s="442"/>
      <c r="B191" s="459"/>
      <c r="C191" s="442"/>
      <c r="D191" s="460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  <c r="Y191" s="442"/>
      <c r="Z191" s="442"/>
    </row>
    <row r="192" ht="19.5" customHeight="1">
      <c r="A192" s="442"/>
      <c r="B192" s="459"/>
      <c r="C192" s="442"/>
      <c r="D192" s="460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  <c r="Y192" s="442"/>
      <c r="Z192" s="442"/>
    </row>
    <row r="193" ht="19.5" customHeight="1">
      <c r="A193" s="442"/>
      <c r="B193" s="459"/>
      <c r="C193" s="442"/>
      <c r="D193" s="460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  <c r="Y193" s="442"/>
      <c r="Z193" s="442"/>
    </row>
    <row r="194" ht="19.5" customHeight="1">
      <c r="A194" s="442"/>
      <c r="B194" s="459"/>
      <c r="C194" s="442"/>
      <c r="D194" s="460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  <c r="Y194" s="442"/>
      <c r="Z194" s="442"/>
    </row>
    <row r="195" ht="19.5" customHeight="1">
      <c r="A195" s="442"/>
      <c r="B195" s="459"/>
      <c r="C195" s="442"/>
      <c r="D195" s="460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  <c r="Y195" s="442"/>
      <c r="Z195" s="442"/>
    </row>
    <row r="196" ht="19.5" customHeight="1">
      <c r="A196" s="442"/>
      <c r="B196" s="459"/>
      <c r="C196" s="442"/>
      <c r="D196" s="460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  <c r="Y196" s="442"/>
      <c r="Z196" s="442"/>
    </row>
    <row r="197" ht="19.5" customHeight="1">
      <c r="A197" s="442"/>
      <c r="B197" s="459"/>
      <c r="C197" s="442"/>
      <c r="D197" s="460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  <c r="Y197" s="442"/>
      <c r="Z197" s="442"/>
    </row>
    <row r="198" ht="19.5" customHeight="1">
      <c r="A198" s="442"/>
      <c r="B198" s="459"/>
      <c r="C198" s="442"/>
      <c r="D198" s="460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  <c r="Y198" s="442"/>
      <c r="Z198" s="442"/>
    </row>
    <row r="199" ht="19.5" customHeight="1">
      <c r="A199" s="442"/>
      <c r="B199" s="459"/>
      <c r="C199" s="442"/>
      <c r="D199" s="460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  <c r="Y199" s="442"/>
      <c r="Z199" s="442"/>
    </row>
    <row r="200" ht="19.5" customHeight="1">
      <c r="A200" s="442"/>
      <c r="B200" s="459"/>
      <c r="C200" s="442"/>
      <c r="D200" s="460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  <c r="Y200" s="442"/>
      <c r="Z200" s="442"/>
    </row>
    <row r="201" ht="19.5" customHeight="1">
      <c r="A201" s="442"/>
      <c r="B201" s="459"/>
      <c r="C201" s="442"/>
      <c r="D201" s="460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  <c r="Y201" s="442"/>
      <c r="Z201" s="442"/>
    </row>
    <row r="202" ht="19.5" customHeight="1">
      <c r="A202" s="442"/>
      <c r="B202" s="459"/>
      <c r="C202" s="442"/>
      <c r="D202" s="460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  <c r="Y202" s="442"/>
      <c r="Z202" s="442"/>
    </row>
    <row r="203" ht="19.5" customHeight="1">
      <c r="A203" s="442"/>
      <c r="B203" s="459"/>
      <c r="C203" s="442"/>
      <c r="D203" s="460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  <c r="Y203" s="442"/>
      <c r="Z203" s="442"/>
    </row>
    <row r="204" ht="19.5" customHeight="1">
      <c r="A204" s="442"/>
      <c r="B204" s="459"/>
      <c r="C204" s="442"/>
      <c r="D204" s="460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  <c r="Y204" s="442"/>
      <c r="Z204" s="442"/>
    </row>
    <row r="205" ht="19.5" customHeight="1">
      <c r="A205" s="442"/>
      <c r="B205" s="459"/>
      <c r="C205" s="442"/>
      <c r="D205" s="460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  <c r="Y205" s="442"/>
      <c r="Z205" s="442"/>
    </row>
    <row r="206" ht="19.5" customHeight="1">
      <c r="A206" s="442"/>
      <c r="B206" s="459"/>
      <c r="C206" s="442"/>
      <c r="D206" s="460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  <c r="Y206" s="442"/>
      <c r="Z206" s="442"/>
    </row>
    <row r="207" ht="19.5" customHeight="1">
      <c r="A207" s="442"/>
      <c r="B207" s="459"/>
      <c r="C207" s="442"/>
      <c r="D207" s="460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  <c r="Y207" s="442"/>
      <c r="Z207" s="442"/>
    </row>
    <row r="208" ht="19.5" customHeight="1">
      <c r="A208" s="442"/>
      <c r="B208" s="459"/>
      <c r="C208" s="442"/>
      <c r="D208" s="460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  <c r="Y208" s="442"/>
      <c r="Z208" s="442"/>
    </row>
    <row r="209" ht="19.5" customHeight="1">
      <c r="A209" s="442"/>
      <c r="B209" s="459"/>
      <c r="C209" s="442"/>
      <c r="D209" s="460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  <c r="Y209" s="442"/>
      <c r="Z209" s="442"/>
    </row>
    <row r="210" ht="19.5" customHeight="1">
      <c r="A210" s="442"/>
      <c r="B210" s="459"/>
      <c r="C210" s="442"/>
      <c r="D210" s="460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  <c r="Y210" s="442"/>
      <c r="Z210" s="442"/>
    </row>
    <row r="211" ht="19.5" customHeight="1">
      <c r="A211" s="442"/>
      <c r="B211" s="459"/>
      <c r="C211" s="442"/>
      <c r="D211" s="460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  <c r="Y211" s="442"/>
      <c r="Z211" s="442"/>
    </row>
    <row r="212" ht="19.5" customHeight="1">
      <c r="A212" s="442"/>
      <c r="B212" s="459"/>
      <c r="C212" s="442"/>
      <c r="D212" s="460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  <c r="Y212" s="442"/>
      <c r="Z212" s="442"/>
    </row>
    <row r="213" ht="19.5" customHeight="1">
      <c r="A213" s="442"/>
      <c r="B213" s="459"/>
      <c r="C213" s="442"/>
      <c r="D213" s="460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  <c r="Y213" s="442"/>
      <c r="Z213" s="442"/>
    </row>
    <row r="214" ht="19.5" customHeight="1">
      <c r="A214" s="442"/>
      <c r="B214" s="459"/>
      <c r="C214" s="442"/>
      <c r="D214" s="460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  <c r="Y214" s="442"/>
      <c r="Z214" s="442"/>
    </row>
    <row r="215" ht="19.5" customHeight="1">
      <c r="A215" s="442"/>
      <c r="B215" s="459"/>
      <c r="C215" s="442"/>
      <c r="D215" s="460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  <c r="Y215" s="442"/>
      <c r="Z215" s="442"/>
    </row>
    <row r="216" ht="19.5" customHeight="1">
      <c r="A216" s="442"/>
      <c r="B216" s="459"/>
      <c r="C216" s="442"/>
      <c r="D216" s="460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  <c r="Y216" s="442"/>
      <c r="Z216" s="442"/>
    </row>
    <row r="217" ht="19.5" customHeight="1">
      <c r="A217" s="442"/>
      <c r="B217" s="459"/>
      <c r="C217" s="442"/>
      <c r="D217" s="460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  <c r="Y217" s="442"/>
      <c r="Z217" s="442"/>
    </row>
    <row r="218" ht="19.5" customHeight="1">
      <c r="A218" s="442"/>
      <c r="B218" s="459"/>
      <c r="C218" s="442"/>
      <c r="D218" s="460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  <c r="Y218" s="442"/>
      <c r="Z218" s="442"/>
    </row>
    <row r="219" ht="19.5" customHeight="1">
      <c r="A219" s="442"/>
      <c r="B219" s="459"/>
      <c r="C219" s="442"/>
      <c r="D219" s="460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  <c r="Y219" s="442"/>
      <c r="Z219" s="442"/>
    </row>
    <row r="220" ht="19.5" customHeight="1">
      <c r="A220" s="442"/>
      <c r="B220" s="459"/>
      <c r="C220" s="442"/>
      <c r="D220" s="460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  <c r="Y220" s="442"/>
      <c r="Z220" s="442"/>
    </row>
    <row r="221" ht="19.5" customHeight="1">
      <c r="A221" s="442"/>
      <c r="B221" s="459"/>
      <c r="C221" s="442"/>
      <c r="D221" s="460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  <c r="Y221" s="442"/>
      <c r="Z221" s="442"/>
    </row>
    <row r="222" ht="19.5" customHeight="1">
      <c r="A222" s="442"/>
      <c r="B222" s="459"/>
      <c r="C222" s="442"/>
      <c r="D222" s="460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  <c r="Y222" s="442"/>
      <c r="Z222" s="442"/>
    </row>
    <row r="223" ht="19.5" customHeight="1">
      <c r="A223" s="442"/>
      <c r="B223" s="459"/>
      <c r="C223" s="442"/>
      <c r="D223" s="460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  <c r="Y223" s="442"/>
      <c r="Z223" s="442"/>
    </row>
    <row r="224" ht="19.5" customHeight="1">
      <c r="A224" s="442"/>
      <c r="B224" s="459"/>
      <c r="C224" s="442"/>
      <c r="D224" s="460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  <c r="Y224" s="442"/>
      <c r="Z224" s="442"/>
    </row>
    <row r="225" ht="19.5" customHeight="1">
      <c r="A225" s="442"/>
      <c r="B225" s="459"/>
      <c r="C225" s="442"/>
      <c r="D225" s="460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  <c r="Y225" s="442"/>
      <c r="Z225" s="442"/>
    </row>
    <row r="226" ht="19.5" customHeight="1">
      <c r="A226" s="442"/>
      <c r="B226" s="459"/>
      <c r="C226" s="442"/>
      <c r="D226" s="460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  <c r="Y226" s="442"/>
      <c r="Z226" s="442"/>
    </row>
    <row r="227" ht="19.5" customHeight="1">
      <c r="A227" s="442"/>
      <c r="B227" s="459"/>
      <c r="C227" s="442"/>
      <c r="D227" s="460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  <c r="Y227" s="442"/>
      <c r="Z227" s="442"/>
    </row>
    <row r="228" ht="19.5" customHeight="1">
      <c r="A228" s="442"/>
      <c r="B228" s="459"/>
      <c r="C228" s="442"/>
      <c r="D228" s="460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  <c r="Y228" s="442"/>
      <c r="Z228" s="442"/>
    </row>
    <row r="229" ht="19.5" customHeight="1">
      <c r="A229" s="442"/>
      <c r="B229" s="459"/>
      <c r="C229" s="442"/>
      <c r="D229" s="460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  <c r="Y229" s="442"/>
      <c r="Z229" s="442"/>
    </row>
    <row r="230" ht="19.5" customHeight="1">
      <c r="A230" s="442"/>
      <c r="B230" s="459"/>
      <c r="C230" s="442"/>
      <c r="D230" s="460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  <c r="Y230" s="442"/>
      <c r="Z230" s="442"/>
    </row>
    <row r="231" ht="19.5" customHeight="1">
      <c r="A231" s="442"/>
      <c r="B231" s="459"/>
      <c r="C231" s="442"/>
      <c r="D231" s="460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  <c r="Y231" s="442"/>
      <c r="Z231" s="442"/>
    </row>
    <row r="232" ht="19.5" customHeight="1">
      <c r="A232" s="442"/>
      <c r="B232" s="459"/>
      <c r="C232" s="442"/>
      <c r="D232" s="460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  <c r="Y232" s="442"/>
      <c r="Z232" s="442"/>
    </row>
    <row r="233" ht="19.5" customHeight="1">
      <c r="A233" s="442"/>
      <c r="B233" s="459"/>
      <c r="C233" s="442"/>
      <c r="D233" s="460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  <c r="Y233" s="442"/>
      <c r="Z233" s="442"/>
    </row>
    <row r="234" ht="19.5" customHeight="1">
      <c r="A234" s="442"/>
      <c r="B234" s="459"/>
      <c r="C234" s="442"/>
      <c r="D234" s="460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  <c r="Y234" s="442"/>
      <c r="Z234" s="442"/>
    </row>
    <row r="235" ht="19.5" customHeight="1">
      <c r="A235" s="442"/>
      <c r="B235" s="459"/>
      <c r="C235" s="442"/>
      <c r="D235" s="460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  <c r="Y235" s="442"/>
      <c r="Z235" s="442"/>
    </row>
    <row r="236" ht="19.5" customHeight="1">
      <c r="A236" s="442"/>
      <c r="B236" s="459"/>
      <c r="C236" s="442"/>
      <c r="D236" s="460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  <c r="Y236" s="442"/>
      <c r="Z236" s="442"/>
    </row>
    <row r="237" ht="19.5" customHeight="1">
      <c r="A237" s="442"/>
      <c r="B237" s="459"/>
      <c r="C237" s="442"/>
      <c r="D237" s="460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  <c r="Y237" s="442"/>
      <c r="Z237" s="442"/>
    </row>
    <row r="238" ht="19.5" customHeight="1">
      <c r="A238" s="442"/>
      <c r="B238" s="459"/>
      <c r="C238" s="442"/>
      <c r="D238" s="460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  <c r="Y238" s="442"/>
      <c r="Z238" s="442"/>
    </row>
    <row r="239" ht="19.5" customHeight="1">
      <c r="A239" s="442"/>
      <c r="B239" s="459"/>
      <c r="C239" s="442"/>
      <c r="D239" s="460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  <c r="Y239" s="442"/>
      <c r="Z239" s="442"/>
    </row>
    <row r="240" ht="19.5" customHeight="1">
      <c r="A240" s="442"/>
      <c r="B240" s="459"/>
      <c r="C240" s="442"/>
      <c r="D240" s="460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  <c r="Y240" s="442"/>
      <c r="Z240" s="442"/>
    </row>
    <row r="241" ht="19.5" customHeight="1">
      <c r="A241" s="442"/>
      <c r="B241" s="459"/>
      <c r="C241" s="442"/>
      <c r="D241" s="460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  <c r="Y241" s="442"/>
      <c r="Z241" s="442"/>
    </row>
    <row r="242" ht="19.5" customHeight="1">
      <c r="A242" s="442"/>
      <c r="B242" s="459"/>
      <c r="C242" s="442"/>
      <c r="D242" s="460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  <c r="Y242" s="442"/>
      <c r="Z242" s="442"/>
    </row>
    <row r="243" ht="19.5" customHeight="1">
      <c r="A243" s="442"/>
      <c r="B243" s="459"/>
      <c r="C243" s="442"/>
      <c r="D243" s="460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</row>
    <row r="244" ht="19.5" customHeight="1">
      <c r="A244" s="442"/>
      <c r="B244" s="459"/>
      <c r="C244" s="442"/>
      <c r="D244" s="460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  <c r="Y244" s="442"/>
      <c r="Z244" s="442"/>
    </row>
    <row r="245" ht="19.5" customHeight="1">
      <c r="A245" s="442"/>
      <c r="B245" s="459"/>
      <c r="C245" s="442"/>
      <c r="D245" s="460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  <c r="Y245" s="442"/>
      <c r="Z245" s="442"/>
    </row>
    <row r="246" ht="19.5" customHeight="1">
      <c r="A246" s="442"/>
      <c r="B246" s="459"/>
      <c r="C246" s="442"/>
      <c r="D246" s="460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  <c r="Y246" s="442"/>
      <c r="Z246" s="442"/>
    </row>
    <row r="247" ht="19.5" customHeight="1">
      <c r="A247" s="442"/>
      <c r="B247" s="459"/>
      <c r="C247" s="442"/>
      <c r="D247" s="460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  <c r="Y247" s="442"/>
      <c r="Z247" s="442"/>
    </row>
    <row r="248" ht="19.5" customHeight="1">
      <c r="A248" s="442"/>
      <c r="B248" s="459"/>
      <c r="C248" s="442"/>
      <c r="D248" s="460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  <c r="Y248" s="442"/>
      <c r="Z248" s="442"/>
    </row>
    <row r="249" ht="19.5" customHeight="1">
      <c r="A249" s="442"/>
      <c r="B249" s="459"/>
      <c r="C249" s="442"/>
      <c r="D249" s="460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  <c r="Y249" s="442"/>
      <c r="Z249" s="442"/>
    </row>
    <row r="250" ht="19.5" customHeight="1">
      <c r="A250" s="442"/>
      <c r="B250" s="459"/>
      <c r="C250" s="442"/>
      <c r="D250" s="460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</row>
    <row r="251" ht="19.5" customHeight="1">
      <c r="A251" s="442"/>
      <c r="B251" s="459"/>
      <c r="C251" s="442"/>
      <c r="D251" s="460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  <c r="Y251" s="442"/>
      <c r="Z251" s="442"/>
    </row>
    <row r="252" ht="19.5" customHeight="1">
      <c r="A252" s="442"/>
      <c r="B252" s="459"/>
      <c r="C252" s="442"/>
      <c r="D252" s="460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  <c r="Y252" s="442"/>
      <c r="Z252" s="442"/>
    </row>
    <row r="253" ht="19.5" customHeight="1">
      <c r="A253" s="442"/>
      <c r="B253" s="459"/>
      <c r="C253" s="442"/>
      <c r="D253" s="460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  <c r="Y253" s="442"/>
      <c r="Z253" s="442"/>
    </row>
    <row r="254" ht="19.5" customHeight="1">
      <c r="A254" s="442"/>
      <c r="B254" s="459"/>
      <c r="C254" s="442"/>
      <c r="D254" s="460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  <c r="Y254" s="442"/>
      <c r="Z254" s="442"/>
    </row>
    <row r="255" ht="19.5" customHeight="1">
      <c r="A255" s="442"/>
      <c r="B255" s="459"/>
      <c r="C255" s="442"/>
      <c r="D255" s="460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  <c r="Y255" s="442"/>
      <c r="Z255" s="442"/>
    </row>
    <row r="256" ht="19.5" customHeight="1">
      <c r="A256" s="442"/>
      <c r="B256" s="459"/>
      <c r="C256" s="442"/>
      <c r="D256" s="460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  <c r="Y256" s="442"/>
      <c r="Z256" s="442"/>
    </row>
    <row r="257" ht="19.5" customHeight="1">
      <c r="A257" s="442"/>
      <c r="B257" s="459"/>
      <c r="C257" s="442"/>
      <c r="D257" s="460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  <c r="Y257" s="442"/>
      <c r="Z257" s="442"/>
    </row>
    <row r="258" ht="19.5" customHeight="1">
      <c r="A258" s="442"/>
      <c r="B258" s="459"/>
      <c r="C258" s="442"/>
      <c r="D258" s="460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  <c r="Y258" s="442"/>
      <c r="Z258" s="442"/>
    </row>
    <row r="259" ht="19.5" customHeight="1">
      <c r="A259" s="442"/>
      <c r="B259" s="459"/>
      <c r="C259" s="442"/>
      <c r="D259" s="460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  <c r="Y259" s="442"/>
      <c r="Z259" s="442"/>
    </row>
    <row r="260" ht="19.5" customHeight="1">
      <c r="A260" s="442"/>
      <c r="B260" s="459"/>
      <c r="C260" s="442"/>
      <c r="D260" s="460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  <c r="Y260" s="442"/>
      <c r="Z260" s="442"/>
    </row>
    <row r="261" ht="19.5" customHeight="1">
      <c r="A261" s="442"/>
      <c r="B261" s="459"/>
      <c r="C261" s="442"/>
      <c r="D261" s="460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  <c r="Y261" s="442"/>
      <c r="Z261" s="442"/>
    </row>
    <row r="262" ht="19.5" customHeight="1">
      <c r="A262" s="442"/>
      <c r="B262" s="459"/>
      <c r="C262" s="442"/>
      <c r="D262" s="460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  <c r="Y262" s="442"/>
      <c r="Z262" s="442"/>
    </row>
    <row r="263" ht="19.5" customHeight="1">
      <c r="A263" s="442"/>
      <c r="B263" s="459"/>
      <c r="C263" s="442"/>
      <c r="D263" s="460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  <c r="Y263" s="442"/>
      <c r="Z263" s="442"/>
    </row>
    <row r="264" ht="19.5" customHeight="1">
      <c r="A264" s="442"/>
      <c r="B264" s="459"/>
      <c r="C264" s="442"/>
      <c r="D264" s="460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  <c r="Y264" s="442"/>
      <c r="Z264" s="442"/>
    </row>
    <row r="265" ht="19.5" customHeight="1">
      <c r="A265" s="442"/>
      <c r="B265" s="459"/>
      <c r="C265" s="442"/>
      <c r="D265" s="460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  <c r="Y265" s="442"/>
      <c r="Z265" s="442"/>
    </row>
    <row r="266" ht="19.5" customHeight="1">
      <c r="A266" s="442"/>
      <c r="B266" s="459"/>
      <c r="C266" s="442"/>
      <c r="D266" s="460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  <c r="Y266" s="442"/>
      <c r="Z266" s="442"/>
    </row>
    <row r="267" ht="19.5" customHeight="1">
      <c r="A267" s="442"/>
      <c r="B267" s="459"/>
      <c r="C267" s="442"/>
      <c r="D267" s="460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  <c r="Y267" s="442"/>
      <c r="Z267" s="442"/>
    </row>
    <row r="268" ht="19.5" customHeight="1">
      <c r="A268" s="442"/>
      <c r="B268" s="459"/>
      <c r="C268" s="442"/>
      <c r="D268" s="460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  <c r="Y268" s="442"/>
      <c r="Z268" s="442"/>
    </row>
    <row r="269" ht="19.5" customHeight="1">
      <c r="A269" s="442"/>
      <c r="B269" s="459"/>
      <c r="C269" s="442"/>
      <c r="D269" s="460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  <c r="Y269" s="442"/>
      <c r="Z269" s="442"/>
    </row>
    <row r="270" ht="19.5" customHeight="1">
      <c r="A270" s="442"/>
      <c r="B270" s="459"/>
      <c r="C270" s="442"/>
      <c r="D270" s="460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  <c r="Y270" s="442"/>
      <c r="Z270" s="442"/>
    </row>
    <row r="271" ht="19.5" customHeight="1">
      <c r="A271" s="442"/>
      <c r="B271" s="459"/>
      <c r="C271" s="442"/>
      <c r="D271" s="460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  <c r="Y271" s="442"/>
      <c r="Z271" s="442"/>
    </row>
    <row r="272" ht="19.5" customHeight="1">
      <c r="A272" s="442"/>
      <c r="B272" s="459"/>
      <c r="C272" s="442"/>
      <c r="D272" s="460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  <c r="Y272" s="442"/>
      <c r="Z272" s="442"/>
    </row>
    <row r="273" ht="19.5" customHeight="1">
      <c r="A273" s="442"/>
      <c r="B273" s="459"/>
      <c r="C273" s="442"/>
      <c r="D273" s="460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  <c r="Y273" s="442"/>
      <c r="Z273" s="442"/>
    </row>
    <row r="274" ht="19.5" customHeight="1">
      <c r="A274" s="442"/>
      <c r="B274" s="459"/>
      <c r="C274" s="442"/>
      <c r="D274" s="460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  <c r="Y274" s="442"/>
      <c r="Z274" s="442"/>
    </row>
    <row r="275" ht="19.5" customHeight="1">
      <c r="A275" s="442"/>
      <c r="B275" s="459"/>
      <c r="C275" s="442"/>
      <c r="D275" s="460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  <c r="Y275" s="442"/>
      <c r="Z275" s="442"/>
    </row>
    <row r="276" ht="19.5" customHeight="1">
      <c r="A276" s="442"/>
      <c r="B276" s="459"/>
      <c r="C276" s="442"/>
      <c r="D276" s="460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  <c r="Y276" s="442"/>
      <c r="Z276" s="442"/>
    </row>
    <row r="277" ht="19.5" customHeight="1">
      <c r="A277" s="442"/>
      <c r="B277" s="459"/>
      <c r="C277" s="442"/>
      <c r="D277" s="460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  <c r="Y277" s="442"/>
      <c r="Z277" s="442"/>
    </row>
    <row r="278" ht="19.5" customHeight="1">
      <c r="A278" s="442"/>
      <c r="B278" s="459"/>
      <c r="C278" s="442"/>
      <c r="D278" s="460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  <c r="Y278" s="442"/>
      <c r="Z278" s="442"/>
    </row>
    <row r="279" ht="19.5" customHeight="1">
      <c r="A279" s="442"/>
      <c r="B279" s="459"/>
      <c r="C279" s="442"/>
      <c r="D279" s="460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  <c r="Y279" s="442"/>
      <c r="Z279" s="442"/>
    </row>
    <row r="280" ht="19.5" customHeight="1">
      <c r="A280" s="442"/>
      <c r="B280" s="459"/>
      <c r="C280" s="442"/>
      <c r="D280" s="460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  <c r="Y280" s="442"/>
      <c r="Z280" s="442"/>
    </row>
    <row r="281" ht="19.5" customHeight="1">
      <c r="A281" s="442"/>
      <c r="B281" s="459"/>
      <c r="C281" s="442"/>
      <c r="D281" s="460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  <c r="Y281" s="442"/>
      <c r="Z281" s="442"/>
    </row>
    <row r="282" ht="19.5" customHeight="1">
      <c r="A282" s="442"/>
      <c r="B282" s="459"/>
      <c r="C282" s="442"/>
      <c r="D282" s="460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  <c r="Y282" s="442"/>
      <c r="Z282" s="442"/>
    </row>
    <row r="283" ht="19.5" customHeight="1">
      <c r="A283" s="442"/>
      <c r="B283" s="459"/>
      <c r="C283" s="442"/>
      <c r="D283" s="460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  <c r="Y283" s="442"/>
      <c r="Z283" s="442"/>
    </row>
    <row r="284" ht="19.5" customHeight="1">
      <c r="A284" s="442"/>
      <c r="B284" s="459"/>
      <c r="C284" s="442"/>
      <c r="D284" s="460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  <c r="Y284" s="442"/>
      <c r="Z284" s="442"/>
    </row>
    <row r="285" ht="19.5" customHeight="1">
      <c r="A285" s="442"/>
      <c r="B285" s="459"/>
      <c r="C285" s="442"/>
      <c r="D285" s="460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  <c r="Y285" s="442"/>
      <c r="Z285" s="442"/>
    </row>
    <row r="286" ht="19.5" customHeight="1">
      <c r="A286" s="442"/>
      <c r="B286" s="459"/>
      <c r="C286" s="442"/>
      <c r="D286" s="460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</row>
    <row r="287" ht="19.5" customHeight="1">
      <c r="A287" s="442"/>
      <c r="B287" s="459"/>
      <c r="C287" s="442"/>
      <c r="D287" s="460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  <c r="Y287" s="442"/>
      <c r="Z287" s="442"/>
    </row>
    <row r="288" ht="19.5" customHeight="1">
      <c r="A288" s="442"/>
      <c r="B288" s="459"/>
      <c r="C288" s="442"/>
      <c r="D288" s="460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  <c r="Y288" s="442"/>
      <c r="Z288" s="442"/>
    </row>
    <row r="289" ht="19.5" customHeight="1">
      <c r="A289" s="442"/>
      <c r="B289" s="459"/>
      <c r="C289" s="442"/>
      <c r="D289" s="460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  <c r="Y289" s="442"/>
      <c r="Z289" s="442"/>
    </row>
    <row r="290" ht="19.5" customHeight="1">
      <c r="A290" s="442"/>
      <c r="B290" s="459"/>
      <c r="C290" s="442"/>
      <c r="D290" s="460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  <c r="Y290" s="442"/>
      <c r="Z290" s="442"/>
    </row>
    <row r="291" ht="19.5" customHeight="1">
      <c r="A291" s="442"/>
      <c r="B291" s="459"/>
      <c r="C291" s="442"/>
      <c r="D291" s="460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  <c r="Y291" s="442"/>
      <c r="Z291" s="442"/>
    </row>
    <row r="292" ht="19.5" customHeight="1">
      <c r="A292" s="442"/>
      <c r="B292" s="459"/>
      <c r="C292" s="442"/>
      <c r="D292" s="460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  <c r="Y292" s="442"/>
      <c r="Z292" s="442"/>
    </row>
    <row r="293" ht="19.5" customHeight="1">
      <c r="A293" s="442"/>
      <c r="B293" s="459"/>
      <c r="C293" s="442"/>
      <c r="D293" s="460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  <c r="Y293" s="442"/>
      <c r="Z293" s="442"/>
    </row>
    <row r="294" ht="19.5" customHeight="1">
      <c r="A294" s="442"/>
      <c r="B294" s="459"/>
      <c r="C294" s="442"/>
      <c r="D294" s="460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  <c r="Y294" s="442"/>
      <c r="Z294" s="442"/>
    </row>
    <row r="295" ht="19.5" customHeight="1">
      <c r="A295" s="442"/>
      <c r="B295" s="459"/>
      <c r="C295" s="442"/>
      <c r="D295" s="460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  <c r="Y295" s="442"/>
      <c r="Z295" s="442"/>
    </row>
    <row r="296" ht="19.5" customHeight="1">
      <c r="A296" s="442"/>
      <c r="B296" s="459"/>
      <c r="C296" s="442"/>
      <c r="D296" s="460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  <c r="Y296" s="442"/>
      <c r="Z296" s="442"/>
    </row>
    <row r="297" ht="19.5" customHeight="1">
      <c r="A297" s="442"/>
      <c r="B297" s="459"/>
      <c r="C297" s="442"/>
      <c r="D297" s="460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  <c r="Y297" s="442"/>
      <c r="Z297" s="442"/>
    </row>
    <row r="298" ht="19.5" customHeight="1">
      <c r="A298" s="442"/>
      <c r="B298" s="459"/>
      <c r="C298" s="442"/>
      <c r="D298" s="460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  <c r="Y298" s="442"/>
      <c r="Z298" s="442"/>
    </row>
    <row r="299" ht="19.5" customHeight="1">
      <c r="A299" s="442"/>
      <c r="B299" s="459"/>
      <c r="C299" s="442"/>
      <c r="D299" s="460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  <c r="Y299" s="442"/>
      <c r="Z299" s="442"/>
    </row>
    <row r="300" ht="19.5" customHeight="1">
      <c r="A300" s="442"/>
      <c r="B300" s="459"/>
      <c r="C300" s="442"/>
      <c r="D300" s="460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  <c r="Y300" s="442"/>
      <c r="Z300" s="442"/>
    </row>
    <row r="301" ht="19.5" customHeight="1">
      <c r="A301" s="442"/>
      <c r="B301" s="459"/>
      <c r="C301" s="442"/>
      <c r="D301" s="460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  <c r="Y301" s="442"/>
      <c r="Z301" s="442"/>
    </row>
    <row r="302" ht="19.5" customHeight="1">
      <c r="A302" s="442"/>
      <c r="B302" s="459"/>
      <c r="C302" s="442"/>
      <c r="D302" s="460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  <c r="Y302" s="442"/>
      <c r="Z302" s="442"/>
    </row>
    <row r="303" ht="19.5" customHeight="1">
      <c r="A303" s="442"/>
      <c r="B303" s="459"/>
      <c r="C303" s="442"/>
      <c r="D303" s="460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  <c r="Y303" s="442"/>
      <c r="Z303" s="442"/>
    </row>
    <row r="304" ht="19.5" customHeight="1">
      <c r="A304" s="442"/>
      <c r="B304" s="459"/>
      <c r="C304" s="442"/>
      <c r="D304" s="460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  <c r="Y304" s="442"/>
      <c r="Z304" s="442"/>
    </row>
    <row r="305" ht="19.5" customHeight="1">
      <c r="A305" s="442"/>
      <c r="B305" s="459"/>
      <c r="C305" s="442"/>
      <c r="D305" s="460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  <c r="Y305" s="442"/>
      <c r="Z305" s="442"/>
    </row>
    <row r="306" ht="19.5" customHeight="1">
      <c r="A306" s="442"/>
      <c r="B306" s="459"/>
      <c r="C306" s="442"/>
      <c r="D306" s="460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  <c r="Y306" s="442"/>
      <c r="Z306" s="442"/>
    </row>
    <row r="307" ht="19.5" customHeight="1">
      <c r="A307" s="442"/>
      <c r="B307" s="459"/>
      <c r="C307" s="442"/>
      <c r="D307" s="460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  <c r="Y307" s="442"/>
      <c r="Z307" s="442"/>
    </row>
    <row r="308" ht="19.5" customHeight="1">
      <c r="A308" s="442"/>
      <c r="B308" s="459"/>
      <c r="C308" s="442"/>
      <c r="D308" s="460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</row>
    <row r="309" ht="19.5" customHeight="1">
      <c r="A309" s="442"/>
      <c r="B309" s="459"/>
      <c r="C309" s="442"/>
      <c r="D309" s="460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  <c r="Y309" s="442"/>
      <c r="Z309" s="442"/>
    </row>
    <row r="310" ht="19.5" customHeight="1">
      <c r="A310" s="442"/>
      <c r="B310" s="459"/>
      <c r="C310" s="442"/>
      <c r="D310" s="460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  <c r="Y310" s="442"/>
      <c r="Z310" s="442"/>
    </row>
    <row r="311" ht="19.5" customHeight="1">
      <c r="A311" s="442"/>
      <c r="B311" s="459"/>
      <c r="C311" s="442"/>
      <c r="D311" s="460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  <c r="Y311" s="442"/>
      <c r="Z311" s="442"/>
    </row>
    <row r="312" ht="19.5" customHeight="1">
      <c r="A312" s="442"/>
      <c r="B312" s="459"/>
      <c r="C312" s="442"/>
      <c r="D312" s="460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  <c r="Y312" s="442"/>
      <c r="Z312" s="442"/>
    </row>
    <row r="313" ht="19.5" customHeight="1">
      <c r="A313" s="442"/>
      <c r="B313" s="459"/>
      <c r="C313" s="442"/>
      <c r="D313" s="460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  <c r="Y313" s="442"/>
      <c r="Z313" s="442"/>
    </row>
    <row r="314" ht="19.5" customHeight="1">
      <c r="A314" s="442"/>
      <c r="B314" s="459"/>
      <c r="C314" s="442"/>
      <c r="D314" s="460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  <c r="Y314" s="442"/>
      <c r="Z314" s="442"/>
    </row>
    <row r="315" ht="19.5" customHeight="1">
      <c r="A315" s="442"/>
      <c r="B315" s="459"/>
      <c r="C315" s="442"/>
      <c r="D315" s="460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  <c r="Y315" s="442"/>
      <c r="Z315" s="442"/>
    </row>
    <row r="316" ht="19.5" customHeight="1">
      <c r="A316" s="442"/>
      <c r="B316" s="459"/>
      <c r="C316" s="442"/>
      <c r="D316" s="460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  <c r="Y316" s="442"/>
      <c r="Z316" s="442"/>
    </row>
    <row r="317" ht="19.5" customHeight="1">
      <c r="A317" s="442"/>
      <c r="B317" s="459"/>
      <c r="C317" s="442"/>
      <c r="D317" s="460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  <c r="Y317" s="442"/>
      <c r="Z317" s="442"/>
    </row>
    <row r="318" ht="19.5" customHeight="1">
      <c r="A318" s="442"/>
      <c r="B318" s="459"/>
      <c r="C318" s="442"/>
      <c r="D318" s="460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  <c r="Y318" s="442"/>
      <c r="Z318" s="442"/>
    </row>
    <row r="319" ht="19.5" customHeight="1">
      <c r="A319" s="442"/>
      <c r="B319" s="459"/>
      <c r="C319" s="442"/>
      <c r="D319" s="460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  <c r="Y319" s="442"/>
      <c r="Z319" s="442"/>
    </row>
    <row r="320" ht="19.5" customHeight="1">
      <c r="A320" s="442"/>
      <c r="B320" s="459"/>
      <c r="C320" s="442"/>
      <c r="D320" s="460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  <c r="Y320" s="442"/>
      <c r="Z320" s="442"/>
    </row>
    <row r="321" ht="19.5" customHeight="1">
      <c r="A321" s="442"/>
      <c r="B321" s="459"/>
      <c r="C321" s="442"/>
      <c r="D321" s="460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  <c r="Y321" s="442"/>
      <c r="Z321" s="442"/>
    </row>
    <row r="322" ht="19.5" customHeight="1">
      <c r="A322" s="442"/>
      <c r="B322" s="459"/>
      <c r="C322" s="442"/>
      <c r="D322" s="460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  <c r="Y322" s="442"/>
      <c r="Z322" s="442"/>
    </row>
    <row r="323" ht="19.5" customHeight="1">
      <c r="A323" s="442"/>
      <c r="B323" s="459"/>
      <c r="C323" s="442"/>
      <c r="D323" s="460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  <c r="Y323" s="442"/>
      <c r="Z323" s="442"/>
    </row>
    <row r="324" ht="19.5" customHeight="1">
      <c r="A324" s="442"/>
      <c r="B324" s="459"/>
      <c r="C324" s="442"/>
      <c r="D324" s="460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  <c r="Y324" s="442"/>
      <c r="Z324" s="442"/>
    </row>
    <row r="325" ht="19.5" customHeight="1">
      <c r="A325" s="442"/>
      <c r="B325" s="459"/>
      <c r="C325" s="442"/>
      <c r="D325" s="460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  <c r="Y325" s="442"/>
      <c r="Z325" s="442"/>
    </row>
    <row r="326" ht="19.5" customHeight="1">
      <c r="A326" s="442"/>
      <c r="B326" s="459"/>
      <c r="C326" s="442"/>
      <c r="D326" s="460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  <c r="Y326" s="442"/>
      <c r="Z326" s="442"/>
    </row>
    <row r="327" ht="19.5" customHeight="1">
      <c r="A327" s="442"/>
      <c r="B327" s="459"/>
      <c r="C327" s="442"/>
      <c r="D327" s="460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  <c r="Y327" s="442"/>
      <c r="Z327" s="442"/>
    </row>
    <row r="328" ht="19.5" customHeight="1">
      <c r="A328" s="442"/>
      <c r="B328" s="459"/>
      <c r="C328" s="442"/>
      <c r="D328" s="460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  <c r="Y328" s="442"/>
      <c r="Z328" s="442"/>
    </row>
    <row r="329" ht="19.5" customHeight="1">
      <c r="A329" s="442"/>
      <c r="B329" s="459"/>
      <c r="C329" s="442"/>
      <c r="D329" s="460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  <c r="Y329" s="442"/>
      <c r="Z329" s="442"/>
    </row>
    <row r="330" ht="19.5" customHeight="1">
      <c r="A330" s="442"/>
      <c r="B330" s="459"/>
      <c r="C330" s="442"/>
      <c r="D330" s="460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  <c r="Y330" s="442"/>
      <c r="Z330" s="442"/>
    </row>
    <row r="331" ht="19.5" customHeight="1">
      <c r="A331" s="442"/>
      <c r="B331" s="459"/>
      <c r="C331" s="442"/>
      <c r="D331" s="460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  <c r="Y331" s="442"/>
      <c r="Z331" s="442"/>
    </row>
    <row r="332" ht="19.5" customHeight="1">
      <c r="A332" s="442"/>
      <c r="B332" s="459"/>
      <c r="C332" s="442"/>
      <c r="D332" s="460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  <c r="Y332" s="442"/>
      <c r="Z332" s="442"/>
    </row>
    <row r="333" ht="19.5" customHeight="1">
      <c r="A333" s="442"/>
      <c r="B333" s="459"/>
      <c r="C333" s="442"/>
      <c r="D333" s="460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  <c r="Y333" s="442"/>
      <c r="Z333" s="442"/>
    </row>
    <row r="334" ht="19.5" customHeight="1">
      <c r="A334" s="442"/>
      <c r="B334" s="459"/>
      <c r="C334" s="442"/>
      <c r="D334" s="460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  <c r="Y334" s="442"/>
      <c r="Z334" s="442"/>
    </row>
    <row r="335" ht="19.5" customHeight="1">
      <c r="A335" s="442"/>
      <c r="B335" s="459"/>
      <c r="C335" s="442"/>
      <c r="D335" s="460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  <c r="Y335" s="442"/>
      <c r="Z335" s="442"/>
    </row>
    <row r="336" ht="19.5" customHeight="1">
      <c r="A336" s="442"/>
      <c r="B336" s="459"/>
      <c r="C336" s="442"/>
      <c r="D336" s="460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  <c r="Y336" s="442"/>
      <c r="Z336" s="442"/>
    </row>
    <row r="337" ht="19.5" customHeight="1">
      <c r="A337" s="442"/>
      <c r="B337" s="459"/>
      <c r="C337" s="442"/>
      <c r="D337" s="460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  <c r="Y337" s="442"/>
      <c r="Z337" s="442"/>
    </row>
    <row r="338" ht="19.5" customHeight="1">
      <c r="A338" s="442"/>
      <c r="B338" s="459"/>
      <c r="C338" s="442"/>
      <c r="D338" s="460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  <c r="Y338" s="442"/>
      <c r="Z338" s="442"/>
    </row>
    <row r="339" ht="19.5" customHeight="1">
      <c r="A339" s="442"/>
      <c r="B339" s="459"/>
      <c r="C339" s="442"/>
      <c r="D339" s="460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  <c r="Y339" s="442"/>
      <c r="Z339" s="442"/>
    </row>
    <row r="340" ht="19.5" customHeight="1">
      <c r="A340" s="442"/>
      <c r="B340" s="459"/>
      <c r="C340" s="442"/>
      <c r="D340" s="460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  <c r="Y340" s="442"/>
      <c r="Z340" s="442"/>
    </row>
    <row r="341" ht="19.5" customHeight="1">
      <c r="A341" s="442"/>
      <c r="B341" s="459"/>
      <c r="C341" s="442"/>
      <c r="D341" s="460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  <c r="Y341" s="442"/>
      <c r="Z341" s="442"/>
    </row>
    <row r="342" ht="19.5" customHeight="1">
      <c r="A342" s="442"/>
      <c r="B342" s="459"/>
      <c r="C342" s="442"/>
      <c r="D342" s="460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  <c r="Y342" s="442"/>
      <c r="Z342" s="442"/>
    </row>
    <row r="343" ht="19.5" customHeight="1">
      <c r="A343" s="442"/>
      <c r="B343" s="459"/>
      <c r="C343" s="442"/>
      <c r="D343" s="460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  <c r="Y343" s="442"/>
      <c r="Z343" s="442"/>
    </row>
    <row r="344" ht="19.5" customHeight="1">
      <c r="A344" s="442"/>
      <c r="B344" s="459"/>
      <c r="C344" s="442"/>
      <c r="D344" s="460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  <c r="Y344" s="442"/>
      <c r="Z344" s="442"/>
    </row>
    <row r="345" ht="19.5" customHeight="1">
      <c r="A345" s="442"/>
      <c r="B345" s="459"/>
      <c r="C345" s="442"/>
      <c r="D345" s="460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  <c r="Y345" s="442"/>
      <c r="Z345" s="442"/>
    </row>
    <row r="346" ht="19.5" customHeight="1">
      <c r="A346" s="442"/>
      <c r="B346" s="459"/>
      <c r="C346" s="442"/>
      <c r="D346" s="460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  <c r="Y346" s="442"/>
      <c r="Z346" s="442"/>
    </row>
    <row r="347" ht="19.5" customHeight="1">
      <c r="A347" s="442"/>
      <c r="B347" s="459"/>
      <c r="C347" s="442"/>
      <c r="D347" s="460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  <c r="Y347" s="442"/>
      <c r="Z347" s="442"/>
    </row>
    <row r="348" ht="19.5" customHeight="1">
      <c r="A348" s="442"/>
      <c r="B348" s="459"/>
      <c r="C348" s="442"/>
      <c r="D348" s="460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  <c r="Y348" s="442"/>
      <c r="Z348" s="442"/>
    </row>
    <row r="349" ht="19.5" customHeight="1">
      <c r="A349" s="442"/>
      <c r="B349" s="459"/>
      <c r="C349" s="442"/>
      <c r="D349" s="460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  <c r="Y349" s="442"/>
      <c r="Z349" s="442"/>
    </row>
    <row r="350" ht="19.5" customHeight="1">
      <c r="A350" s="442"/>
      <c r="B350" s="459"/>
      <c r="C350" s="442"/>
      <c r="D350" s="460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  <c r="Y350" s="442"/>
      <c r="Z350" s="442"/>
    </row>
    <row r="351" ht="19.5" customHeight="1">
      <c r="A351" s="442"/>
      <c r="B351" s="459"/>
      <c r="C351" s="442"/>
      <c r="D351" s="460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  <c r="Y351" s="442"/>
      <c r="Z351" s="442"/>
    </row>
    <row r="352" ht="19.5" customHeight="1">
      <c r="A352" s="442"/>
      <c r="B352" s="459"/>
      <c r="C352" s="442"/>
      <c r="D352" s="460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  <c r="Y352" s="442"/>
      <c r="Z352" s="442"/>
    </row>
    <row r="353" ht="19.5" customHeight="1">
      <c r="A353" s="442"/>
      <c r="B353" s="459"/>
      <c r="C353" s="442"/>
      <c r="D353" s="460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  <c r="Y353" s="442"/>
      <c r="Z353" s="442"/>
    </row>
    <row r="354" ht="19.5" customHeight="1">
      <c r="A354" s="442"/>
      <c r="B354" s="459"/>
      <c r="C354" s="442"/>
      <c r="D354" s="460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  <c r="Y354" s="442"/>
      <c r="Z354" s="442"/>
    </row>
    <row r="355" ht="19.5" customHeight="1">
      <c r="A355" s="442"/>
      <c r="B355" s="459"/>
      <c r="C355" s="442"/>
      <c r="D355" s="460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  <c r="Y355" s="442"/>
      <c r="Z355" s="442"/>
    </row>
    <row r="356" ht="19.5" customHeight="1">
      <c r="A356" s="442"/>
      <c r="B356" s="459"/>
      <c r="C356" s="442"/>
      <c r="D356" s="460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  <c r="Y356" s="442"/>
      <c r="Z356" s="442"/>
    </row>
    <row r="357" ht="19.5" customHeight="1">
      <c r="A357" s="442"/>
      <c r="B357" s="459"/>
      <c r="C357" s="442"/>
      <c r="D357" s="460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  <c r="Y357" s="442"/>
      <c r="Z357" s="442"/>
    </row>
    <row r="358" ht="19.5" customHeight="1">
      <c r="A358" s="442"/>
      <c r="B358" s="459"/>
      <c r="C358" s="442"/>
      <c r="D358" s="460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  <c r="Y358" s="442"/>
      <c r="Z358" s="442"/>
    </row>
    <row r="359" ht="19.5" customHeight="1">
      <c r="A359" s="442"/>
      <c r="B359" s="459"/>
      <c r="C359" s="442"/>
      <c r="D359" s="460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  <c r="Y359" s="442"/>
      <c r="Z359" s="442"/>
    </row>
    <row r="360" ht="19.5" customHeight="1">
      <c r="A360" s="442"/>
      <c r="B360" s="459"/>
      <c r="C360" s="442"/>
      <c r="D360" s="460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  <c r="Y360" s="442"/>
      <c r="Z360" s="442"/>
    </row>
    <row r="361" ht="19.5" customHeight="1">
      <c r="A361" s="442"/>
      <c r="B361" s="459"/>
      <c r="C361" s="442"/>
      <c r="D361" s="460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  <c r="Y361" s="442"/>
      <c r="Z361" s="442"/>
    </row>
    <row r="362" ht="19.5" customHeight="1">
      <c r="A362" s="442"/>
      <c r="B362" s="459"/>
      <c r="C362" s="442"/>
      <c r="D362" s="460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  <c r="Y362" s="442"/>
      <c r="Z362" s="442"/>
    </row>
    <row r="363" ht="19.5" customHeight="1">
      <c r="A363" s="442"/>
      <c r="B363" s="459"/>
      <c r="C363" s="442"/>
      <c r="D363" s="460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  <c r="Y363" s="442"/>
      <c r="Z363" s="442"/>
    </row>
    <row r="364" ht="19.5" customHeight="1">
      <c r="A364" s="442"/>
      <c r="B364" s="459"/>
      <c r="C364" s="442"/>
      <c r="D364" s="460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  <c r="Y364" s="442"/>
      <c r="Z364" s="442"/>
    </row>
    <row r="365" ht="19.5" customHeight="1">
      <c r="A365" s="442"/>
      <c r="B365" s="459"/>
      <c r="C365" s="442"/>
      <c r="D365" s="460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  <c r="Y365" s="442"/>
      <c r="Z365" s="442"/>
    </row>
    <row r="366" ht="19.5" customHeight="1">
      <c r="A366" s="442"/>
      <c r="B366" s="459"/>
      <c r="C366" s="442"/>
      <c r="D366" s="460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  <c r="Y366" s="442"/>
      <c r="Z366" s="442"/>
    </row>
    <row r="367" ht="19.5" customHeight="1">
      <c r="A367" s="442"/>
      <c r="B367" s="459"/>
      <c r="C367" s="442"/>
      <c r="D367" s="460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  <c r="Y367" s="442"/>
      <c r="Z367" s="442"/>
    </row>
    <row r="368" ht="19.5" customHeight="1">
      <c r="A368" s="442"/>
      <c r="B368" s="459"/>
      <c r="C368" s="442"/>
      <c r="D368" s="460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  <c r="Y368" s="442"/>
      <c r="Z368" s="442"/>
    </row>
    <row r="369" ht="19.5" customHeight="1">
      <c r="A369" s="442"/>
      <c r="B369" s="459"/>
      <c r="C369" s="442"/>
      <c r="D369" s="460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  <c r="Y369" s="442"/>
      <c r="Z369" s="442"/>
    </row>
    <row r="370" ht="19.5" customHeight="1">
      <c r="A370" s="442"/>
      <c r="B370" s="459"/>
      <c r="C370" s="442"/>
      <c r="D370" s="460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  <c r="Y370" s="442"/>
      <c r="Z370" s="442"/>
    </row>
    <row r="371" ht="19.5" customHeight="1">
      <c r="A371" s="442"/>
      <c r="B371" s="459"/>
      <c r="C371" s="442"/>
      <c r="D371" s="460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  <c r="Y371" s="442"/>
      <c r="Z371" s="442"/>
    </row>
    <row r="372" ht="19.5" customHeight="1">
      <c r="A372" s="442"/>
      <c r="B372" s="459"/>
      <c r="C372" s="442"/>
      <c r="D372" s="460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  <c r="Y372" s="442"/>
      <c r="Z372" s="442"/>
    </row>
    <row r="373" ht="19.5" customHeight="1">
      <c r="A373" s="442"/>
      <c r="B373" s="459"/>
      <c r="C373" s="442"/>
      <c r="D373" s="460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  <c r="Y373" s="442"/>
      <c r="Z373" s="442"/>
    </row>
    <row r="374" ht="19.5" customHeight="1">
      <c r="A374" s="442"/>
      <c r="B374" s="459"/>
      <c r="C374" s="442"/>
      <c r="D374" s="460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  <c r="Y374" s="442"/>
      <c r="Z374" s="442"/>
    </row>
    <row r="375" ht="19.5" customHeight="1">
      <c r="A375" s="442"/>
      <c r="B375" s="459"/>
      <c r="C375" s="442"/>
      <c r="D375" s="460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  <c r="Y375" s="442"/>
      <c r="Z375" s="442"/>
    </row>
    <row r="376" ht="19.5" customHeight="1">
      <c r="A376" s="442"/>
      <c r="B376" s="459"/>
      <c r="C376" s="442"/>
      <c r="D376" s="460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  <c r="Y376" s="442"/>
      <c r="Z376" s="442"/>
    </row>
    <row r="377" ht="19.5" customHeight="1">
      <c r="A377" s="442"/>
      <c r="B377" s="459"/>
      <c r="C377" s="442"/>
      <c r="D377" s="460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  <c r="Y377" s="442"/>
      <c r="Z377" s="442"/>
    </row>
    <row r="378" ht="19.5" customHeight="1">
      <c r="A378" s="442"/>
      <c r="B378" s="459"/>
      <c r="C378" s="442"/>
      <c r="D378" s="460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  <c r="Y378" s="442"/>
      <c r="Z378" s="442"/>
    </row>
    <row r="379" ht="19.5" customHeight="1">
      <c r="A379" s="442"/>
      <c r="B379" s="459"/>
      <c r="C379" s="442"/>
      <c r="D379" s="460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  <c r="Y379" s="442"/>
      <c r="Z379" s="442"/>
    </row>
    <row r="380" ht="19.5" customHeight="1">
      <c r="A380" s="442"/>
      <c r="B380" s="459"/>
      <c r="C380" s="442"/>
      <c r="D380" s="460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  <c r="Y380" s="442"/>
      <c r="Z380" s="442"/>
    </row>
    <row r="381" ht="19.5" customHeight="1">
      <c r="A381" s="442"/>
      <c r="B381" s="459"/>
      <c r="C381" s="442"/>
      <c r="D381" s="460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  <c r="Y381" s="442"/>
      <c r="Z381" s="442"/>
    </row>
    <row r="382" ht="19.5" customHeight="1">
      <c r="A382" s="442"/>
      <c r="B382" s="459"/>
      <c r="C382" s="442"/>
      <c r="D382" s="460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  <c r="Y382" s="442"/>
      <c r="Z382" s="442"/>
    </row>
    <row r="383" ht="19.5" customHeight="1">
      <c r="A383" s="442"/>
      <c r="B383" s="459"/>
      <c r="C383" s="442"/>
      <c r="D383" s="460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  <c r="Y383" s="442"/>
      <c r="Z383" s="442"/>
    </row>
    <row r="384" ht="19.5" customHeight="1">
      <c r="A384" s="442"/>
      <c r="B384" s="459"/>
      <c r="C384" s="442"/>
      <c r="D384" s="460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  <c r="Y384" s="442"/>
      <c r="Z384" s="442"/>
    </row>
    <row r="385" ht="19.5" customHeight="1">
      <c r="A385" s="442"/>
      <c r="B385" s="459"/>
      <c r="C385" s="442"/>
      <c r="D385" s="460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  <c r="Y385" s="442"/>
      <c r="Z385" s="442"/>
    </row>
    <row r="386" ht="19.5" customHeight="1">
      <c r="A386" s="442"/>
      <c r="B386" s="459"/>
      <c r="C386" s="442"/>
      <c r="D386" s="460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  <c r="Y386" s="442"/>
      <c r="Z386" s="442"/>
    </row>
    <row r="387" ht="19.5" customHeight="1">
      <c r="A387" s="442"/>
      <c r="B387" s="459"/>
      <c r="C387" s="442"/>
      <c r="D387" s="460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  <c r="Y387" s="442"/>
      <c r="Z387" s="442"/>
    </row>
    <row r="388" ht="19.5" customHeight="1">
      <c r="A388" s="442"/>
      <c r="B388" s="459"/>
      <c r="C388" s="442"/>
      <c r="D388" s="460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  <c r="Y388" s="442"/>
      <c r="Z388" s="442"/>
    </row>
    <row r="389" ht="19.5" customHeight="1">
      <c r="A389" s="442"/>
      <c r="B389" s="459"/>
      <c r="C389" s="442"/>
      <c r="D389" s="460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  <c r="Y389" s="442"/>
      <c r="Z389" s="442"/>
    </row>
    <row r="390" ht="19.5" customHeight="1">
      <c r="A390" s="442"/>
      <c r="B390" s="459"/>
      <c r="C390" s="442"/>
      <c r="D390" s="460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  <c r="Y390" s="442"/>
      <c r="Z390" s="442"/>
    </row>
    <row r="391" ht="19.5" customHeight="1">
      <c r="A391" s="442"/>
      <c r="B391" s="459"/>
      <c r="C391" s="442"/>
      <c r="D391" s="460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  <c r="Y391" s="442"/>
      <c r="Z391" s="442"/>
    </row>
    <row r="392" ht="19.5" customHeight="1">
      <c r="A392" s="442"/>
      <c r="B392" s="459"/>
      <c r="C392" s="442"/>
      <c r="D392" s="460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  <c r="Y392" s="442"/>
      <c r="Z392" s="442"/>
    </row>
    <row r="393" ht="19.5" customHeight="1">
      <c r="A393" s="442"/>
      <c r="B393" s="459"/>
      <c r="C393" s="442"/>
      <c r="D393" s="460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  <c r="Y393" s="442"/>
      <c r="Z393" s="442"/>
    </row>
    <row r="394" ht="19.5" customHeight="1">
      <c r="A394" s="442"/>
      <c r="B394" s="459"/>
      <c r="C394" s="442"/>
      <c r="D394" s="460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  <c r="Y394" s="442"/>
      <c r="Z394" s="442"/>
    </row>
    <row r="395" ht="19.5" customHeight="1">
      <c r="A395" s="442"/>
      <c r="B395" s="459"/>
      <c r="C395" s="442"/>
      <c r="D395" s="460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  <c r="Y395" s="442"/>
      <c r="Z395" s="442"/>
    </row>
    <row r="396" ht="19.5" customHeight="1">
      <c r="A396" s="442"/>
      <c r="B396" s="459"/>
      <c r="C396" s="442"/>
      <c r="D396" s="460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  <c r="Y396" s="442"/>
      <c r="Z396" s="442"/>
    </row>
    <row r="397" ht="19.5" customHeight="1">
      <c r="A397" s="442"/>
      <c r="B397" s="459"/>
      <c r="C397" s="442"/>
      <c r="D397" s="460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  <c r="Y397" s="442"/>
      <c r="Z397" s="442"/>
    </row>
    <row r="398" ht="19.5" customHeight="1">
      <c r="A398" s="442"/>
      <c r="B398" s="459"/>
      <c r="C398" s="442"/>
      <c r="D398" s="460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  <c r="Y398" s="442"/>
      <c r="Z398" s="442"/>
    </row>
    <row r="399" ht="19.5" customHeight="1">
      <c r="A399" s="442"/>
      <c r="B399" s="459"/>
      <c r="C399" s="442"/>
      <c r="D399" s="460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  <c r="Y399" s="442"/>
      <c r="Z399" s="442"/>
    </row>
    <row r="400" ht="19.5" customHeight="1">
      <c r="A400" s="442"/>
      <c r="B400" s="459"/>
      <c r="C400" s="442"/>
      <c r="D400" s="460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  <c r="Y400" s="442"/>
      <c r="Z400" s="442"/>
    </row>
    <row r="401" ht="19.5" customHeight="1">
      <c r="A401" s="442"/>
      <c r="B401" s="459"/>
      <c r="C401" s="442"/>
      <c r="D401" s="460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  <c r="Y401" s="442"/>
      <c r="Z401" s="442"/>
    </row>
    <row r="402" ht="19.5" customHeight="1">
      <c r="A402" s="442"/>
      <c r="B402" s="459"/>
      <c r="C402" s="442"/>
      <c r="D402" s="460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  <c r="Y402" s="442"/>
      <c r="Z402" s="442"/>
    </row>
    <row r="403" ht="19.5" customHeight="1">
      <c r="A403" s="442"/>
      <c r="B403" s="459"/>
      <c r="C403" s="442"/>
      <c r="D403" s="460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  <c r="Y403" s="442"/>
      <c r="Z403" s="442"/>
    </row>
    <row r="404" ht="19.5" customHeight="1">
      <c r="A404" s="442"/>
      <c r="B404" s="459"/>
      <c r="C404" s="442"/>
      <c r="D404" s="460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  <c r="Y404" s="442"/>
      <c r="Z404" s="442"/>
    </row>
    <row r="405" ht="19.5" customHeight="1">
      <c r="A405" s="442"/>
      <c r="B405" s="459"/>
      <c r="C405" s="442"/>
      <c r="D405" s="460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  <c r="Y405" s="442"/>
      <c r="Z405" s="442"/>
    </row>
    <row r="406" ht="19.5" customHeight="1">
      <c r="A406" s="442"/>
      <c r="B406" s="459"/>
      <c r="C406" s="442"/>
      <c r="D406" s="460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  <c r="Y406" s="442"/>
      <c r="Z406" s="442"/>
    </row>
    <row r="407" ht="19.5" customHeight="1">
      <c r="A407" s="442"/>
      <c r="B407" s="459"/>
      <c r="C407" s="442"/>
      <c r="D407" s="460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  <c r="Y407" s="442"/>
      <c r="Z407" s="442"/>
    </row>
    <row r="408" ht="19.5" customHeight="1">
      <c r="A408" s="442"/>
      <c r="B408" s="459"/>
      <c r="C408" s="442"/>
      <c r="D408" s="460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  <c r="Y408" s="442"/>
      <c r="Z408" s="442"/>
    </row>
    <row r="409" ht="19.5" customHeight="1">
      <c r="A409" s="442"/>
      <c r="B409" s="459"/>
      <c r="C409" s="442"/>
      <c r="D409" s="460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  <c r="Y409" s="442"/>
      <c r="Z409" s="442"/>
    </row>
    <row r="410" ht="19.5" customHeight="1">
      <c r="A410" s="442"/>
      <c r="B410" s="459"/>
      <c r="C410" s="442"/>
      <c r="D410" s="460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  <c r="Y410" s="442"/>
      <c r="Z410" s="442"/>
    </row>
    <row r="411" ht="19.5" customHeight="1">
      <c r="A411" s="442"/>
      <c r="B411" s="459"/>
      <c r="C411" s="442"/>
      <c r="D411" s="460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  <c r="Y411" s="442"/>
      <c r="Z411" s="442"/>
    </row>
    <row r="412" ht="19.5" customHeight="1">
      <c r="A412" s="442"/>
      <c r="B412" s="459"/>
      <c r="C412" s="442"/>
      <c r="D412" s="460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  <c r="Y412" s="442"/>
      <c r="Z412" s="442"/>
    </row>
    <row r="413" ht="19.5" customHeight="1">
      <c r="A413" s="442"/>
      <c r="B413" s="459"/>
      <c r="C413" s="442"/>
      <c r="D413" s="460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  <c r="Y413" s="442"/>
      <c r="Z413" s="442"/>
    </row>
    <row r="414" ht="19.5" customHeight="1">
      <c r="A414" s="442"/>
      <c r="B414" s="459"/>
      <c r="C414" s="442"/>
      <c r="D414" s="460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  <c r="Y414" s="442"/>
      <c r="Z414" s="442"/>
    </row>
    <row r="415" ht="19.5" customHeight="1">
      <c r="A415" s="442"/>
      <c r="B415" s="459"/>
      <c r="C415" s="442"/>
      <c r="D415" s="460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  <c r="Y415" s="442"/>
      <c r="Z415" s="442"/>
    </row>
    <row r="416" ht="19.5" customHeight="1">
      <c r="A416" s="442"/>
      <c r="B416" s="459"/>
      <c r="C416" s="442"/>
      <c r="D416" s="460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  <c r="Y416" s="442"/>
      <c r="Z416" s="442"/>
    </row>
    <row r="417" ht="19.5" customHeight="1">
      <c r="A417" s="442"/>
      <c r="B417" s="459"/>
      <c r="C417" s="442"/>
      <c r="D417" s="460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  <c r="Y417" s="442"/>
      <c r="Z417" s="442"/>
    </row>
    <row r="418" ht="19.5" customHeight="1">
      <c r="A418" s="442"/>
      <c r="B418" s="459"/>
      <c r="C418" s="442"/>
      <c r="D418" s="460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  <c r="Y418" s="442"/>
      <c r="Z418" s="442"/>
    </row>
    <row r="419" ht="19.5" customHeight="1">
      <c r="A419" s="442"/>
      <c r="B419" s="459"/>
      <c r="C419" s="442"/>
      <c r="D419" s="460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  <c r="Y419" s="442"/>
      <c r="Z419" s="442"/>
    </row>
    <row r="420" ht="19.5" customHeight="1">
      <c r="A420" s="442"/>
      <c r="B420" s="459"/>
      <c r="C420" s="442"/>
      <c r="D420" s="460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  <c r="Y420" s="442"/>
      <c r="Z420" s="442"/>
    </row>
    <row r="421" ht="19.5" customHeight="1">
      <c r="A421" s="442"/>
      <c r="B421" s="459"/>
      <c r="C421" s="442"/>
      <c r="D421" s="460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  <c r="Y421" s="442"/>
      <c r="Z421" s="442"/>
    </row>
    <row r="422" ht="19.5" customHeight="1">
      <c r="A422" s="442"/>
      <c r="B422" s="459"/>
      <c r="C422" s="442"/>
      <c r="D422" s="460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  <c r="Y422" s="442"/>
      <c r="Z422" s="442"/>
    </row>
    <row r="423" ht="19.5" customHeight="1">
      <c r="A423" s="442"/>
      <c r="B423" s="459"/>
      <c r="C423" s="442"/>
      <c r="D423" s="460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  <c r="Y423" s="442"/>
      <c r="Z423" s="442"/>
    </row>
    <row r="424" ht="19.5" customHeight="1">
      <c r="A424" s="442"/>
      <c r="B424" s="459"/>
      <c r="C424" s="442"/>
      <c r="D424" s="460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  <c r="Y424" s="442"/>
      <c r="Z424" s="442"/>
    </row>
    <row r="425" ht="19.5" customHeight="1">
      <c r="A425" s="442"/>
      <c r="B425" s="459"/>
      <c r="C425" s="442"/>
      <c r="D425" s="460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  <c r="Y425" s="442"/>
      <c r="Z425" s="442"/>
    </row>
    <row r="426" ht="19.5" customHeight="1">
      <c r="A426" s="442"/>
      <c r="B426" s="459"/>
      <c r="C426" s="442"/>
      <c r="D426" s="460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  <c r="Y426" s="442"/>
      <c r="Z426" s="442"/>
    </row>
    <row r="427" ht="19.5" customHeight="1">
      <c r="A427" s="442"/>
      <c r="B427" s="459"/>
      <c r="C427" s="442"/>
      <c r="D427" s="460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  <c r="Y427" s="442"/>
      <c r="Z427" s="442"/>
    </row>
    <row r="428" ht="19.5" customHeight="1">
      <c r="A428" s="442"/>
      <c r="B428" s="459"/>
      <c r="C428" s="442"/>
      <c r="D428" s="460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  <c r="Y428" s="442"/>
      <c r="Z428" s="442"/>
    </row>
    <row r="429" ht="19.5" customHeight="1">
      <c r="A429" s="442"/>
      <c r="B429" s="459"/>
      <c r="C429" s="442"/>
      <c r="D429" s="460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  <c r="Y429" s="442"/>
      <c r="Z429" s="442"/>
    </row>
    <row r="430" ht="19.5" customHeight="1">
      <c r="A430" s="442"/>
      <c r="B430" s="459"/>
      <c r="C430" s="442"/>
      <c r="D430" s="460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  <c r="Y430" s="442"/>
      <c r="Z430" s="442"/>
    </row>
    <row r="431" ht="19.5" customHeight="1">
      <c r="A431" s="442"/>
      <c r="B431" s="459"/>
      <c r="C431" s="442"/>
      <c r="D431" s="460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  <c r="Y431" s="442"/>
      <c r="Z431" s="442"/>
    </row>
    <row r="432" ht="19.5" customHeight="1">
      <c r="A432" s="442"/>
      <c r="B432" s="459"/>
      <c r="C432" s="442"/>
      <c r="D432" s="460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  <c r="Y432" s="442"/>
      <c r="Z432" s="442"/>
    </row>
    <row r="433" ht="19.5" customHeight="1">
      <c r="A433" s="442"/>
      <c r="B433" s="459"/>
      <c r="C433" s="442"/>
      <c r="D433" s="460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  <c r="Y433" s="442"/>
      <c r="Z433" s="442"/>
    </row>
    <row r="434" ht="19.5" customHeight="1">
      <c r="A434" s="442"/>
      <c r="B434" s="459"/>
      <c r="C434" s="442"/>
      <c r="D434" s="460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  <c r="Y434" s="442"/>
      <c r="Z434" s="442"/>
    </row>
    <row r="435" ht="19.5" customHeight="1">
      <c r="A435" s="442"/>
      <c r="B435" s="459"/>
      <c r="C435" s="442"/>
      <c r="D435" s="460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  <c r="Y435" s="442"/>
      <c r="Z435" s="442"/>
    </row>
    <row r="436" ht="19.5" customHeight="1">
      <c r="A436" s="442"/>
      <c r="B436" s="459"/>
      <c r="C436" s="442"/>
      <c r="D436" s="460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  <c r="Y436" s="442"/>
      <c r="Z436" s="442"/>
    </row>
    <row r="437" ht="19.5" customHeight="1">
      <c r="A437" s="442"/>
      <c r="B437" s="459"/>
      <c r="C437" s="442"/>
      <c r="D437" s="460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  <c r="Y437" s="442"/>
      <c r="Z437" s="442"/>
    </row>
    <row r="438" ht="19.5" customHeight="1">
      <c r="A438" s="442"/>
      <c r="B438" s="459"/>
      <c r="C438" s="442"/>
      <c r="D438" s="460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  <c r="Y438" s="442"/>
      <c r="Z438" s="442"/>
    </row>
    <row r="439" ht="19.5" customHeight="1">
      <c r="A439" s="442"/>
      <c r="B439" s="459"/>
      <c r="C439" s="442"/>
      <c r="D439" s="460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  <c r="Y439" s="442"/>
      <c r="Z439" s="442"/>
    </row>
    <row r="440" ht="19.5" customHeight="1">
      <c r="A440" s="442"/>
      <c r="B440" s="459"/>
      <c r="C440" s="442"/>
      <c r="D440" s="460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  <c r="Y440" s="442"/>
      <c r="Z440" s="442"/>
    </row>
    <row r="441" ht="19.5" customHeight="1">
      <c r="A441" s="442"/>
      <c r="B441" s="459"/>
      <c r="C441" s="442"/>
      <c r="D441" s="460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  <c r="Y441" s="442"/>
      <c r="Z441" s="442"/>
    </row>
    <row r="442" ht="19.5" customHeight="1">
      <c r="A442" s="442"/>
      <c r="B442" s="459"/>
      <c r="C442" s="442"/>
      <c r="D442" s="460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  <c r="Y442" s="442"/>
      <c r="Z442" s="442"/>
    </row>
    <row r="443" ht="19.5" customHeight="1">
      <c r="A443" s="442"/>
      <c r="B443" s="459"/>
      <c r="C443" s="442"/>
      <c r="D443" s="460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  <c r="Y443" s="442"/>
      <c r="Z443" s="442"/>
    </row>
    <row r="444" ht="19.5" customHeight="1">
      <c r="A444" s="442"/>
      <c r="B444" s="459"/>
      <c r="C444" s="442"/>
      <c r="D444" s="460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  <c r="Y444" s="442"/>
      <c r="Z444" s="442"/>
    </row>
    <row r="445" ht="19.5" customHeight="1">
      <c r="A445" s="442"/>
      <c r="B445" s="459"/>
      <c r="C445" s="442"/>
      <c r="D445" s="460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  <c r="Y445" s="442"/>
      <c r="Z445" s="442"/>
    </row>
    <row r="446" ht="19.5" customHeight="1">
      <c r="A446" s="442"/>
      <c r="B446" s="459"/>
      <c r="C446" s="442"/>
      <c r="D446" s="460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  <c r="Y446" s="442"/>
      <c r="Z446" s="442"/>
    </row>
    <row r="447" ht="19.5" customHeight="1">
      <c r="A447" s="442"/>
      <c r="B447" s="459"/>
      <c r="C447" s="442"/>
      <c r="D447" s="460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  <c r="Y447" s="442"/>
      <c r="Z447" s="442"/>
    </row>
    <row r="448" ht="19.5" customHeight="1">
      <c r="A448" s="442"/>
      <c r="B448" s="459"/>
      <c r="C448" s="442"/>
      <c r="D448" s="460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  <c r="Y448" s="442"/>
      <c r="Z448" s="442"/>
    </row>
    <row r="449" ht="19.5" customHeight="1">
      <c r="A449" s="442"/>
      <c r="B449" s="459"/>
      <c r="C449" s="442"/>
      <c r="D449" s="460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  <c r="Y449" s="442"/>
      <c r="Z449" s="442"/>
    </row>
    <row r="450" ht="19.5" customHeight="1">
      <c r="A450" s="442"/>
      <c r="B450" s="459"/>
      <c r="C450" s="442"/>
      <c r="D450" s="460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  <c r="Y450" s="442"/>
      <c r="Z450" s="442"/>
    </row>
    <row r="451" ht="19.5" customHeight="1">
      <c r="A451" s="442"/>
      <c r="B451" s="459"/>
      <c r="C451" s="442"/>
      <c r="D451" s="460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  <c r="Y451" s="442"/>
      <c r="Z451" s="442"/>
    </row>
    <row r="452" ht="19.5" customHeight="1">
      <c r="A452" s="442"/>
      <c r="B452" s="459"/>
      <c r="C452" s="442"/>
      <c r="D452" s="460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  <c r="Y452" s="442"/>
      <c r="Z452" s="442"/>
    </row>
    <row r="453" ht="19.5" customHeight="1">
      <c r="A453" s="442"/>
      <c r="B453" s="459"/>
      <c r="C453" s="442"/>
      <c r="D453" s="460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  <c r="Y453" s="442"/>
      <c r="Z453" s="442"/>
    </row>
    <row r="454" ht="19.5" customHeight="1">
      <c r="A454" s="442"/>
      <c r="B454" s="459"/>
      <c r="C454" s="442"/>
      <c r="D454" s="460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  <c r="Y454" s="442"/>
      <c r="Z454" s="442"/>
    </row>
    <row r="455" ht="19.5" customHeight="1">
      <c r="A455" s="442"/>
      <c r="B455" s="459"/>
      <c r="C455" s="442"/>
      <c r="D455" s="460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  <c r="Y455" s="442"/>
      <c r="Z455" s="442"/>
    </row>
    <row r="456" ht="19.5" customHeight="1">
      <c r="A456" s="442"/>
      <c r="B456" s="459"/>
      <c r="C456" s="442"/>
      <c r="D456" s="460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  <c r="Y456" s="442"/>
      <c r="Z456" s="442"/>
    </row>
    <row r="457" ht="19.5" customHeight="1">
      <c r="A457" s="442"/>
      <c r="B457" s="459"/>
      <c r="C457" s="442"/>
      <c r="D457" s="460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  <c r="Y457" s="442"/>
      <c r="Z457" s="442"/>
    </row>
    <row r="458" ht="19.5" customHeight="1">
      <c r="A458" s="442"/>
      <c r="B458" s="459"/>
      <c r="C458" s="442"/>
      <c r="D458" s="460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  <c r="Y458" s="442"/>
      <c r="Z458" s="442"/>
    </row>
    <row r="459" ht="19.5" customHeight="1">
      <c r="A459" s="442"/>
      <c r="B459" s="459"/>
      <c r="C459" s="442"/>
      <c r="D459" s="460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  <c r="Y459" s="442"/>
      <c r="Z459" s="442"/>
    </row>
    <row r="460" ht="19.5" customHeight="1">
      <c r="A460" s="442"/>
      <c r="B460" s="459"/>
      <c r="C460" s="442"/>
      <c r="D460" s="460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  <c r="Y460" s="442"/>
      <c r="Z460" s="442"/>
    </row>
    <row r="461" ht="19.5" customHeight="1">
      <c r="A461" s="442"/>
      <c r="B461" s="459"/>
      <c r="C461" s="442"/>
      <c r="D461" s="460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  <c r="Y461" s="442"/>
      <c r="Z461" s="442"/>
    </row>
    <row r="462" ht="19.5" customHeight="1">
      <c r="A462" s="442"/>
      <c r="B462" s="459"/>
      <c r="C462" s="442"/>
      <c r="D462" s="460"/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  <c r="Y462" s="442"/>
      <c r="Z462" s="442"/>
    </row>
    <row r="463" ht="19.5" customHeight="1">
      <c r="A463" s="442"/>
      <c r="B463" s="459"/>
      <c r="C463" s="442"/>
      <c r="D463" s="460"/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  <c r="Y463" s="442"/>
      <c r="Z463" s="442"/>
    </row>
    <row r="464" ht="19.5" customHeight="1">
      <c r="A464" s="442"/>
      <c r="B464" s="459"/>
      <c r="C464" s="442"/>
      <c r="D464" s="460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  <c r="Y464" s="442"/>
      <c r="Z464" s="442"/>
    </row>
    <row r="465" ht="19.5" customHeight="1">
      <c r="A465" s="442"/>
      <c r="B465" s="459"/>
      <c r="C465" s="442"/>
      <c r="D465" s="460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  <c r="Y465" s="442"/>
      <c r="Z465" s="442"/>
    </row>
    <row r="466" ht="19.5" customHeight="1">
      <c r="A466" s="442"/>
      <c r="B466" s="459"/>
      <c r="C466" s="442"/>
      <c r="D466" s="460"/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  <c r="Y466" s="442"/>
      <c r="Z466" s="442"/>
    </row>
    <row r="467" ht="19.5" customHeight="1">
      <c r="A467" s="442"/>
      <c r="B467" s="459"/>
      <c r="C467" s="442"/>
      <c r="D467" s="460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  <c r="Y467" s="442"/>
      <c r="Z467" s="442"/>
    </row>
    <row r="468" ht="19.5" customHeight="1">
      <c r="A468" s="442"/>
      <c r="B468" s="459"/>
      <c r="C468" s="442"/>
      <c r="D468" s="460"/>
      <c r="E468" s="442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  <c r="Y468" s="442"/>
      <c r="Z468" s="442"/>
    </row>
    <row r="469" ht="19.5" customHeight="1">
      <c r="A469" s="442"/>
      <c r="B469" s="459"/>
      <c r="C469" s="442"/>
      <c r="D469" s="460"/>
      <c r="E469" s="442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  <c r="Y469" s="442"/>
      <c r="Z469" s="442"/>
    </row>
    <row r="470" ht="19.5" customHeight="1">
      <c r="A470" s="442"/>
      <c r="B470" s="459"/>
      <c r="C470" s="442"/>
      <c r="D470" s="460"/>
      <c r="E470" s="442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  <c r="Y470" s="442"/>
      <c r="Z470" s="442"/>
    </row>
    <row r="471" ht="19.5" customHeight="1">
      <c r="A471" s="442"/>
      <c r="B471" s="459"/>
      <c r="C471" s="442"/>
      <c r="D471" s="460"/>
      <c r="E471" s="442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  <c r="Y471" s="442"/>
      <c r="Z471" s="442"/>
    </row>
    <row r="472" ht="19.5" customHeight="1">
      <c r="A472" s="442"/>
      <c r="B472" s="459"/>
      <c r="C472" s="442"/>
      <c r="D472" s="460"/>
      <c r="E472" s="442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  <c r="Y472" s="442"/>
      <c r="Z472" s="442"/>
    </row>
    <row r="473" ht="19.5" customHeight="1">
      <c r="A473" s="442"/>
      <c r="B473" s="459"/>
      <c r="C473" s="442"/>
      <c r="D473" s="460"/>
      <c r="E473" s="442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  <c r="Y473" s="442"/>
      <c r="Z473" s="442"/>
    </row>
    <row r="474" ht="19.5" customHeight="1">
      <c r="A474" s="442"/>
      <c r="B474" s="459"/>
      <c r="C474" s="442"/>
      <c r="D474" s="460"/>
      <c r="E474" s="442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  <c r="Y474" s="442"/>
      <c r="Z474" s="442"/>
    </row>
    <row r="475" ht="19.5" customHeight="1">
      <c r="A475" s="442"/>
      <c r="B475" s="459"/>
      <c r="C475" s="442"/>
      <c r="D475" s="460"/>
      <c r="E475" s="442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  <c r="Y475" s="442"/>
      <c r="Z475" s="442"/>
    </row>
    <row r="476" ht="19.5" customHeight="1">
      <c r="A476" s="442"/>
      <c r="B476" s="459"/>
      <c r="C476" s="442"/>
      <c r="D476" s="460"/>
      <c r="E476" s="442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  <c r="Y476" s="442"/>
      <c r="Z476" s="442"/>
    </row>
    <row r="477" ht="19.5" customHeight="1">
      <c r="A477" s="442"/>
      <c r="B477" s="459"/>
      <c r="C477" s="442"/>
      <c r="D477" s="460"/>
      <c r="E477" s="442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  <c r="Y477" s="442"/>
      <c r="Z477" s="442"/>
    </row>
    <row r="478" ht="19.5" customHeight="1">
      <c r="A478" s="442"/>
      <c r="B478" s="459"/>
      <c r="C478" s="442"/>
      <c r="D478" s="460"/>
      <c r="E478" s="442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  <c r="Y478" s="442"/>
      <c r="Z478" s="442"/>
    </row>
    <row r="479" ht="19.5" customHeight="1">
      <c r="A479" s="442"/>
      <c r="B479" s="459"/>
      <c r="C479" s="442"/>
      <c r="D479" s="460"/>
      <c r="E479" s="442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  <c r="Y479" s="442"/>
      <c r="Z479" s="442"/>
    </row>
    <row r="480" ht="19.5" customHeight="1">
      <c r="A480" s="442"/>
      <c r="B480" s="459"/>
      <c r="C480" s="442"/>
      <c r="D480" s="460"/>
      <c r="E480" s="442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  <c r="Y480" s="442"/>
      <c r="Z480" s="442"/>
    </row>
    <row r="481" ht="19.5" customHeight="1">
      <c r="A481" s="442"/>
      <c r="B481" s="459"/>
      <c r="C481" s="442"/>
      <c r="D481" s="460"/>
      <c r="E481" s="442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  <c r="Y481" s="442"/>
      <c r="Z481" s="442"/>
    </row>
    <row r="482" ht="19.5" customHeight="1">
      <c r="A482" s="442"/>
      <c r="B482" s="459"/>
      <c r="C482" s="442"/>
      <c r="D482" s="460"/>
      <c r="E482" s="442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  <c r="Y482" s="442"/>
      <c r="Z482" s="442"/>
    </row>
    <row r="483" ht="19.5" customHeight="1">
      <c r="A483" s="442"/>
      <c r="B483" s="459"/>
      <c r="C483" s="442"/>
      <c r="D483" s="460"/>
      <c r="E483" s="442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  <c r="Y483" s="442"/>
      <c r="Z483" s="442"/>
    </row>
    <row r="484" ht="19.5" customHeight="1">
      <c r="A484" s="442"/>
      <c r="B484" s="459"/>
      <c r="C484" s="442"/>
      <c r="D484" s="460"/>
      <c r="E484" s="442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  <c r="Y484" s="442"/>
      <c r="Z484" s="442"/>
    </row>
    <row r="485" ht="19.5" customHeight="1">
      <c r="A485" s="442"/>
      <c r="B485" s="459"/>
      <c r="C485" s="442"/>
      <c r="D485" s="460"/>
      <c r="E485" s="442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  <c r="Y485" s="442"/>
      <c r="Z485" s="442"/>
    </row>
    <row r="486" ht="19.5" customHeight="1">
      <c r="A486" s="442"/>
      <c r="B486" s="459"/>
      <c r="C486" s="442"/>
      <c r="D486" s="460"/>
      <c r="E486" s="442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  <c r="Y486" s="442"/>
      <c r="Z486" s="442"/>
    </row>
    <row r="487" ht="19.5" customHeight="1">
      <c r="A487" s="442"/>
      <c r="B487" s="459"/>
      <c r="C487" s="442"/>
      <c r="D487" s="460"/>
      <c r="E487" s="442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  <c r="Y487" s="442"/>
      <c r="Z487" s="442"/>
    </row>
    <row r="488" ht="19.5" customHeight="1">
      <c r="A488" s="442"/>
      <c r="B488" s="459"/>
      <c r="C488" s="442"/>
      <c r="D488" s="460"/>
      <c r="E488" s="442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  <c r="Y488" s="442"/>
      <c r="Z488" s="442"/>
    </row>
    <row r="489" ht="19.5" customHeight="1">
      <c r="A489" s="442"/>
      <c r="B489" s="459"/>
      <c r="C489" s="442"/>
      <c r="D489" s="460"/>
      <c r="E489" s="442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  <c r="Y489" s="442"/>
      <c r="Z489" s="442"/>
    </row>
    <row r="490" ht="19.5" customHeight="1">
      <c r="A490" s="442"/>
      <c r="B490" s="459"/>
      <c r="C490" s="442"/>
      <c r="D490" s="460"/>
      <c r="E490" s="442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  <c r="Y490" s="442"/>
      <c r="Z490" s="442"/>
    </row>
    <row r="491" ht="19.5" customHeight="1">
      <c r="A491" s="442"/>
      <c r="B491" s="459"/>
      <c r="C491" s="442"/>
      <c r="D491" s="460"/>
      <c r="E491" s="442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  <c r="Y491" s="442"/>
      <c r="Z491" s="442"/>
    </row>
    <row r="492" ht="19.5" customHeight="1">
      <c r="A492" s="442"/>
      <c r="B492" s="459"/>
      <c r="C492" s="442"/>
      <c r="D492" s="460"/>
      <c r="E492" s="442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  <c r="Y492" s="442"/>
      <c r="Z492" s="442"/>
    </row>
    <row r="493" ht="19.5" customHeight="1">
      <c r="A493" s="442"/>
      <c r="B493" s="459"/>
      <c r="C493" s="442"/>
      <c r="D493" s="460"/>
      <c r="E493" s="442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  <c r="Y493" s="442"/>
      <c r="Z493" s="442"/>
    </row>
    <row r="494" ht="19.5" customHeight="1">
      <c r="A494" s="442"/>
      <c r="B494" s="459"/>
      <c r="C494" s="442"/>
      <c r="D494" s="460"/>
      <c r="E494" s="442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  <c r="Y494" s="442"/>
      <c r="Z494" s="442"/>
    </row>
    <row r="495" ht="19.5" customHeight="1">
      <c r="A495" s="442"/>
      <c r="B495" s="459"/>
      <c r="C495" s="442"/>
      <c r="D495" s="460"/>
      <c r="E495" s="442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  <c r="Y495" s="442"/>
      <c r="Z495" s="442"/>
    </row>
    <row r="496" ht="19.5" customHeight="1">
      <c r="A496" s="442"/>
      <c r="B496" s="459"/>
      <c r="C496" s="442"/>
      <c r="D496" s="460"/>
      <c r="E496" s="442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  <c r="Y496" s="442"/>
      <c r="Z496" s="442"/>
    </row>
    <row r="497" ht="19.5" customHeight="1">
      <c r="A497" s="442"/>
      <c r="B497" s="459"/>
      <c r="C497" s="442"/>
      <c r="D497" s="460"/>
      <c r="E497" s="442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  <c r="Y497" s="442"/>
      <c r="Z497" s="442"/>
    </row>
    <row r="498" ht="19.5" customHeight="1">
      <c r="A498" s="442"/>
      <c r="B498" s="459"/>
      <c r="C498" s="442"/>
      <c r="D498" s="460"/>
      <c r="E498" s="442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  <c r="Y498" s="442"/>
      <c r="Z498" s="442"/>
    </row>
    <row r="499" ht="19.5" customHeight="1">
      <c r="A499" s="442"/>
      <c r="B499" s="459"/>
      <c r="C499" s="442"/>
      <c r="D499" s="460"/>
      <c r="E499" s="442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  <c r="Y499" s="442"/>
      <c r="Z499" s="442"/>
    </row>
    <row r="500" ht="19.5" customHeight="1">
      <c r="A500" s="442"/>
      <c r="B500" s="459"/>
      <c r="C500" s="442"/>
      <c r="D500" s="460"/>
      <c r="E500" s="442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  <c r="Y500" s="442"/>
      <c r="Z500" s="442"/>
    </row>
    <row r="501" ht="19.5" customHeight="1">
      <c r="A501" s="442"/>
      <c r="B501" s="459"/>
      <c r="C501" s="442"/>
      <c r="D501" s="460"/>
      <c r="E501" s="442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  <c r="Y501" s="442"/>
      <c r="Z501" s="442"/>
    </row>
    <row r="502" ht="19.5" customHeight="1">
      <c r="A502" s="442"/>
      <c r="B502" s="459"/>
      <c r="C502" s="442"/>
      <c r="D502" s="460"/>
      <c r="E502" s="442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  <c r="Y502" s="442"/>
      <c r="Z502" s="442"/>
    </row>
    <row r="503" ht="19.5" customHeight="1">
      <c r="A503" s="442"/>
      <c r="B503" s="459"/>
      <c r="C503" s="442"/>
      <c r="D503" s="460"/>
      <c r="E503" s="442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  <c r="Y503" s="442"/>
      <c r="Z503" s="442"/>
    </row>
    <row r="504" ht="19.5" customHeight="1">
      <c r="A504" s="442"/>
      <c r="B504" s="459"/>
      <c r="C504" s="442"/>
      <c r="D504" s="460"/>
      <c r="E504" s="442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  <c r="Y504" s="442"/>
      <c r="Z504" s="442"/>
    </row>
    <row r="505" ht="19.5" customHeight="1">
      <c r="A505" s="442"/>
      <c r="B505" s="459"/>
      <c r="C505" s="442"/>
      <c r="D505" s="460"/>
      <c r="E505" s="442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  <c r="Y505" s="442"/>
      <c r="Z505" s="442"/>
    </row>
    <row r="506" ht="19.5" customHeight="1">
      <c r="A506" s="442"/>
      <c r="B506" s="459"/>
      <c r="C506" s="442"/>
      <c r="D506" s="460"/>
      <c r="E506" s="442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  <c r="Y506" s="442"/>
      <c r="Z506" s="442"/>
    </row>
    <row r="507" ht="19.5" customHeight="1">
      <c r="A507" s="442"/>
      <c r="B507" s="459"/>
      <c r="C507" s="442"/>
      <c r="D507" s="460"/>
      <c r="E507" s="442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  <c r="Y507" s="442"/>
      <c r="Z507" s="442"/>
    </row>
    <row r="508" ht="19.5" customHeight="1">
      <c r="A508" s="442"/>
      <c r="B508" s="459"/>
      <c r="C508" s="442"/>
      <c r="D508" s="460"/>
      <c r="E508" s="442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  <c r="Y508" s="442"/>
      <c r="Z508" s="442"/>
    </row>
    <row r="509" ht="19.5" customHeight="1">
      <c r="A509" s="442"/>
      <c r="B509" s="459"/>
      <c r="C509" s="442"/>
      <c r="D509" s="460"/>
      <c r="E509" s="442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  <c r="Y509" s="442"/>
      <c r="Z509" s="442"/>
    </row>
    <row r="510" ht="19.5" customHeight="1">
      <c r="A510" s="442"/>
      <c r="B510" s="459"/>
      <c r="C510" s="442"/>
      <c r="D510" s="460"/>
      <c r="E510" s="442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  <c r="Y510" s="442"/>
      <c r="Z510" s="442"/>
    </row>
    <row r="511" ht="19.5" customHeight="1">
      <c r="A511" s="442"/>
      <c r="B511" s="459"/>
      <c r="C511" s="442"/>
      <c r="D511" s="460"/>
      <c r="E511" s="442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  <c r="Y511" s="442"/>
      <c r="Z511" s="442"/>
    </row>
    <row r="512" ht="19.5" customHeight="1">
      <c r="A512" s="442"/>
      <c r="B512" s="459"/>
      <c r="C512" s="442"/>
      <c r="D512" s="460"/>
      <c r="E512" s="442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  <c r="Y512" s="442"/>
      <c r="Z512" s="442"/>
    </row>
    <row r="513" ht="19.5" customHeight="1">
      <c r="A513" s="442"/>
      <c r="B513" s="459"/>
      <c r="C513" s="442"/>
      <c r="D513" s="460"/>
      <c r="E513" s="442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  <c r="Y513" s="442"/>
      <c r="Z513" s="442"/>
    </row>
    <row r="514" ht="19.5" customHeight="1">
      <c r="A514" s="442"/>
      <c r="B514" s="459"/>
      <c r="C514" s="442"/>
      <c r="D514" s="460"/>
      <c r="E514" s="442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  <c r="Y514" s="442"/>
      <c r="Z514" s="442"/>
    </row>
    <row r="515" ht="19.5" customHeight="1">
      <c r="A515" s="442"/>
      <c r="B515" s="459"/>
      <c r="C515" s="442"/>
      <c r="D515" s="460"/>
      <c r="E515" s="442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  <c r="Y515" s="442"/>
      <c r="Z515" s="442"/>
    </row>
    <row r="516" ht="19.5" customHeight="1">
      <c r="A516" s="442"/>
      <c r="B516" s="459"/>
      <c r="C516" s="442"/>
      <c r="D516" s="460"/>
      <c r="E516" s="442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  <c r="Y516" s="442"/>
      <c r="Z516" s="442"/>
    </row>
    <row r="517" ht="19.5" customHeight="1">
      <c r="A517" s="442"/>
      <c r="B517" s="459"/>
      <c r="C517" s="442"/>
      <c r="D517" s="460"/>
      <c r="E517" s="442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  <c r="Y517" s="442"/>
      <c r="Z517" s="442"/>
    </row>
    <row r="518" ht="19.5" customHeight="1">
      <c r="A518" s="442"/>
      <c r="B518" s="459"/>
      <c r="C518" s="442"/>
      <c r="D518" s="460"/>
      <c r="E518" s="442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  <c r="Y518" s="442"/>
      <c r="Z518" s="442"/>
    </row>
    <row r="519" ht="19.5" customHeight="1">
      <c r="A519" s="442"/>
      <c r="B519" s="459"/>
      <c r="C519" s="442"/>
      <c r="D519" s="460"/>
      <c r="E519" s="442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  <c r="Y519" s="442"/>
      <c r="Z519" s="442"/>
    </row>
    <row r="520" ht="19.5" customHeight="1">
      <c r="A520" s="442"/>
      <c r="B520" s="459"/>
      <c r="C520" s="442"/>
      <c r="D520" s="460"/>
      <c r="E520" s="442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  <c r="Y520" s="442"/>
      <c r="Z520" s="442"/>
    </row>
    <row r="521" ht="19.5" customHeight="1">
      <c r="A521" s="442"/>
      <c r="B521" s="459"/>
      <c r="C521" s="442"/>
      <c r="D521" s="460"/>
      <c r="E521" s="442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  <c r="Y521" s="442"/>
      <c r="Z521" s="442"/>
    </row>
    <row r="522" ht="19.5" customHeight="1">
      <c r="A522" s="442"/>
      <c r="B522" s="459"/>
      <c r="C522" s="442"/>
      <c r="D522" s="460"/>
      <c r="E522" s="442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  <c r="Y522" s="442"/>
      <c r="Z522" s="442"/>
    </row>
    <row r="523" ht="19.5" customHeight="1">
      <c r="A523" s="442"/>
      <c r="B523" s="459"/>
      <c r="C523" s="442"/>
      <c r="D523" s="460"/>
      <c r="E523" s="442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  <c r="Y523" s="442"/>
      <c r="Z523" s="442"/>
    </row>
    <row r="524" ht="19.5" customHeight="1">
      <c r="A524" s="442"/>
      <c r="B524" s="459"/>
      <c r="C524" s="442"/>
      <c r="D524" s="460"/>
      <c r="E524" s="442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  <c r="Y524" s="442"/>
      <c r="Z524" s="442"/>
    </row>
    <row r="525" ht="19.5" customHeight="1">
      <c r="A525" s="442"/>
      <c r="B525" s="459"/>
      <c r="C525" s="442"/>
      <c r="D525" s="460"/>
      <c r="E525" s="442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  <c r="Y525" s="442"/>
      <c r="Z525" s="442"/>
    </row>
    <row r="526" ht="19.5" customHeight="1">
      <c r="A526" s="442"/>
      <c r="B526" s="459"/>
      <c r="C526" s="442"/>
      <c r="D526" s="460"/>
      <c r="E526" s="442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  <c r="Y526" s="442"/>
      <c r="Z526" s="442"/>
    </row>
    <row r="527" ht="19.5" customHeight="1">
      <c r="A527" s="442"/>
      <c r="B527" s="459"/>
      <c r="C527" s="442"/>
      <c r="D527" s="460"/>
      <c r="E527" s="442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  <c r="Y527" s="442"/>
      <c r="Z527" s="442"/>
    </row>
    <row r="528" ht="19.5" customHeight="1">
      <c r="A528" s="442"/>
      <c r="B528" s="459"/>
      <c r="C528" s="442"/>
      <c r="D528" s="460"/>
      <c r="E528" s="442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  <c r="Y528" s="442"/>
      <c r="Z528" s="442"/>
    </row>
    <row r="529" ht="19.5" customHeight="1">
      <c r="A529" s="442"/>
      <c r="B529" s="459"/>
      <c r="C529" s="442"/>
      <c r="D529" s="460"/>
      <c r="E529" s="442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  <c r="Y529" s="442"/>
      <c r="Z529" s="442"/>
    </row>
    <row r="530" ht="19.5" customHeight="1">
      <c r="A530" s="442"/>
      <c r="B530" s="459"/>
      <c r="C530" s="442"/>
      <c r="D530" s="460"/>
      <c r="E530" s="442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  <c r="Y530" s="442"/>
      <c r="Z530" s="442"/>
    </row>
    <row r="531" ht="19.5" customHeight="1">
      <c r="A531" s="442"/>
      <c r="B531" s="459"/>
      <c r="C531" s="442"/>
      <c r="D531" s="460"/>
      <c r="E531" s="442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  <c r="Y531" s="442"/>
      <c r="Z531" s="442"/>
    </row>
    <row r="532" ht="19.5" customHeight="1">
      <c r="A532" s="442"/>
      <c r="B532" s="459"/>
      <c r="C532" s="442"/>
      <c r="D532" s="460"/>
      <c r="E532" s="442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  <c r="Y532" s="442"/>
      <c r="Z532" s="442"/>
    </row>
    <row r="533" ht="19.5" customHeight="1">
      <c r="A533" s="442"/>
      <c r="B533" s="459"/>
      <c r="C533" s="442"/>
      <c r="D533" s="460"/>
      <c r="E533" s="442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  <c r="Y533" s="442"/>
      <c r="Z533" s="442"/>
    </row>
    <row r="534" ht="19.5" customHeight="1">
      <c r="A534" s="442"/>
      <c r="B534" s="459"/>
      <c r="C534" s="442"/>
      <c r="D534" s="460"/>
      <c r="E534" s="442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  <c r="Y534" s="442"/>
      <c r="Z534" s="442"/>
    </row>
    <row r="535" ht="19.5" customHeight="1">
      <c r="A535" s="442"/>
      <c r="B535" s="459"/>
      <c r="C535" s="442"/>
      <c r="D535" s="460"/>
      <c r="E535" s="442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  <c r="Y535" s="442"/>
      <c r="Z535" s="442"/>
    </row>
    <row r="536" ht="19.5" customHeight="1">
      <c r="A536" s="442"/>
      <c r="B536" s="459"/>
      <c r="C536" s="442"/>
      <c r="D536" s="460"/>
      <c r="E536" s="442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  <c r="Y536" s="442"/>
      <c r="Z536" s="442"/>
    </row>
    <row r="537" ht="19.5" customHeight="1">
      <c r="A537" s="442"/>
      <c r="B537" s="459"/>
      <c r="C537" s="442"/>
      <c r="D537" s="460"/>
      <c r="E537" s="442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  <c r="Y537" s="442"/>
      <c r="Z537" s="442"/>
    </row>
    <row r="538" ht="19.5" customHeight="1">
      <c r="A538" s="442"/>
      <c r="B538" s="459"/>
      <c r="C538" s="442"/>
      <c r="D538" s="460"/>
      <c r="E538" s="442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  <c r="Y538" s="442"/>
      <c r="Z538" s="442"/>
    </row>
    <row r="539" ht="19.5" customHeight="1">
      <c r="A539" s="442"/>
      <c r="B539" s="459"/>
      <c r="C539" s="442"/>
      <c r="D539" s="460"/>
      <c r="E539" s="442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  <c r="Y539" s="442"/>
      <c r="Z539" s="442"/>
    </row>
    <row r="540" ht="19.5" customHeight="1">
      <c r="A540" s="442"/>
      <c r="B540" s="459"/>
      <c r="C540" s="442"/>
      <c r="D540" s="460"/>
      <c r="E540" s="442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  <c r="Y540" s="442"/>
      <c r="Z540" s="442"/>
    </row>
    <row r="541" ht="19.5" customHeight="1">
      <c r="A541" s="442"/>
      <c r="B541" s="459"/>
      <c r="C541" s="442"/>
      <c r="D541" s="460"/>
      <c r="E541" s="442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  <c r="Y541" s="442"/>
      <c r="Z541" s="442"/>
    </row>
    <row r="542" ht="19.5" customHeight="1">
      <c r="A542" s="442"/>
      <c r="B542" s="459"/>
      <c r="C542" s="442"/>
      <c r="D542" s="460"/>
      <c r="E542" s="442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  <c r="Y542" s="442"/>
      <c r="Z542" s="442"/>
    </row>
    <row r="543" ht="19.5" customHeight="1">
      <c r="A543" s="442"/>
      <c r="B543" s="459"/>
      <c r="C543" s="442"/>
      <c r="D543" s="460"/>
      <c r="E543" s="442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  <c r="Y543" s="442"/>
      <c r="Z543" s="442"/>
    </row>
    <row r="544" ht="19.5" customHeight="1">
      <c r="A544" s="442"/>
      <c r="B544" s="459"/>
      <c r="C544" s="442"/>
      <c r="D544" s="460"/>
      <c r="E544" s="442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  <c r="Y544" s="442"/>
      <c r="Z544" s="442"/>
    </row>
    <row r="545" ht="19.5" customHeight="1">
      <c r="A545" s="442"/>
      <c r="B545" s="459"/>
      <c r="C545" s="442"/>
      <c r="D545" s="460"/>
      <c r="E545" s="442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  <c r="Y545" s="442"/>
      <c r="Z545" s="442"/>
    </row>
    <row r="546" ht="19.5" customHeight="1">
      <c r="A546" s="442"/>
      <c r="B546" s="459"/>
      <c r="C546" s="442"/>
      <c r="D546" s="460"/>
      <c r="E546" s="442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  <c r="Y546" s="442"/>
      <c r="Z546" s="442"/>
    </row>
    <row r="547" ht="19.5" customHeight="1">
      <c r="A547" s="442"/>
      <c r="B547" s="459"/>
      <c r="C547" s="442"/>
      <c r="D547" s="460"/>
      <c r="E547" s="442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  <c r="Y547" s="442"/>
      <c r="Z547" s="442"/>
    </row>
    <row r="548" ht="19.5" customHeight="1">
      <c r="A548" s="442"/>
      <c r="B548" s="459"/>
      <c r="C548" s="442"/>
      <c r="D548" s="460"/>
      <c r="E548" s="442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  <c r="Y548" s="442"/>
      <c r="Z548" s="442"/>
    </row>
    <row r="549" ht="19.5" customHeight="1">
      <c r="A549" s="442"/>
      <c r="B549" s="459"/>
      <c r="C549" s="442"/>
      <c r="D549" s="460"/>
      <c r="E549" s="442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  <c r="Y549" s="442"/>
      <c r="Z549" s="442"/>
    </row>
    <row r="550" ht="19.5" customHeight="1">
      <c r="A550" s="442"/>
      <c r="B550" s="459"/>
      <c r="C550" s="442"/>
      <c r="D550" s="460"/>
      <c r="E550" s="442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  <c r="Y550" s="442"/>
      <c r="Z550" s="442"/>
    </row>
    <row r="551" ht="19.5" customHeight="1">
      <c r="A551" s="442"/>
      <c r="B551" s="459"/>
      <c r="C551" s="442"/>
      <c r="D551" s="460"/>
      <c r="E551" s="442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  <c r="Y551" s="442"/>
      <c r="Z551" s="442"/>
    </row>
    <row r="552" ht="19.5" customHeight="1">
      <c r="A552" s="442"/>
      <c r="B552" s="459"/>
      <c r="C552" s="442"/>
      <c r="D552" s="460"/>
      <c r="E552" s="442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  <c r="Y552" s="442"/>
      <c r="Z552" s="442"/>
    </row>
    <row r="553" ht="19.5" customHeight="1">
      <c r="A553" s="442"/>
      <c r="B553" s="459"/>
      <c r="C553" s="442"/>
      <c r="D553" s="460"/>
      <c r="E553" s="442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  <c r="Y553" s="442"/>
      <c r="Z553" s="442"/>
    </row>
    <row r="554" ht="19.5" customHeight="1">
      <c r="A554" s="442"/>
      <c r="B554" s="459"/>
      <c r="C554" s="442"/>
      <c r="D554" s="460"/>
      <c r="E554" s="442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  <c r="Y554" s="442"/>
      <c r="Z554" s="442"/>
    </row>
    <row r="555" ht="19.5" customHeight="1">
      <c r="A555" s="442"/>
      <c r="B555" s="459"/>
      <c r="C555" s="442"/>
      <c r="D555" s="460"/>
      <c r="E555" s="442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  <c r="Y555" s="442"/>
      <c r="Z555" s="442"/>
    </row>
    <row r="556" ht="19.5" customHeight="1">
      <c r="A556" s="442"/>
      <c r="B556" s="459"/>
      <c r="C556" s="442"/>
      <c r="D556" s="460"/>
      <c r="E556" s="442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  <c r="Y556" s="442"/>
      <c r="Z556" s="442"/>
    </row>
    <row r="557" ht="19.5" customHeight="1">
      <c r="A557" s="442"/>
      <c r="B557" s="459"/>
      <c r="C557" s="442"/>
      <c r="D557" s="460"/>
      <c r="E557" s="442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  <c r="Y557" s="442"/>
      <c r="Z557" s="442"/>
    </row>
    <row r="558" ht="19.5" customHeight="1">
      <c r="A558" s="442"/>
      <c r="B558" s="459"/>
      <c r="C558" s="442"/>
      <c r="D558" s="460"/>
      <c r="E558" s="442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  <c r="Y558" s="442"/>
      <c r="Z558" s="442"/>
    </row>
    <row r="559" ht="19.5" customHeight="1">
      <c r="A559" s="442"/>
      <c r="B559" s="459"/>
      <c r="C559" s="442"/>
      <c r="D559" s="460"/>
      <c r="E559" s="442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  <c r="Y559" s="442"/>
      <c r="Z559" s="442"/>
    </row>
    <row r="560" ht="19.5" customHeight="1">
      <c r="A560" s="442"/>
      <c r="B560" s="459"/>
      <c r="C560" s="442"/>
      <c r="D560" s="460"/>
      <c r="E560" s="442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  <c r="Y560" s="442"/>
      <c r="Z560" s="442"/>
    </row>
    <row r="561" ht="19.5" customHeight="1">
      <c r="A561" s="442"/>
      <c r="B561" s="459"/>
      <c r="C561" s="442"/>
      <c r="D561" s="460"/>
      <c r="E561" s="442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  <c r="Y561" s="442"/>
      <c r="Z561" s="442"/>
    </row>
    <row r="562" ht="19.5" customHeight="1">
      <c r="A562" s="442"/>
      <c r="B562" s="459"/>
      <c r="C562" s="442"/>
      <c r="D562" s="460"/>
      <c r="E562" s="442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  <c r="Y562" s="442"/>
      <c r="Z562" s="442"/>
    </row>
    <row r="563" ht="19.5" customHeight="1">
      <c r="A563" s="442"/>
      <c r="B563" s="459"/>
      <c r="C563" s="442"/>
      <c r="D563" s="460"/>
      <c r="E563" s="442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  <c r="Y563" s="442"/>
      <c r="Z563" s="442"/>
    </row>
    <row r="564" ht="19.5" customHeight="1">
      <c r="A564" s="442"/>
      <c r="B564" s="459"/>
      <c r="C564" s="442"/>
      <c r="D564" s="460"/>
      <c r="E564" s="442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  <c r="Y564" s="442"/>
      <c r="Z564" s="442"/>
    </row>
    <row r="565" ht="19.5" customHeight="1">
      <c r="A565" s="442"/>
      <c r="B565" s="459"/>
      <c r="C565" s="442"/>
      <c r="D565" s="460"/>
      <c r="E565" s="442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  <c r="Y565" s="442"/>
      <c r="Z565" s="442"/>
    </row>
    <row r="566" ht="19.5" customHeight="1">
      <c r="A566" s="442"/>
      <c r="B566" s="459"/>
      <c r="C566" s="442"/>
      <c r="D566" s="460"/>
      <c r="E566" s="442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  <c r="Y566" s="442"/>
      <c r="Z566" s="442"/>
    </row>
    <row r="567" ht="19.5" customHeight="1">
      <c r="A567" s="442"/>
      <c r="B567" s="459"/>
      <c r="C567" s="442"/>
      <c r="D567" s="460"/>
      <c r="E567" s="442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  <c r="Y567" s="442"/>
      <c r="Z567" s="442"/>
    </row>
    <row r="568" ht="19.5" customHeight="1">
      <c r="A568" s="442"/>
      <c r="B568" s="459"/>
      <c r="C568" s="442"/>
      <c r="D568" s="460"/>
      <c r="E568" s="442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  <c r="Y568" s="442"/>
      <c r="Z568" s="442"/>
    </row>
    <row r="569" ht="19.5" customHeight="1">
      <c r="A569" s="442"/>
      <c r="B569" s="459"/>
      <c r="C569" s="442"/>
      <c r="D569" s="460"/>
      <c r="E569" s="442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  <c r="Y569" s="442"/>
      <c r="Z569" s="442"/>
    </row>
    <row r="570" ht="19.5" customHeight="1">
      <c r="A570" s="442"/>
      <c r="B570" s="459"/>
      <c r="C570" s="442"/>
      <c r="D570" s="460"/>
      <c r="E570" s="442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  <c r="Y570" s="442"/>
      <c r="Z570" s="442"/>
    </row>
    <row r="571" ht="19.5" customHeight="1">
      <c r="A571" s="442"/>
      <c r="B571" s="459"/>
      <c r="C571" s="442"/>
      <c r="D571" s="460"/>
      <c r="E571" s="442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  <c r="Y571" s="442"/>
      <c r="Z571" s="442"/>
    </row>
    <row r="572" ht="19.5" customHeight="1">
      <c r="A572" s="442"/>
      <c r="B572" s="459"/>
      <c r="C572" s="442"/>
      <c r="D572" s="460"/>
      <c r="E572" s="442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  <c r="Y572" s="442"/>
      <c r="Z572" s="442"/>
    </row>
    <row r="573" ht="19.5" customHeight="1">
      <c r="A573" s="442"/>
      <c r="B573" s="459"/>
      <c r="C573" s="442"/>
      <c r="D573" s="460"/>
      <c r="E573" s="442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  <c r="Y573" s="442"/>
      <c r="Z573" s="442"/>
    </row>
    <row r="574" ht="19.5" customHeight="1">
      <c r="A574" s="442"/>
      <c r="B574" s="459"/>
      <c r="C574" s="442"/>
      <c r="D574" s="460"/>
      <c r="E574" s="442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  <c r="Y574" s="442"/>
      <c r="Z574" s="442"/>
    </row>
    <row r="575" ht="19.5" customHeight="1">
      <c r="A575" s="442"/>
      <c r="B575" s="459"/>
      <c r="C575" s="442"/>
      <c r="D575" s="460"/>
      <c r="E575" s="442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  <c r="Y575" s="442"/>
      <c r="Z575" s="442"/>
    </row>
    <row r="576" ht="19.5" customHeight="1">
      <c r="A576" s="442"/>
      <c r="B576" s="459"/>
      <c r="C576" s="442"/>
      <c r="D576" s="460"/>
      <c r="E576" s="442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  <c r="Y576" s="442"/>
      <c r="Z576" s="442"/>
    </row>
    <row r="577" ht="19.5" customHeight="1">
      <c r="A577" s="442"/>
      <c r="B577" s="459"/>
      <c r="C577" s="442"/>
      <c r="D577" s="460"/>
      <c r="E577" s="442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  <c r="Y577" s="442"/>
      <c r="Z577" s="442"/>
    </row>
    <row r="578" ht="19.5" customHeight="1">
      <c r="A578" s="442"/>
      <c r="B578" s="459"/>
      <c r="C578" s="442"/>
      <c r="D578" s="460"/>
      <c r="E578" s="442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  <c r="Y578" s="442"/>
      <c r="Z578" s="442"/>
    </row>
    <row r="579" ht="19.5" customHeight="1">
      <c r="A579" s="442"/>
      <c r="B579" s="459"/>
      <c r="C579" s="442"/>
      <c r="D579" s="460"/>
      <c r="E579" s="442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  <c r="Y579" s="442"/>
      <c r="Z579" s="442"/>
    </row>
    <row r="580" ht="19.5" customHeight="1">
      <c r="A580" s="442"/>
      <c r="B580" s="459"/>
      <c r="C580" s="442"/>
      <c r="D580" s="460"/>
      <c r="E580" s="442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  <c r="Y580" s="442"/>
      <c r="Z580" s="442"/>
    </row>
    <row r="581" ht="19.5" customHeight="1">
      <c r="A581" s="442"/>
      <c r="B581" s="459"/>
      <c r="C581" s="442"/>
      <c r="D581" s="460"/>
      <c r="E581" s="442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  <c r="Y581" s="442"/>
      <c r="Z581" s="442"/>
    </row>
    <row r="582" ht="19.5" customHeight="1">
      <c r="A582" s="442"/>
      <c r="B582" s="459"/>
      <c r="C582" s="442"/>
      <c r="D582" s="460"/>
      <c r="E582" s="442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  <c r="Y582" s="442"/>
      <c r="Z582" s="442"/>
    </row>
    <row r="583" ht="19.5" customHeight="1">
      <c r="A583" s="442"/>
      <c r="B583" s="459"/>
      <c r="C583" s="442"/>
      <c r="D583" s="460"/>
      <c r="E583" s="442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  <c r="Y583" s="442"/>
      <c r="Z583" s="442"/>
    </row>
    <row r="584" ht="19.5" customHeight="1">
      <c r="A584" s="442"/>
      <c r="B584" s="459"/>
      <c r="C584" s="442"/>
      <c r="D584" s="460"/>
      <c r="E584" s="442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  <c r="Y584" s="442"/>
      <c r="Z584" s="442"/>
    </row>
    <row r="585" ht="19.5" customHeight="1">
      <c r="A585" s="442"/>
      <c r="B585" s="459"/>
      <c r="C585" s="442"/>
      <c r="D585" s="460"/>
      <c r="E585" s="442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  <c r="Y585" s="442"/>
      <c r="Z585" s="442"/>
    </row>
    <row r="586" ht="19.5" customHeight="1">
      <c r="A586" s="442"/>
      <c r="B586" s="459"/>
      <c r="C586" s="442"/>
      <c r="D586" s="460"/>
      <c r="E586" s="442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  <c r="Y586" s="442"/>
      <c r="Z586" s="442"/>
    </row>
    <row r="587" ht="19.5" customHeight="1">
      <c r="A587" s="442"/>
      <c r="B587" s="459"/>
      <c r="C587" s="442"/>
      <c r="D587" s="460"/>
      <c r="E587" s="442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  <c r="Y587" s="442"/>
      <c r="Z587" s="442"/>
    </row>
    <row r="588" ht="19.5" customHeight="1">
      <c r="A588" s="442"/>
      <c r="B588" s="459"/>
      <c r="C588" s="442"/>
      <c r="D588" s="460"/>
      <c r="E588" s="442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  <c r="Y588" s="442"/>
      <c r="Z588" s="442"/>
    </row>
    <row r="589" ht="19.5" customHeight="1">
      <c r="A589" s="442"/>
      <c r="B589" s="459"/>
      <c r="C589" s="442"/>
      <c r="D589" s="460"/>
      <c r="E589" s="442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  <c r="Y589" s="442"/>
      <c r="Z589" s="442"/>
    </row>
    <row r="590" ht="19.5" customHeight="1">
      <c r="A590" s="442"/>
      <c r="B590" s="459"/>
      <c r="C590" s="442"/>
      <c r="D590" s="460"/>
      <c r="E590" s="442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  <c r="Y590" s="442"/>
      <c r="Z590" s="442"/>
    </row>
    <row r="591" ht="19.5" customHeight="1">
      <c r="A591" s="442"/>
      <c r="B591" s="459"/>
      <c r="C591" s="442"/>
      <c r="D591" s="460"/>
      <c r="E591" s="442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  <c r="Y591" s="442"/>
      <c r="Z591" s="442"/>
    </row>
    <row r="592" ht="19.5" customHeight="1">
      <c r="A592" s="442"/>
      <c r="B592" s="459"/>
      <c r="C592" s="442"/>
      <c r="D592" s="460"/>
      <c r="E592" s="442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  <c r="Y592" s="442"/>
      <c r="Z592" s="442"/>
    </row>
    <row r="593" ht="19.5" customHeight="1">
      <c r="A593" s="442"/>
      <c r="B593" s="459"/>
      <c r="C593" s="442"/>
      <c r="D593" s="460"/>
      <c r="E593" s="442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  <c r="Y593" s="442"/>
      <c r="Z593" s="442"/>
    </row>
    <row r="594" ht="19.5" customHeight="1">
      <c r="A594" s="442"/>
      <c r="B594" s="459"/>
      <c r="C594" s="442"/>
      <c r="D594" s="460"/>
      <c r="E594" s="442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  <c r="Y594" s="442"/>
      <c r="Z594" s="442"/>
    </row>
    <row r="595" ht="19.5" customHeight="1">
      <c r="A595" s="442"/>
      <c r="B595" s="459"/>
      <c r="C595" s="442"/>
      <c r="D595" s="460"/>
      <c r="E595" s="442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  <c r="Y595" s="442"/>
      <c r="Z595" s="442"/>
    </row>
    <row r="596" ht="19.5" customHeight="1">
      <c r="A596" s="442"/>
      <c r="B596" s="459"/>
      <c r="C596" s="442"/>
      <c r="D596" s="460"/>
      <c r="E596" s="442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  <c r="Y596" s="442"/>
      <c r="Z596" s="442"/>
    </row>
    <row r="597" ht="19.5" customHeight="1">
      <c r="A597" s="442"/>
      <c r="B597" s="459"/>
      <c r="C597" s="442"/>
      <c r="D597" s="460"/>
      <c r="E597" s="442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  <c r="Y597" s="442"/>
      <c r="Z597" s="442"/>
    </row>
    <row r="598" ht="19.5" customHeight="1">
      <c r="A598" s="442"/>
      <c r="B598" s="459"/>
      <c r="C598" s="442"/>
      <c r="D598" s="460"/>
      <c r="E598" s="442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  <c r="Y598" s="442"/>
      <c r="Z598" s="442"/>
    </row>
    <row r="599" ht="19.5" customHeight="1">
      <c r="A599" s="442"/>
      <c r="B599" s="459"/>
      <c r="C599" s="442"/>
      <c r="D599" s="460"/>
      <c r="E599" s="442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  <c r="Y599" s="442"/>
      <c r="Z599" s="442"/>
    </row>
    <row r="600" ht="19.5" customHeight="1">
      <c r="A600" s="442"/>
      <c r="B600" s="459"/>
      <c r="C600" s="442"/>
      <c r="D600" s="460"/>
      <c r="E600" s="442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  <c r="Y600" s="442"/>
      <c r="Z600" s="442"/>
    </row>
    <row r="601" ht="19.5" customHeight="1">
      <c r="A601" s="442"/>
      <c r="B601" s="459"/>
      <c r="C601" s="442"/>
      <c r="D601" s="460"/>
      <c r="E601" s="442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  <c r="Y601" s="442"/>
      <c r="Z601" s="442"/>
    </row>
    <row r="602" ht="19.5" customHeight="1">
      <c r="A602" s="442"/>
      <c r="B602" s="459"/>
      <c r="C602" s="442"/>
      <c r="D602" s="460"/>
      <c r="E602" s="442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  <c r="Y602" s="442"/>
      <c r="Z602" s="442"/>
    </row>
    <row r="603" ht="19.5" customHeight="1">
      <c r="A603" s="442"/>
      <c r="B603" s="459"/>
      <c r="C603" s="442"/>
      <c r="D603" s="460"/>
      <c r="E603" s="442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  <c r="Y603" s="442"/>
      <c r="Z603" s="442"/>
    </row>
    <row r="604" ht="19.5" customHeight="1">
      <c r="A604" s="442"/>
      <c r="B604" s="459"/>
      <c r="C604" s="442"/>
      <c r="D604" s="460"/>
      <c r="E604" s="442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  <c r="Y604" s="442"/>
      <c r="Z604" s="442"/>
    </row>
    <row r="605" ht="19.5" customHeight="1">
      <c r="A605" s="442"/>
      <c r="B605" s="459"/>
      <c r="C605" s="442"/>
      <c r="D605" s="460"/>
      <c r="E605" s="442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  <c r="Y605" s="442"/>
      <c r="Z605" s="442"/>
    </row>
    <row r="606" ht="19.5" customHeight="1">
      <c r="A606" s="442"/>
      <c r="B606" s="459"/>
      <c r="C606" s="442"/>
      <c r="D606" s="460"/>
      <c r="E606" s="442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  <c r="Y606" s="442"/>
      <c r="Z606" s="442"/>
    </row>
    <row r="607" ht="19.5" customHeight="1">
      <c r="A607" s="442"/>
      <c r="B607" s="459"/>
      <c r="C607" s="442"/>
      <c r="D607" s="460"/>
      <c r="E607" s="442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  <c r="Y607" s="442"/>
      <c r="Z607" s="442"/>
    </row>
    <row r="608" ht="19.5" customHeight="1">
      <c r="A608" s="442"/>
      <c r="B608" s="459"/>
      <c r="C608" s="442"/>
      <c r="D608" s="460"/>
      <c r="E608" s="442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  <c r="Y608" s="442"/>
      <c r="Z608" s="442"/>
    </row>
    <row r="609" ht="19.5" customHeight="1">
      <c r="A609" s="442"/>
      <c r="B609" s="459"/>
      <c r="C609" s="442"/>
      <c r="D609" s="460"/>
      <c r="E609" s="442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  <c r="Y609" s="442"/>
      <c r="Z609" s="442"/>
    </row>
    <row r="610" ht="19.5" customHeight="1">
      <c r="A610" s="442"/>
      <c r="B610" s="459"/>
      <c r="C610" s="442"/>
      <c r="D610" s="460"/>
      <c r="E610" s="442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  <c r="Y610" s="442"/>
      <c r="Z610" s="442"/>
    </row>
    <row r="611" ht="19.5" customHeight="1">
      <c r="A611" s="442"/>
      <c r="B611" s="459"/>
      <c r="C611" s="442"/>
      <c r="D611" s="460"/>
      <c r="E611" s="442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  <c r="Y611" s="442"/>
      <c r="Z611" s="442"/>
    </row>
    <row r="612" ht="19.5" customHeight="1">
      <c r="A612" s="442"/>
      <c r="B612" s="459"/>
      <c r="C612" s="442"/>
      <c r="D612" s="460"/>
      <c r="E612" s="442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  <c r="Y612" s="442"/>
      <c r="Z612" s="442"/>
    </row>
    <row r="613" ht="19.5" customHeight="1">
      <c r="A613" s="442"/>
      <c r="B613" s="459"/>
      <c r="C613" s="442"/>
      <c r="D613" s="460"/>
      <c r="E613" s="442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  <c r="Y613" s="442"/>
      <c r="Z613" s="442"/>
    </row>
    <row r="614" ht="19.5" customHeight="1">
      <c r="A614" s="442"/>
      <c r="B614" s="459"/>
      <c r="C614" s="442"/>
      <c r="D614" s="460"/>
      <c r="E614" s="442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  <c r="Y614" s="442"/>
      <c r="Z614" s="442"/>
    </row>
    <row r="615" ht="19.5" customHeight="1">
      <c r="A615" s="442"/>
      <c r="B615" s="459"/>
      <c r="C615" s="442"/>
      <c r="D615" s="460"/>
      <c r="E615" s="442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  <c r="Y615" s="442"/>
      <c r="Z615" s="442"/>
    </row>
    <row r="616" ht="19.5" customHeight="1">
      <c r="A616" s="442"/>
      <c r="B616" s="459"/>
      <c r="C616" s="442"/>
      <c r="D616" s="460"/>
      <c r="E616" s="442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  <c r="Y616" s="442"/>
      <c r="Z616" s="442"/>
    </row>
    <row r="617" ht="19.5" customHeight="1">
      <c r="A617" s="442"/>
      <c r="B617" s="459"/>
      <c r="C617" s="442"/>
      <c r="D617" s="460"/>
      <c r="E617" s="442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  <c r="Y617" s="442"/>
      <c r="Z617" s="442"/>
    </row>
    <row r="618" ht="19.5" customHeight="1">
      <c r="A618" s="442"/>
      <c r="B618" s="459"/>
      <c r="C618" s="442"/>
      <c r="D618" s="460"/>
      <c r="E618" s="442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  <c r="Y618" s="442"/>
      <c r="Z618" s="442"/>
    </row>
    <row r="619" ht="19.5" customHeight="1">
      <c r="A619" s="442"/>
      <c r="B619" s="459"/>
      <c r="C619" s="442"/>
      <c r="D619" s="460"/>
      <c r="E619" s="442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  <c r="Y619" s="442"/>
      <c r="Z619" s="442"/>
    </row>
    <row r="620" ht="19.5" customHeight="1">
      <c r="A620" s="442"/>
      <c r="B620" s="459"/>
      <c r="C620" s="442"/>
      <c r="D620" s="460"/>
      <c r="E620" s="442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  <c r="Y620" s="442"/>
      <c r="Z620" s="442"/>
    </row>
    <row r="621" ht="19.5" customHeight="1">
      <c r="A621" s="442"/>
      <c r="B621" s="459"/>
      <c r="C621" s="442"/>
      <c r="D621" s="460"/>
      <c r="E621" s="442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  <c r="Y621" s="442"/>
      <c r="Z621" s="442"/>
    </row>
    <row r="622" ht="19.5" customHeight="1">
      <c r="A622" s="442"/>
      <c r="B622" s="459"/>
      <c r="C622" s="442"/>
      <c r="D622" s="460"/>
      <c r="E622" s="442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  <c r="Y622" s="442"/>
      <c r="Z622" s="442"/>
    </row>
    <row r="623" ht="19.5" customHeight="1">
      <c r="A623" s="442"/>
      <c r="B623" s="459"/>
      <c r="C623" s="442"/>
      <c r="D623" s="460"/>
      <c r="E623" s="442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  <c r="Y623" s="442"/>
      <c r="Z623" s="442"/>
    </row>
    <row r="624" ht="19.5" customHeight="1">
      <c r="A624" s="442"/>
      <c r="B624" s="459"/>
      <c r="C624" s="442"/>
      <c r="D624" s="460"/>
      <c r="E624" s="442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  <c r="Y624" s="442"/>
      <c r="Z624" s="442"/>
    </row>
    <row r="625" ht="19.5" customHeight="1">
      <c r="A625" s="442"/>
      <c r="B625" s="459"/>
      <c r="C625" s="442"/>
      <c r="D625" s="460"/>
      <c r="E625" s="442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  <c r="Y625" s="442"/>
      <c r="Z625" s="442"/>
    </row>
    <row r="626" ht="19.5" customHeight="1">
      <c r="A626" s="442"/>
      <c r="B626" s="459"/>
      <c r="C626" s="442"/>
      <c r="D626" s="460"/>
      <c r="E626" s="442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  <c r="Y626" s="442"/>
      <c r="Z626" s="442"/>
    </row>
    <row r="627" ht="19.5" customHeight="1">
      <c r="A627" s="442"/>
      <c r="B627" s="459"/>
      <c r="C627" s="442"/>
      <c r="D627" s="460"/>
      <c r="E627" s="442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  <c r="Y627" s="442"/>
      <c r="Z627" s="442"/>
    </row>
    <row r="628" ht="19.5" customHeight="1">
      <c r="A628" s="442"/>
      <c r="B628" s="459"/>
      <c r="C628" s="442"/>
      <c r="D628" s="460"/>
      <c r="E628" s="442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  <c r="Y628" s="442"/>
      <c r="Z628" s="442"/>
    </row>
    <row r="629" ht="19.5" customHeight="1">
      <c r="A629" s="442"/>
      <c r="B629" s="459"/>
      <c r="C629" s="442"/>
      <c r="D629" s="460"/>
      <c r="E629" s="442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  <c r="Y629" s="442"/>
      <c r="Z629" s="442"/>
    </row>
    <row r="630" ht="19.5" customHeight="1">
      <c r="A630" s="442"/>
      <c r="B630" s="459"/>
      <c r="C630" s="442"/>
      <c r="D630" s="460"/>
      <c r="E630" s="442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  <c r="Y630" s="442"/>
      <c r="Z630" s="442"/>
    </row>
    <row r="631" ht="19.5" customHeight="1">
      <c r="A631" s="442"/>
      <c r="B631" s="459"/>
      <c r="C631" s="442"/>
      <c r="D631" s="460"/>
      <c r="E631" s="442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  <c r="Y631" s="442"/>
      <c r="Z631" s="442"/>
    </row>
    <row r="632" ht="19.5" customHeight="1">
      <c r="A632" s="442"/>
      <c r="B632" s="459"/>
      <c r="C632" s="442"/>
      <c r="D632" s="460"/>
      <c r="E632" s="442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  <c r="Y632" s="442"/>
      <c r="Z632" s="442"/>
    </row>
    <row r="633" ht="19.5" customHeight="1">
      <c r="A633" s="442"/>
      <c r="B633" s="459"/>
      <c r="C633" s="442"/>
      <c r="D633" s="460"/>
      <c r="E633" s="442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  <c r="Y633" s="442"/>
      <c r="Z633" s="442"/>
    </row>
    <row r="634" ht="19.5" customHeight="1">
      <c r="A634" s="442"/>
      <c r="B634" s="459"/>
      <c r="C634" s="442"/>
      <c r="D634" s="460"/>
      <c r="E634" s="442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  <c r="Y634" s="442"/>
      <c r="Z634" s="442"/>
    </row>
    <row r="635" ht="19.5" customHeight="1">
      <c r="A635" s="442"/>
      <c r="B635" s="459"/>
      <c r="C635" s="442"/>
      <c r="D635" s="460"/>
      <c r="E635" s="442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  <c r="Y635" s="442"/>
      <c r="Z635" s="442"/>
    </row>
    <row r="636" ht="19.5" customHeight="1">
      <c r="A636" s="442"/>
      <c r="B636" s="459"/>
      <c r="C636" s="442"/>
      <c r="D636" s="460"/>
      <c r="E636" s="442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  <c r="Y636" s="442"/>
      <c r="Z636" s="442"/>
    </row>
    <row r="637" ht="19.5" customHeight="1">
      <c r="A637" s="442"/>
      <c r="B637" s="459"/>
      <c r="C637" s="442"/>
      <c r="D637" s="460"/>
      <c r="E637" s="442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  <c r="Y637" s="442"/>
      <c r="Z637" s="442"/>
    </row>
    <row r="638" ht="19.5" customHeight="1">
      <c r="A638" s="442"/>
      <c r="B638" s="459"/>
      <c r="C638" s="442"/>
      <c r="D638" s="460"/>
      <c r="E638" s="442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  <c r="Y638" s="442"/>
      <c r="Z638" s="442"/>
    </row>
    <row r="639" ht="19.5" customHeight="1">
      <c r="A639" s="442"/>
      <c r="B639" s="459"/>
      <c r="C639" s="442"/>
      <c r="D639" s="460"/>
      <c r="E639" s="442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  <c r="Y639" s="442"/>
      <c r="Z639" s="442"/>
    </row>
    <row r="640" ht="19.5" customHeight="1">
      <c r="A640" s="442"/>
      <c r="B640" s="459"/>
      <c r="C640" s="442"/>
      <c r="D640" s="460"/>
      <c r="E640" s="442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  <c r="Y640" s="442"/>
      <c r="Z640" s="442"/>
    </row>
    <row r="641" ht="19.5" customHeight="1">
      <c r="A641" s="442"/>
      <c r="B641" s="459"/>
      <c r="C641" s="442"/>
      <c r="D641" s="460"/>
      <c r="E641" s="442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  <c r="Y641" s="442"/>
      <c r="Z641" s="442"/>
    </row>
    <row r="642" ht="19.5" customHeight="1">
      <c r="A642" s="442"/>
      <c r="B642" s="459"/>
      <c r="C642" s="442"/>
      <c r="D642" s="460"/>
      <c r="E642" s="442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  <c r="Y642" s="442"/>
      <c r="Z642" s="442"/>
    </row>
    <row r="643" ht="19.5" customHeight="1">
      <c r="A643" s="442"/>
      <c r="B643" s="459"/>
      <c r="C643" s="442"/>
      <c r="D643" s="460"/>
      <c r="E643" s="442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  <c r="Y643" s="442"/>
      <c r="Z643" s="442"/>
    </row>
    <row r="644" ht="19.5" customHeight="1">
      <c r="A644" s="442"/>
      <c r="B644" s="459"/>
      <c r="C644" s="442"/>
      <c r="D644" s="460"/>
      <c r="E644" s="442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  <c r="Y644" s="442"/>
      <c r="Z644" s="442"/>
    </row>
    <row r="645" ht="19.5" customHeight="1">
      <c r="A645" s="442"/>
      <c r="B645" s="459"/>
      <c r="C645" s="442"/>
      <c r="D645" s="460"/>
      <c r="E645" s="442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  <c r="Y645" s="442"/>
      <c r="Z645" s="442"/>
    </row>
    <row r="646" ht="19.5" customHeight="1">
      <c r="A646" s="442"/>
      <c r="B646" s="459"/>
      <c r="C646" s="442"/>
      <c r="D646" s="460"/>
      <c r="E646" s="442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  <c r="Y646" s="442"/>
      <c r="Z646" s="442"/>
    </row>
    <row r="647" ht="19.5" customHeight="1">
      <c r="A647" s="442"/>
      <c r="B647" s="459"/>
      <c r="C647" s="442"/>
      <c r="D647" s="460"/>
      <c r="E647" s="442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  <c r="Y647" s="442"/>
      <c r="Z647" s="442"/>
    </row>
    <row r="648" ht="19.5" customHeight="1">
      <c r="A648" s="442"/>
      <c r="B648" s="459"/>
      <c r="C648" s="442"/>
      <c r="D648" s="460"/>
      <c r="E648" s="442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  <c r="Y648" s="442"/>
      <c r="Z648" s="442"/>
    </row>
    <row r="649" ht="19.5" customHeight="1">
      <c r="A649" s="442"/>
      <c r="B649" s="459"/>
      <c r="C649" s="442"/>
      <c r="D649" s="460"/>
      <c r="E649" s="442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  <c r="Y649" s="442"/>
      <c r="Z649" s="442"/>
    </row>
    <row r="650" ht="19.5" customHeight="1">
      <c r="A650" s="442"/>
      <c r="B650" s="459"/>
      <c r="C650" s="442"/>
      <c r="D650" s="460"/>
      <c r="E650" s="442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  <c r="Y650" s="442"/>
      <c r="Z650" s="442"/>
    </row>
    <row r="651" ht="19.5" customHeight="1">
      <c r="A651" s="442"/>
      <c r="B651" s="459"/>
      <c r="C651" s="442"/>
      <c r="D651" s="460"/>
      <c r="E651" s="442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  <c r="Y651" s="442"/>
      <c r="Z651" s="442"/>
    </row>
    <row r="652" ht="19.5" customHeight="1">
      <c r="A652" s="442"/>
      <c r="B652" s="459"/>
      <c r="C652" s="442"/>
      <c r="D652" s="460"/>
      <c r="E652" s="442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  <c r="Y652" s="442"/>
      <c r="Z652" s="442"/>
    </row>
    <row r="653" ht="19.5" customHeight="1">
      <c r="A653" s="442"/>
      <c r="B653" s="459"/>
      <c r="C653" s="442"/>
      <c r="D653" s="460"/>
      <c r="E653" s="442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  <c r="Y653" s="442"/>
      <c r="Z653" s="442"/>
    </row>
    <row r="654" ht="19.5" customHeight="1">
      <c r="A654" s="442"/>
      <c r="B654" s="459"/>
      <c r="C654" s="442"/>
      <c r="D654" s="460"/>
      <c r="E654" s="442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  <c r="Y654" s="442"/>
      <c r="Z654" s="442"/>
    </row>
    <row r="655" ht="19.5" customHeight="1">
      <c r="A655" s="442"/>
      <c r="B655" s="459"/>
      <c r="C655" s="442"/>
      <c r="D655" s="460"/>
      <c r="E655" s="442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  <c r="Y655" s="442"/>
      <c r="Z655" s="442"/>
    </row>
    <row r="656" ht="19.5" customHeight="1">
      <c r="A656" s="442"/>
      <c r="B656" s="459"/>
      <c r="C656" s="442"/>
      <c r="D656" s="460"/>
      <c r="E656" s="442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  <c r="Y656" s="442"/>
      <c r="Z656" s="442"/>
    </row>
    <row r="657" ht="19.5" customHeight="1">
      <c r="A657" s="442"/>
      <c r="B657" s="459"/>
      <c r="C657" s="442"/>
      <c r="D657" s="460"/>
      <c r="E657" s="442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  <c r="Y657" s="442"/>
      <c r="Z657" s="442"/>
    </row>
    <row r="658" ht="19.5" customHeight="1">
      <c r="A658" s="442"/>
      <c r="B658" s="459"/>
      <c r="C658" s="442"/>
      <c r="D658" s="460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  <c r="Y658" s="442"/>
      <c r="Z658" s="442"/>
    </row>
    <row r="659" ht="19.5" customHeight="1">
      <c r="A659" s="442"/>
      <c r="B659" s="459"/>
      <c r="C659" s="442"/>
      <c r="D659" s="460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  <c r="Y659" s="442"/>
      <c r="Z659" s="442"/>
    </row>
    <row r="660" ht="19.5" customHeight="1">
      <c r="A660" s="442"/>
      <c r="B660" s="459"/>
      <c r="C660" s="442"/>
      <c r="D660" s="460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  <c r="Y660" s="442"/>
      <c r="Z660" s="442"/>
    </row>
    <row r="661" ht="19.5" customHeight="1">
      <c r="A661" s="442"/>
      <c r="B661" s="459"/>
      <c r="C661" s="442"/>
      <c r="D661" s="460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  <c r="Y661" s="442"/>
      <c r="Z661" s="442"/>
    </row>
    <row r="662" ht="19.5" customHeight="1">
      <c r="A662" s="442"/>
      <c r="B662" s="459"/>
      <c r="C662" s="442"/>
      <c r="D662" s="460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  <c r="Y662" s="442"/>
      <c r="Z662" s="442"/>
    </row>
    <row r="663" ht="19.5" customHeight="1">
      <c r="A663" s="442"/>
      <c r="B663" s="459"/>
      <c r="C663" s="442"/>
      <c r="D663" s="460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  <c r="Y663" s="442"/>
      <c r="Z663" s="442"/>
    </row>
    <row r="664" ht="19.5" customHeight="1">
      <c r="A664" s="442"/>
      <c r="B664" s="459"/>
      <c r="C664" s="442"/>
      <c r="D664" s="460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  <c r="Y664" s="442"/>
      <c r="Z664" s="442"/>
    </row>
    <row r="665" ht="19.5" customHeight="1">
      <c r="A665" s="442"/>
      <c r="B665" s="459"/>
      <c r="C665" s="442"/>
      <c r="D665" s="460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  <c r="Y665" s="442"/>
      <c r="Z665" s="442"/>
    </row>
    <row r="666" ht="19.5" customHeight="1">
      <c r="A666" s="442"/>
      <c r="B666" s="459"/>
      <c r="C666" s="442"/>
      <c r="D666" s="460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  <c r="Y666" s="442"/>
      <c r="Z666" s="442"/>
    </row>
    <row r="667" ht="19.5" customHeight="1">
      <c r="A667" s="442"/>
      <c r="B667" s="459"/>
      <c r="C667" s="442"/>
      <c r="D667" s="460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  <c r="Y667" s="442"/>
      <c r="Z667" s="442"/>
    </row>
    <row r="668" ht="19.5" customHeight="1">
      <c r="A668" s="442"/>
      <c r="B668" s="459"/>
      <c r="C668" s="442"/>
      <c r="D668" s="460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  <c r="Y668" s="442"/>
      <c r="Z668" s="442"/>
    </row>
    <row r="669" ht="19.5" customHeight="1">
      <c r="A669" s="442"/>
      <c r="B669" s="459"/>
      <c r="C669" s="442"/>
      <c r="D669" s="460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  <c r="Y669" s="442"/>
      <c r="Z669" s="442"/>
    </row>
    <row r="670" ht="19.5" customHeight="1">
      <c r="A670" s="442"/>
      <c r="B670" s="459"/>
      <c r="C670" s="442"/>
      <c r="D670" s="460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  <c r="Y670" s="442"/>
      <c r="Z670" s="442"/>
    </row>
    <row r="671" ht="19.5" customHeight="1">
      <c r="A671" s="442"/>
      <c r="B671" s="459"/>
      <c r="C671" s="442"/>
      <c r="D671" s="460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  <c r="Y671" s="442"/>
      <c r="Z671" s="442"/>
    </row>
    <row r="672" ht="19.5" customHeight="1">
      <c r="A672" s="442"/>
      <c r="B672" s="459"/>
      <c r="C672" s="442"/>
      <c r="D672" s="460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  <c r="Y672" s="442"/>
      <c r="Z672" s="442"/>
    </row>
    <row r="673" ht="19.5" customHeight="1">
      <c r="A673" s="442"/>
      <c r="B673" s="459"/>
      <c r="C673" s="442"/>
      <c r="D673" s="460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  <c r="Y673" s="442"/>
      <c r="Z673" s="442"/>
    </row>
    <row r="674" ht="19.5" customHeight="1">
      <c r="A674" s="442"/>
      <c r="B674" s="459"/>
      <c r="C674" s="442"/>
      <c r="D674" s="460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  <c r="Y674" s="442"/>
      <c r="Z674" s="442"/>
    </row>
    <row r="675" ht="19.5" customHeight="1">
      <c r="A675" s="442"/>
      <c r="B675" s="459"/>
      <c r="C675" s="442"/>
      <c r="D675" s="460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  <c r="Y675" s="442"/>
      <c r="Z675" s="442"/>
    </row>
    <row r="676" ht="19.5" customHeight="1">
      <c r="A676" s="442"/>
      <c r="B676" s="459"/>
      <c r="C676" s="442"/>
      <c r="D676" s="460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  <c r="Y676" s="442"/>
      <c r="Z676" s="442"/>
    </row>
    <row r="677" ht="19.5" customHeight="1">
      <c r="A677" s="442"/>
      <c r="B677" s="459"/>
      <c r="C677" s="442"/>
      <c r="D677" s="460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  <c r="Y677" s="442"/>
      <c r="Z677" s="442"/>
    </row>
    <row r="678" ht="19.5" customHeight="1">
      <c r="A678" s="442"/>
      <c r="B678" s="459"/>
      <c r="C678" s="442"/>
      <c r="D678" s="460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  <c r="Y678" s="442"/>
      <c r="Z678" s="442"/>
    </row>
    <row r="679" ht="19.5" customHeight="1">
      <c r="A679" s="442"/>
      <c r="B679" s="459"/>
      <c r="C679" s="442"/>
      <c r="D679" s="460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  <c r="Y679" s="442"/>
      <c r="Z679" s="442"/>
    </row>
    <row r="680" ht="19.5" customHeight="1">
      <c r="A680" s="442"/>
      <c r="B680" s="459"/>
      <c r="C680" s="442"/>
      <c r="D680" s="460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  <c r="Y680" s="442"/>
      <c r="Z680" s="442"/>
    </row>
    <row r="681" ht="19.5" customHeight="1">
      <c r="A681" s="442"/>
      <c r="B681" s="459"/>
      <c r="C681" s="442"/>
      <c r="D681" s="460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  <c r="Y681" s="442"/>
      <c r="Z681" s="442"/>
    </row>
    <row r="682" ht="19.5" customHeight="1">
      <c r="A682" s="442"/>
      <c r="B682" s="459"/>
      <c r="C682" s="442"/>
      <c r="D682" s="460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  <c r="Y682" s="442"/>
      <c r="Z682" s="442"/>
    </row>
    <row r="683" ht="19.5" customHeight="1">
      <c r="A683" s="442"/>
      <c r="B683" s="459"/>
      <c r="C683" s="442"/>
      <c r="D683" s="460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  <c r="Y683" s="442"/>
      <c r="Z683" s="442"/>
    </row>
    <row r="684" ht="19.5" customHeight="1">
      <c r="A684" s="442"/>
      <c r="B684" s="459"/>
      <c r="C684" s="442"/>
      <c r="D684" s="460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  <c r="Y684" s="442"/>
      <c r="Z684" s="442"/>
    </row>
    <row r="685" ht="19.5" customHeight="1">
      <c r="A685" s="442"/>
      <c r="B685" s="459"/>
      <c r="C685" s="442"/>
      <c r="D685" s="460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  <c r="Y685" s="442"/>
      <c r="Z685" s="442"/>
    </row>
    <row r="686" ht="19.5" customHeight="1">
      <c r="A686" s="442"/>
      <c r="B686" s="459"/>
      <c r="C686" s="442"/>
      <c r="D686" s="460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  <c r="Y686" s="442"/>
      <c r="Z686" s="442"/>
    </row>
    <row r="687" ht="19.5" customHeight="1">
      <c r="A687" s="442"/>
      <c r="B687" s="459"/>
      <c r="C687" s="442"/>
      <c r="D687" s="460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  <c r="Y687" s="442"/>
      <c r="Z687" s="442"/>
    </row>
    <row r="688" ht="19.5" customHeight="1">
      <c r="A688" s="442"/>
      <c r="B688" s="459"/>
      <c r="C688" s="442"/>
      <c r="D688" s="460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  <c r="Y688" s="442"/>
      <c r="Z688" s="442"/>
    </row>
    <row r="689" ht="19.5" customHeight="1">
      <c r="A689" s="442"/>
      <c r="B689" s="459"/>
      <c r="C689" s="442"/>
      <c r="D689" s="460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  <c r="Y689" s="442"/>
      <c r="Z689" s="442"/>
    </row>
    <row r="690" ht="19.5" customHeight="1">
      <c r="A690" s="442"/>
      <c r="B690" s="459"/>
      <c r="C690" s="442"/>
      <c r="D690" s="460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  <c r="Y690" s="442"/>
      <c r="Z690" s="442"/>
    </row>
    <row r="691" ht="19.5" customHeight="1">
      <c r="A691" s="442"/>
      <c r="B691" s="459"/>
      <c r="C691" s="442"/>
      <c r="D691" s="460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  <c r="Y691" s="442"/>
      <c r="Z691" s="442"/>
    </row>
    <row r="692" ht="19.5" customHeight="1">
      <c r="A692" s="442"/>
      <c r="B692" s="459"/>
      <c r="C692" s="442"/>
      <c r="D692" s="460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  <c r="Y692" s="442"/>
      <c r="Z692" s="442"/>
    </row>
    <row r="693" ht="19.5" customHeight="1">
      <c r="A693" s="442"/>
      <c r="B693" s="459"/>
      <c r="C693" s="442"/>
      <c r="D693" s="460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  <c r="Y693" s="442"/>
      <c r="Z693" s="442"/>
    </row>
    <row r="694" ht="19.5" customHeight="1">
      <c r="A694" s="442"/>
      <c r="B694" s="459"/>
      <c r="C694" s="442"/>
      <c r="D694" s="460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  <c r="Y694" s="442"/>
      <c r="Z694" s="442"/>
    </row>
    <row r="695" ht="19.5" customHeight="1">
      <c r="A695" s="442"/>
      <c r="B695" s="459"/>
      <c r="C695" s="442"/>
      <c r="D695" s="460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  <c r="Y695" s="442"/>
      <c r="Z695" s="442"/>
    </row>
    <row r="696" ht="19.5" customHeight="1">
      <c r="A696" s="442"/>
      <c r="B696" s="459"/>
      <c r="C696" s="442"/>
      <c r="D696" s="460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  <c r="Y696" s="442"/>
      <c r="Z696" s="442"/>
    </row>
    <row r="697" ht="19.5" customHeight="1">
      <c r="A697" s="442"/>
      <c r="B697" s="459"/>
      <c r="C697" s="442"/>
      <c r="D697" s="460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  <c r="Y697" s="442"/>
      <c r="Z697" s="442"/>
    </row>
    <row r="698" ht="19.5" customHeight="1">
      <c r="A698" s="442"/>
      <c r="B698" s="459"/>
      <c r="C698" s="442"/>
      <c r="D698" s="460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  <c r="Y698" s="442"/>
      <c r="Z698" s="442"/>
    </row>
    <row r="699" ht="19.5" customHeight="1">
      <c r="A699" s="442"/>
      <c r="B699" s="459"/>
      <c r="C699" s="442"/>
      <c r="D699" s="460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  <c r="Y699" s="442"/>
      <c r="Z699" s="442"/>
    </row>
    <row r="700" ht="19.5" customHeight="1">
      <c r="A700" s="442"/>
      <c r="B700" s="459"/>
      <c r="C700" s="442"/>
      <c r="D700" s="460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  <c r="Y700" s="442"/>
      <c r="Z700" s="442"/>
    </row>
    <row r="701" ht="19.5" customHeight="1">
      <c r="A701" s="442"/>
      <c r="B701" s="459"/>
      <c r="C701" s="442"/>
      <c r="D701" s="460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  <c r="Y701" s="442"/>
      <c r="Z701" s="442"/>
    </row>
    <row r="702" ht="19.5" customHeight="1">
      <c r="A702" s="442"/>
      <c r="B702" s="459"/>
      <c r="C702" s="442"/>
      <c r="D702" s="460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  <c r="Y702" s="442"/>
      <c r="Z702" s="442"/>
    </row>
    <row r="703" ht="19.5" customHeight="1">
      <c r="A703" s="442"/>
      <c r="B703" s="459"/>
      <c r="C703" s="442"/>
      <c r="D703" s="460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  <c r="Y703" s="442"/>
      <c r="Z703" s="442"/>
    </row>
    <row r="704" ht="19.5" customHeight="1">
      <c r="A704" s="442"/>
      <c r="B704" s="459"/>
      <c r="C704" s="442"/>
      <c r="D704" s="460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  <c r="Y704" s="442"/>
      <c r="Z704" s="442"/>
    </row>
    <row r="705" ht="19.5" customHeight="1">
      <c r="A705" s="442"/>
      <c r="B705" s="459"/>
      <c r="C705" s="442"/>
      <c r="D705" s="460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  <c r="Y705" s="442"/>
      <c r="Z705" s="442"/>
    </row>
    <row r="706" ht="19.5" customHeight="1">
      <c r="A706" s="442"/>
      <c r="B706" s="459"/>
      <c r="C706" s="442"/>
      <c r="D706" s="460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  <c r="Y706" s="442"/>
      <c r="Z706" s="442"/>
    </row>
    <row r="707" ht="19.5" customHeight="1">
      <c r="A707" s="442"/>
      <c r="B707" s="459"/>
      <c r="C707" s="442"/>
      <c r="D707" s="460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  <c r="Y707" s="442"/>
      <c r="Z707" s="442"/>
    </row>
    <row r="708" ht="19.5" customHeight="1">
      <c r="A708" s="442"/>
      <c r="B708" s="459"/>
      <c r="C708" s="442"/>
      <c r="D708" s="460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  <c r="Y708" s="442"/>
      <c r="Z708" s="442"/>
    </row>
    <row r="709" ht="19.5" customHeight="1">
      <c r="A709" s="442"/>
      <c r="B709" s="459"/>
      <c r="C709" s="442"/>
      <c r="D709" s="460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  <c r="Y709" s="442"/>
      <c r="Z709" s="442"/>
    </row>
    <row r="710" ht="19.5" customHeight="1">
      <c r="A710" s="442"/>
      <c r="B710" s="459"/>
      <c r="C710" s="442"/>
      <c r="D710" s="460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  <c r="Y710" s="442"/>
      <c r="Z710" s="442"/>
    </row>
    <row r="711" ht="19.5" customHeight="1">
      <c r="A711" s="442"/>
      <c r="B711" s="459"/>
      <c r="C711" s="442"/>
      <c r="D711" s="460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  <c r="Y711" s="442"/>
      <c r="Z711" s="442"/>
    </row>
    <row r="712" ht="19.5" customHeight="1">
      <c r="A712" s="442"/>
      <c r="B712" s="459"/>
      <c r="C712" s="442"/>
      <c r="D712" s="460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  <c r="Y712" s="442"/>
      <c r="Z712" s="442"/>
    </row>
    <row r="713" ht="19.5" customHeight="1">
      <c r="A713" s="442"/>
      <c r="B713" s="459"/>
      <c r="C713" s="442"/>
      <c r="D713" s="460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  <c r="Y713" s="442"/>
      <c r="Z713" s="442"/>
    </row>
    <row r="714" ht="19.5" customHeight="1">
      <c r="A714" s="442"/>
      <c r="B714" s="459"/>
      <c r="C714" s="442"/>
      <c r="D714" s="460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  <c r="Y714" s="442"/>
      <c r="Z714" s="442"/>
    </row>
    <row r="715" ht="19.5" customHeight="1">
      <c r="A715" s="442"/>
      <c r="B715" s="459"/>
      <c r="C715" s="442"/>
      <c r="D715" s="460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  <c r="Y715" s="442"/>
      <c r="Z715" s="442"/>
    </row>
    <row r="716" ht="19.5" customHeight="1">
      <c r="A716" s="442"/>
      <c r="B716" s="459"/>
      <c r="C716" s="442"/>
      <c r="D716" s="460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  <c r="Y716" s="442"/>
      <c r="Z716" s="442"/>
    </row>
    <row r="717" ht="19.5" customHeight="1">
      <c r="A717" s="442"/>
      <c r="B717" s="459"/>
      <c r="C717" s="442"/>
      <c r="D717" s="460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  <c r="Y717" s="442"/>
      <c r="Z717" s="442"/>
    </row>
    <row r="718" ht="19.5" customHeight="1">
      <c r="A718" s="442"/>
      <c r="B718" s="459"/>
      <c r="C718" s="442"/>
      <c r="D718" s="460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  <c r="Y718" s="442"/>
      <c r="Z718" s="442"/>
    </row>
    <row r="719" ht="19.5" customHeight="1">
      <c r="A719" s="442"/>
      <c r="B719" s="459"/>
      <c r="C719" s="442"/>
      <c r="D719" s="460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  <c r="Y719" s="442"/>
      <c r="Z719" s="442"/>
    </row>
    <row r="720" ht="19.5" customHeight="1">
      <c r="A720" s="442"/>
      <c r="B720" s="459"/>
      <c r="C720" s="442"/>
      <c r="D720" s="460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  <c r="Y720" s="442"/>
      <c r="Z720" s="442"/>
    </row>
    <row r="721" ht="19.5" customHeight="1">
      <c r="A721" s="442"/>
      <c r="B721" s="459"/>
      <c r="C721" s="442"/>
      <c r="D721" s="460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  <c r="Y721" s="442"/>
      <c r="Z721" s="442"/>
    </row>
    <row r="722" ht="19.5" customHeight="1">
      <c r="A722" s="442"/>
      <c r="B722" s="459"/>
      <c r="C722" s="442"/>
      <c r="D722" s="460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  <c r="Y722" s="442"/>
      <c r="Z722" s="442"/>
    </row>
    <row r="723" ht="19.5" customHeight="1">
      <c r="A723" s="442"/>
      <c r="B723" s="459"/>
      <c r="C723" s="442"/>
      <c r="D723" s="460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  <c r="Y723" s="442"/>
      <c r="Z723" s="442"/>
    </row>
    <row r="724" ht="19.5" customHeight="1">
      <c r="A724" s="442"/>
      <c r="B724" s="459"/>
      <c r="C724" s="442"/>
      <c r="D724" s="460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  <c r="Y724" s="442"/>
      <c r="Z724" s="442"/>
    </row>
    <row r="725" ht="19.5" customHeight="1">
      <c r="A725" s="442"/>
      <c r="B725" s="459"/>
      <c r="C725" s="442"/>
      <c r="D725" s="460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  <c r="Y725" s="442"/>
      <c r="Z725" s="442"/>
    </row>
    <row r="726" ht="19.5" customHeight="1">
      <c r="A726" s="442"/>
      <c r="B726" s="459"/>
      <c r="C726" s="442"/>
      <c r="D726" s="460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  <c r="Y726" s="442"/>
      <c r="Z726" s="442"/>
    </row>
    <row r="727" ht="19.5" customHeight="1">
      <c r="A727" s="442"/>
      <c r="B727" s="459"/>
      <c r="C727" s="442"/>
      <c r="D727" s="460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  <c r="Y727" s="442"/>
      <c r="Z727" s="442"/>
    </row>
    <row r="728" ht="19.5" customHeight="1">
      <c r="A728" s="442"/>
      <c r="B728" s="459"/>
      <c r="C728" s="442"/>
      <c r="D728" s="460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  <c r="Y728" s="442"/>
      <c r="Z728" s="442"/>
    </row>
    <row r="729" ht="19.5" customHeight="1">
      <c r="A729" s="442"/>
      <c r="B729" s="459"/>
      <c r="C729" s="442"/>
      <c r="D729" s="460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  <c r="Y729" s="442"/>
      <c r="Z729" s="442"/>
    </row>
    <row r="730" ht="19.5" customHeight="1">
      <c r="A730" s="442"/>
      <c r="B730" s="459"/>
      <c r="C730" s="442"/>
      <c r="D730" s="460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  <c r="Y730" s="442"/>
      <c r="Z730" s="442"/>
    </row>
    <row r="731" ht="19.5" customHeight="1">
      <c r="A731" s="442"/>
      <c r="B731" s="459"/>
      <c r="C731" s="442"/>
      <c r="D731" s="460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  <c r="Y731" s="442"/>
      <c r="Z731" s="442"/>
    </row>
    <row r="732" ht="19.5" customHeight="1">
      <c r="A732" s="442"/>
      <c r="B732" s="459"/>
      <c r="C732" s="442"/>
      <c r="D732" s="460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  <c r="Y732" s="442"/>
      <c r="Z732" s="442"/>
    </row>
    <row r="733" ht="19.5" customHeight="1">
      <c r="A733" s="442"/>
      <c r="B733" s="459"/>
      <c r="C733" s="442"/>
      <c r="D733" s="460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  <c r="Y733" s="442"/>
      <c r="Z733" s="442"/>
    </row>
    <row r="734" ht="19.5" customHeight="1">
      <c r="A734" s="442"/>
      <c r="B734" s="459"/>
      <c r="C734" s="442"/>
      <c r="D734" s="460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  <c r="Y734" s="442"/>
      <c r="Z734" s="442"/>
    </row>
    <row r="735" ht="19.5" customHeight="1">
      <c r="A735" s="442"/>
      <c r="B735" s="459"/>
      <c r="C735" s="442"/>
      <c r="D735" s="460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  <c r="Y735" s="442"/>
      <c r="Z735" s="442"/>
    </row>
    <row r="736" ht="19.5" customHeight="1">
      <c r="A736" s="442"/>
      <c r="B736" s="459"/>
      <c r="C736" s="442"/>
      <c r="D736" s="460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  <c r="Y736" s="442"/>
      <c r="Z736" s="442"/>
    </row>
    <row r="737" ht="19.5" customHeight="1">
      <c r="A737" s="442"/>
      <c r="B737" s="459"/>
      <c r="C737" s="442"/>
      <c r="D737" s="460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  <c r="Y737" s="442"/>
      <c r="Z737" s="442"/>
    </row>
    <row r="738" ht="19.5" customHeight="1">
      <c r="A738" s="442"/>
      <c r="B738" s="459"/>
      <c r="C738" s="442"/>
      <c r="D738" s="460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  <c r="Y738" s="442"/>
      <c r="Z738" s="442"/>
    </row>
    <row r="739" ht="19.5" customHeight="1">
      <c r="A739" s="442"/>
      <c r="B739" s="459"/>
      <c r="C739" s="442"/>
      <c r="D739" s="460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  <c r="Y739" s="442"/>
      <c r="Z739" s="442"/>
    </row>
    <row r="740" ht="19.5" customHeight="1">
      <c r="A740" s="442"/>
      <c r="B740" s="459"/>
      <c r="C740" s="442"/>
      <c r="D740" s="460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  <c r="Y740" s="442"/>
      <c r="Z740" s="442"/>
    </row>
    <row r="741" ht="19.5" customHeight="1">
      <c r="A741" s="442"/>
      <c r="B741" s="459"/>
      <c r="C741" s="442"/>
      <c r="D741" s="460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  <c r="Y741" s="442"/>
      <c r="Z741" s="442"/>
    </row>
    <row r="742" ht="19.5" customHeight="1">
      <c r="A742" s="442"/>
      <c r="B742" s="459"/>
      <c r="C742" s="442"/>
      <c r="D742" s="460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  <c r="Y742" s="442"/>
      <c r="Z742" s="442"/>
    </row>
    <row r="743" ht="19.5" customHeight="1">
      <c r="A743" s="442"/>
      <c r="B743" s="459"/>
      <c r="C743" s="442"/>
      <c r="D743" s="460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  <c r="Y743" s="442"/>
      <c r="Z743" s="442"/>
    </row>
    <row r="744" ht="19.5" customHeight="1">
      <c r="A744" s="442"/>
      <c r="B744" s="459"/>
      <c r="C744" s="442"/>
      <c r="D744" s="460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  <c r="Y744" s="442"/>
      <c r="Z744" s="442"/>
    </row>
    <row r="745" ht="19.5" customHeight="1">
      <c r="A745" s="442"/>
      <c r="B745" s="459"/>
      <c r="C745" s="442"/>
      <c r="D745" s="460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  <c r="Y745" s="442"/>
      <c r="Z745" s="442"/>
    </row>
    <row r="746" ht="19.5" customHeight="1">
      <c r="A746" s="442"/>
      <c r="B746" s="459"/>
      <c r="C746" s="442"/>
      <c r="D746" s="460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  <c r="Y746" s="442"/>
      <c r="Z746" s="442"/>
    </row>
    <row r="747" ht="19.5" customHeight="1">
      <c r="A747" s="442"/>
      <c r="B747" s="459"/>
      <c r="C747" s="442"/>
      <c r="D747" s="460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  <c r="Y747" s="442"/>
      <c r="Z747" s="442"/>
    </row>
    <row r="748" ht="19.5" customHeight="1">
      <c r="A748" s="442"/>
      <c r="B748" s="459"/>
      <c r="C748" s="442"/>
      <c r="D748" s="460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  <c r="Y748" s="442"/>
      <c r="Z748" s="442"/>
    </row>
    <row r="749" ht="19.5" customHeight="1">
      <c r="A749" s="442"/>
      <c r="B749" s="459"/>
      <c r="C749" s="442"/>
      <c r="D749" s="460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  <c r="Y749" s="442"/>
      <c r="Z749" s="442"/>
    </row>
    <row r="750" ht="19.5" customHeight="1">
      <c r="A750" s="442"/>
      <c r="B750" s="459"/>
      <c r="C750" s="442"/>
      <c r="D750" s="460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  <c r="Y750" s="442"/>
      <c r="Z750" s="442"/>
    </row>
    <row r="751" ht="19.5" customHeight="1">
      <c r="A751" s="442"/>
      <c r="B751" s="459"/>
      <c r="C751" s="442"/>
      <c r="D751" s="460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  <c r="Y751" s="442"/>
      <c r="Z751" s="442"/>
    </row>
    <row r="752" ht="19.5" customHeight="1">
      <c r="A752" s="442"/>
      <c r="B752" s="459"/>
      <c r="C752" s="442"/>
      <c r="D752" s="460"/>
      <c r="E752" s="442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  <c r="Y752" s="442"/>
      <c r="Z752" s="442"/>
    </row>
    <row r="753" ht="19.5" customHeight="1">
      <c r="A753" s="442"/>
      <c r="B753" s="459"/>
      <c r="C753" s="442"/>
      <c r="D753" s="460"/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  <c r="Y753" s="442"/>
      <c r="Z753" s="442"/>
    </row>
    <row r="754" ht="19.5" customHeight="1">
      <c r="A754" s="442"/>
      <c r="B754" s="459"/>
      <c r="C754" s="442"/>
      <c r="D754" s="460"/>
      <c r="E754" s="442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  <c r="Y754" s="442"/>
      <c r="Z754" s="442"/>
    </row>
    <row r="755" ht="19.5" customHeight="1">
      <c r="A755" s="442"/>
      <c r="B755" s="459"/>
      <c r="C755" s="442"/>
      <c r="D755" s="460"/>
      <c r="E755" s="442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  <c r="Y755" s="442"/>
      <c r="Z755" s="442"/>
    </row>
    <row r="756" ht="19.5" customHeight="1">
      <c r="A756" s="442"/>
      <c r="B756" s="459"/>
      <c r="C756" s="442"/>
      <c r="D756" s="460"/>
      <c r="E756" s="442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  <c r="Y756" s="442"/>
      <c r="Z756" s="442"/>
    </row>
    <row r="757" ht="19.5" customHeight="1">
      <c r="A757" s="442"/>
      <c r="B757" s="459"/>
      <c r="C757" s="442"/>
      <c r="D757" s="460"/>
      <c r="E757" s="442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  <c r="Y757" s="442"/>
      <c r="Z757" s="442"/>
    </row>
    <row r="758" ht="19.5" customHeight="1">
      <c r="A758" s="442"/>
      <c r="B758" s="459"/>
      <c r="C758" s="442"/>
      <c r="D758" s="460"/>
      <c r="E758" s="442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  <c r="Y758" s="442"/>
      <c r="Z758" s="442"/>
    </row>
    <row r="759" ht="19.5" customHeight="1">
      <c r="A759" s="442"/>
      <c r="B759" s="459"/>
      <c r="C759" s="442"/>
      <c r="D759" s="460"/>
      <c r="E759" s="442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  <c r="Y759" s="442"/>
      <c r="Z759" s="442"/>
    </row>
    <row r="760" ht="19.5" customHeight="1">
      <c r="A760" s="442"/>
      <c r="B760" s="459"/>
      <c r="C760" s="442"/>
      <c r="D760" s="460"/>
      <c r="E760" s="442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  <c r="Y760" s="442"/>
      <c r="Z760" s="442"/>
    </row>
    <row r="761" ht="19.5" customHeight="1">
      <c r="A761" s="442"/>
      <c r="B761" s="459"/>
      <c r="C761" s="442"/>
      <c r="D761" s="460"/>
      <c r="E761" s="442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  <c r="Y761" s="442"/>
      <c r="Z761" s="442"/>
    </row>
    <row r="762" ht="19.5" customHeight="1">
      <c r="A762" s="442"/>
      <c r="B762" s="459"/>
      <c r="C762" s="442"/>
      <c r="D762" s="460"/>
      <c r="E762" s="442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  <c r="Y762" s="442"/>
      <c r="Z762" s="442"/>
    </row>
    <row r="763" ht="19.5" customHeight="1">
      <c r="A763" s="442"/>
      <c r="B763" s="459"/>
      <c r="C763" s="442"/>
      <c r="D763" s="460"/>
      <c r="E763" s="442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  <c r="Y763" s="442"/>
      <c r="Z763" s="442"/>
    </row>
    <row r="764" ht="19.5" customHeight="1">
      <c r="A764" s="442"/>
      <c r="B764" s="459"/>
      <c r="C764" s="442"/>
      <c r="D764" s="460"/>
      <c r="E764" s="442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  <c r="Y764" s="442"/>
      <c r="Z764" s="442"/>
    </row>
    <row r="765" ht="19.5" customHeight="1">
      <c r="A765" s="442"/>
      <c r="B765" s="459"/>
      <c r="C765" s="442"/>
      <c r="D765" s="460"/>
      <c r="E765" s="442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  <c r="Y765" s="442"/>
      <c r="Z765" s="442"/>
    </row>
    <row r="766" ht="19.5" customHeight="1">
      <c r="A766" s="442"/>
      <c r="B766" s="459"/>
      <c r="C766" s="442"/>
      <c r="D766" s="460"/>
      <c r="E766" s="442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  <c r="Y766" s="442"/>
      <c r="Z766" s="442"/>
    </row>
    <row r="767" ht="19.5" customHeight="1">
      <c r="A767" s="442"/>
      <c r="B767" s="459"/>
      <c r="C767" s="442"/>
      <c r="D767" s="460"/>
      <c r="E767" s="442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  <c r="Y767" s="442"/>
      <c r="Z767" s="442"/>
    </row>
    <row r="768" ht="19.5" customHeight="1">
      <c r="A768" s="442"/>
      <c r="B768" s="459"/>
      <c r="C768" s="442"/>
      <c r="D768" s="460"/>
      <c r="E768" s="442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  <c r="Y768" s="442"/>
      <c r="Z768" s="442"/>
    </row>
    <row r="769" ht="19.5" customHeight="1">
      <c r="A769" s="442"/>
      <c r="B769" s="459"/>
      <c r="C769" s="442"/>
      <c r="D769" s="460"/>
      <c r="E769" s="442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  <c r="Y769" s="442"/>
      <c r="Z769" s="442"/>
    </row>
    <row r="770" ht="19.5" customHeight="1">
      <c r="A770" s="442"/>
      <c r="B770" s="459"/>
      <c r="C770" s="442"/>
      <c r="D770" s="460"/>
      <c r="E770" s="442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  <c r="Y770" s="442"/>
      <c r="Z770" s="442"/>
    </row>
    <row r="771" ht="19.5" customHeight="1">
      <c r="A771" s="442"/>
      <c r="B771" s="459"/>
      <c r="C771" s="442"/>
      <c r="D771" s="460"/>
      <c r="E771" s="442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  <c r="Y771" s="442"/>
      <c r="Z771" s="442"/>
    </row>
    <row r="772" ht="19.5" customHeight="1">
      <c r="A772" s="442"/>
      <c r="B772" s="459"/>
      <c r="C772" s="442"/>
      <c r="D772" s="460"/>
      <c r="E772" s="442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  <c r="Y772" s="442"/>
      <c r="Z772" s="442"/>
    </row>
    <row r="773" ht="19.5" customHeight="1">
      <c r="A773" s="442"/>
      <c r="B773" s="459"/>
      <c r="C773" s="442"/>
      <c r="D773" s="460"/>
      <c r="E773" s="442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  <c r="Y773" s="442"/>
      <c r="Z773" s="442"/>
    </row>
    <row r="774" ht="19.5" customHeight="1">
      <c r="A774" s="442"/>
      <c r="B774" s="459"/>
      <c r="C774" s="442"/>
      <c r="D774" s="460"/>
      <c r="E774" s="442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  <c r="Y774" s="442"/>
      <c r="Z774" s="442"/>
    </row>
    <row r="775" ht="19.5" customHeight="1">
      <c r="A775" s="442"/>
      <c r="B775" s="459"/>
      <c r="C775" s="442"/>
      <c r="D775" s="460"/>
      <c r="E775" s="442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  <c r="Y775" s="442"/>
      <c r="Z775" s="442"/>
    </row>
    <row r="776" ht="19.5" customHeight="1">
      <c r="A776" s="442"/>
      <c r="B776" s="459"/>
      <c r="C776" s="442"/>
      <c r="D776" s="460"/>
      <c r="E776" s="442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  <c r="Y776" s="442"/>
      <c r="Z776" s="442"/>
    </row>
    <row r="777" ht="19.5" customHeight="1">
      <c r="A777" s="442"/>
      <c r="B777" s="459"/>
      <c r="C777" s="442"/>
      <c r="D777" s="460"/>
      <c r="E777" s="442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  <c r="Y777" s="442"/>
      <c r="Z777" s="442"/>
    </row>
    <row r="778" ht="19.5" customHeight="1">
      <c r="A778" s="442"/>
      <c r="B778" s="459"/>
      <c r="C778" s="442"/>
      <c r="D778" s="460"/>
      <c r="E778" s="442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  <c r="Y778" s="442"/>
      <c r="Z778" s="442"/>
    </row>
    <row r="779" ht="19.5" customHeight="1">
      <c r="A779" s="442"/>
      <c r="B779" s="459"/>
      <c r="C779" s="442"/>
      <c r="D779" s="460"/>
      <c r="E779" s="442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  <c r="Y779" s="442"/>
      <c r="Z779" s="442"/>
    </row>
    <row r="780" ht="19.5" customHeight="1">
      <c r="A780" s="442"/>
      <c r="B780" s="459"/>
      <c r="C780" s="442"/>
      <c r="D780" s="460"/>
      <c r="E780" s="442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  <c r="Y780" s="442"/>
      <c r="Z780" s="442"/>
    </row>
    <row r="781" ht="19.5" customHeight="1">
      <c r="A781" s="442"/>
      <c r="B781" s="459"/>
      <c r="C781" s="442"/>
      <c r="D781" s="460"/>
      <c r="E781" s="442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  <c r="Y781" s="442"/>
      <c r="Z781" s="442"/>
    </row>
    <row r="782" ht="19.5" customHeight="1">
      <c r="A782" s="442"/>
      <c r="B782" s="459"/>
      <c r="C782" s="442"/>
      <c r="D782" s="460"/>
      <c r="E782" s="442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  <c r="Y782" s="442"/>
      <c r="Z782" s="442"/>
    </row>
    <row r="783" ht="19.5" customHeight="1">
      <c r="A783" s="442"/>
      <c r="B783" s="459"/>
      <c r="C783" s="442"/>
      <c r="D783" s="460"/>
      <c r="E783" s="442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  <c r="Y783" s="442"/>
      <c r="Z783" s="442"/>
    </row>
    <row r="784" ht="19.5" customHeight="1">
      <c r="A784" s="442"/>
      <c r="B784" s="459"/>
      <c r="C784" s="442"/>
      <c r="D784" s="460"/>
      <c r="E784" s="442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  <c r="Y784" s="442"/>
      <c r="Z784" s="442"/>
    </row>
    <row r="785" ht="19.5" customHeight="1">
      <c r="A785" s="442"/>
      <c r="B785" s="459"/>
      <c r="C785" s="442"/>
      <c r="D785" s="460"/>
      <c r="E785" s="442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  <c r="Y785" s="442"/>
      <c r="Z785" s="442"/>
    </row>
    <row r="786" ht="19.5" customHeight="1">
      <c r="A786" s="442"/>
      <c r="B786" s="459"/>
      <c r="C786" s="442"/>
      <c r="D786" s="460"/>
      <c r="E786" s="442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  <c r="Y786" s="442"/>
      <c r="Z786" s="442"/>
    </row>
    <row r="787" ht="19.5" customHeight="1">
      <c r="A787" s="442"/>
      <c r="B787" s="459"/>
      <c r="C787" s="442"/>
      <c r="D787" s="460"/>
      <c r="E787" s="442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  <c r="Y787" s="442"/>
      <c r="Z787" s="442"/>
    </row>
    <row r="788" ht="19.5" customHeight="1">
      <c r="A788" s="442"/>
      <c r="B788" s="459"/>
      <c r="C788" s="442"/>
      <c r="D788" s="460"/>
      <c r="E788" s="442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  <c r="Y788" s="442"/>
      <c r="Z788" s="442"/>
    </row>
    <row r="789" ht="19.5" customHeight="1">
      <c r="A789" s="442"/>
      <c r="B789" s="459"/>
      <c r="C789" s="442"/>
      <c r="D789" s="460"/>
      <c r="E789" s="442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  <c r="Y789" s="442"/>
      <c r="Z789" s="442"/>
    </row>
    <row r="790" ht="19.5" customHeight="1">
      <c r="A790" s="442"/>
      <c r="B790" s="459"/>
      <c r="C790" s="442"/>
      <c r="D790" s="460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  <c r="Y790" s="442"/>
      <c r="Z790" s="442"/>
    </row>
    <row r="791" ht="19.5" customHeight="1">
      <c r="A791" s="442"/>
      <c r="B791" s="459"/>
      <c r="C791" s="442"/>
      <c r="D791" s="460"/>
      <c r="E791" s="442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  <c r="Y791" s="442"/>
      <c r="Z791" s="442"/>
    </row>
    <row r="792" ht="19.5" customHeight="1">
      <c r="A792" s="442"/>
      <c r="B792" s="459"/>
      <c r="C792" s="442"/>
      <c r="D792" s="460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  <c r="Y792" s="442"/>
      <c r="Z792" s="442"/>
    </row>
    <row r="793" ht="19.5" customHeight="1">
      <c r="A793" s="442"/>
      <c r="B793" s="459"/>
      <c r="C793" s="442"/>
      <c r="D793" s="460"/>
      <c r="E793" s="442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  <c r="Y793" s="442"/>
      <c r="Z793" s="442"/>
    </row>
    <row r="794" ht="19.5" customHeight="1">
      <c r="A794" s="442"/>
      <c r="B794" s="459"/>
      <c r="C794" s="442"/>
      <c r="D794" s="460"/>
      <c r="E794" s="442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  <c r="Y794" s="442"/>
      <c r="Z794" s="442"/>
    </row>
    <row r="795" ht="19.5" customHeight="1">
      <c r="A795" s="442"/>
      <c r="B795" s="459"/>
      <c r="C795" s="442"/>
      <c r="D795" s="460"/>
      <c r="E795" s="442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  <c r="Y795" s="442"/>
      <c r="Z795" s="442"/>
    </row>
    <row r="796" ht="19.5" customHeight="1">
      <c r="A796" s="442"/>
      <c r="B796" s="459"/>
      <c r="C796" s="442"/>
      <c r="D796" s="460"/>
      <c r="E796" s="442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  <c r="Y796" s="442"/>
      <c r="Z796" s="442"/>
    </row>
    <row r="797" ht="19.5" customHeight="1">
      <c r="A797" s="442"/>
      <c r="B797" s="459"/>
      <c r="C797" s="442"/>
      <c r="D797" s="460"/>
      <c r="E797" s="442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  <c r="Y797" s="442"/>
      <c r="Z797" s="442"/>
    </row>
    <row r="798" ht="19.5" customHeight="1">
      <c r="A798" s="442"/>
      <c r="B798" s="459"/>
      <c r="C798" s="442"/>
      <c r="D798" s="460"/>
      <c r="E798" s="442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  <c r="Y798" s="442"/>
      <c r="Z798" s="442"/>
    </row>
    <row r="799" ht="19.5" customHeight="1">
      <c r="A799" s="442"/>
      <c r="B799" s="459"/>
      <c r="C799" s="442"/>
      <c r="D799" s="460"/>
      <c r="E799" s="442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  <c r="Y799" s="442"/>
      <c r="Z799" s="442"/>
    </row>
    <row r="800" ht="19.5" customHeight="1">
      <c r="A800" s="442"/>
      <c r="B800" s="459"/>
      <c r="C800" s="442"/>
      <c r="D800" s="460"/>
      <c r="E800" s="442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  <c r="Y800" s="442"/>
      <c r="Z800" s="442"/>
    </row>
    <row r="801" ht="19.5" customHeight="1">
      <c r="A801" s="442"/>
      <c r="B801" s="459"/>
      <c r="C801" s="442"/>
      <c r="D801" s="460"/>
      <c r="E801" s="442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  <c r="Y801" s="442"/>
      <c r="Z801" s="442"/>
    </row>
    <row r="802" ht="19.5" customHeight="1">
      <c r="A802" s="442"/>
      <c r="B802" s="459"/>
      <c r="C802" s="442"/>
      <c r="D802" s="460"/>
      <c r="E802" s="442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  <c r="Y802" s="442"/>
      <c r="Z802" s="442"/>
    </row>
    <row r="803" ht="19.5" customHeight="1">
      <c r="A803" s="442"/>
      <c r="B803" s="459"/>
      <c r="C803" s="442"/>
      <c r="D803" s="460"/>
      <c r="E803" s="442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  <c r="Y803" s="442"/>
      <c r="Z803" s="442"/>
    </row>
    <row r="804" ht="19.5" customHeight="1">
      <c r="A804" s="442"/>
      <c r="B804" s="459"/>
      <c r="C804" s="442"/>
      <c r="D804" s="460"/>
      <c r="E804" s="442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  <c r="Y804" s="442"/>
      <c r="Z804" s="442"/>
    </row>
    <row r="805" ht="19.5" customHeight="1">
      <c r="A805" s="442"/>
      <c r="B805" s="459"/>
      <c r="C805" s="442"/>
      <c r="D805" s="460"/>
      <c r="E805" s="442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  <c r="Y805" s="442"/>
      <c r="Z805" s="442"/>
    </row>
    <row r="806" ht="19.5" customHeight="1">
      <c r="A806" s="442"/>
      <c r="B806" s="459"/>
      <c r="C806" s="442"/>
      <c r="D806" s="460"/>
      <c r="E806" s="442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  <c r="Y806" s="442"/>
      <c r="Z806" s="442"/>
    </row>
    <row r="807" ht="19.5" customHeight="1">
      <c r="A807" s="442"/>
      <c r="B807" s="459"/>
      <c r="C807" s="442"/>
      <c r="D807" s="460"/>
      <c r="E807" s="442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  <c r="Y807" s="442"/>
      <c r="Z807" s="442"/>
    </row>
    <row r="808" ht="19.5" customHeight="1">
      <c r="A808" s="442"/>
      <c r="B808" s="459"/>
      <c r="C808" s="442"/>
      <c r="D808" s="460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  <c r="Y808" s="442"/>
      <c r="Z808" s="442"/>
    </row>
    <row r="809" ht="19.5" customHeight="1">
      <c r="A809" s="442"/>
      <c r="B809" s="459"/>
      <c r="C809" s="442"/>
      <c r="D809" s="460"/>
      <c r="E809" s="442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  <c r="Y809" s="442"/>
      <c r="Z809" s="442"/>
    </row>
    <row r="810" ht="19.5" customHeight="1">
      <c r="A810" s="442"/>
      <c r="B810" s="459"/>
      <c r="C810" s="442"/>
      <c r="D810" s="460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  <c r="Y810" s="442"/>
      <c r="Z810" s="442"/>
    </row>
    <row r="811" ht="19.5" customHeight="1">
      <c r="A811" s="442"/>
      <c r="B811" s="459"/>
      <c r="C811" s="442"/>
      <c r="D811" s="460"/>
      <c r="E811" s="442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  <c r="Y811" s="442"/>
      <c r="Z811" s="442"/>
    </row>
    <row r="812" ht="19.5" customHeight="1">
      <c r="A812" s="442"/>
      <c r="B812" s="459"/>
      <c r="C812" s="442"/>
      <c r="D812" s="460"/>
      <c r="E812" s="442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  <c r="Y812" s="442"/>
      <c r="Z812" s="442"/>
    </row>
    <row r="813" ht="19.5" customHeight="1">
      <c r="A813" s="442"/>
      <c r="B813" s="459"/>
      <c r="C813" s="442"/>
      <c r="D813" s="460"/>
      <c r="E813" s="442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  <c r="Y813" s="442"/>
      <c r="Z813" s="442"/>
    </row>
    <row r="814" ht="19.5" customHeight="1">
      <c r="A814" s="442"/>
      <c r="B814" s="459"/>
      <c r="C814" s="442"/>
      <c r="D814" s="460"/>
      <c r="E814" s="442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  <c r="Y814" s="442"/>
      <c r="Z814" s="442"/>
    </row>
    <row r="815" ht="19.5" customHeight="1">
      <c r="A815" s="442"/>
      <c r="B815" s="459"/>
      <c r="C815" s="442"/>
      <c r="D815" s="460"/>
      <c r="E815" s="442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  <c r="Y815" s="442"/>
      <c r="Z815" s="442"/>
    </row>
    <row r="816" ht="19.5" customHeight="1">
      <c r="A816" s="442"/>
      <c r="B816" s="459"/>
      <c r="C816" s="442"/>
      <c r="D816" s="460"/>
      <c r="E816" s="442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  <c r="Y816" s="442"/>
      <c r="Z816" s="442"/>
    </row>
    <row r="817" ht="19.5" customHeight="1">
      <c r="A817" s="442"/>
      <c r="B817" s="459"/>
      <c r="C817" s="442"/>
      <c r="D817" s="460"/>
      <c r="E817" s="442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  <c r="Y817" s="442"/>
      <c r="Z817" s="442"/>
    </row>
    <row r="818" ht="19.5" customHeight="1">
      <c r="A818" s="442"/>
      <c r="B818" s="459"/>
      <c r="C818" s="442"/>
      <c r="D818" s="460"/>
      <c r="E818" s="442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  <c r="Y818" s="442"/>
      <c r="Z818" s="442"/>
    </row>
    <row r="819" ht="19.5" customHeight="1">
      <c r="A819" s="442"/>
      <c r="B819" s="459"/>
      <c r="C819" s="442"/>
      <c r="D819" s="460"/>
      <c r="E819" s="442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  <c r="Y819" s="442"/>
      <c r="Z819" s="442"/>
    </row>
    <row r="820" ht="19.5" customHeight="1">
      <c r="A820" s="442"/>
      <c r="B820" s="459"/>
      <c r="C820" s="442"/>
      <c r="D820" s="460"/>
      <c r="E820" s="442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  <c r="Y820" s="442"/>
      <c r="Z820" s="442"/>
    </row>
    <row r="821" ht="19.5" customHeight="1">
      <c r="A821" s="442"/>
      <c r="B821" s="459"/>
      <c r="C821" s="442"/>
      <c r="D821" s="460"/>
      <c r="E821" s="442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  <c r="Y821" s="442"/>
      <c r="Z821" s="442"/>
    </row>
    <row r="822" ht="19.5" customHeight="1">
      <c r="A822" s="442"/>
      <c r="B822" s="459"/>
      <c r="C822" s="442"/>
      <c r="D822" s="460"/>
      <c r="E822" s="442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  <c r="Y822" s="442"/>
      <c r="Z822" s="442"/>
    </row>
    <row r="823" ht="19.5" customHeight="1">
      <c r="A823" s="442"/>
      <c r="B823" s="459"/>
      <c r="C823" s="442"/>
      <c r="D823" s="460"/>
      <c r="E823" s="442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  <c r="Y823" s="442"/>
      <c r="Z823" s="442"/>
    </row>
    <row r="824" ht="19.5" customHeight="1">
      <c r="A824" s="442"/>
      <c r="B824" s="459"/>
      <c r="C824" s="442"/>
      <c r="D824" s="460"/>
      <c r="E824" s="442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  <c r="Y824" s="442"/>
      <c r="Z824" s="442"/>
    </row>
    <row r="825" ht="19.5" customHeight="1">
      <c r="A825" s="442"/>
      <c r="B825" s="459"/>
      <c r="C825" s="442"/>
      <c r="D825" s="460"/>
      <c r="E825" s="442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  <c r="Y825" s="442"/>
      <c r="Z825" s="442"/>
    </row>
    <row r="826" ht="19.5" customHeight="1">
      <c r="A826" s="442"/>
      <c r="B826" s="459"/>
      <c r="C826" s="442"/>
      <c r="D826" s="460"/>
      <c r="E826" s="442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  <c r="Y826" s="442"/>
      <c r="Z826" s="442"/>
    </row>
    <row r="827" ht="19.5" customHeight="1">
      <c r="A827" s="442"/>
      <c r="B827" s="459"/>
      <c r="C827" s="442"/>
      <c r="D827" s="460"/>
      <c r="E827" s="442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  <c r="Y827" s="442"/>
      <c r="Z827" s="442"/>
    </row>
    <row r="828" ht="19.5" customHeight="1">
      <c r="A828" s="442"/>
      <c r="B828" s="459"/>
      <c r="C828" s="442"/>
      <c r="D828" s="460"/>
      <c r="E828" s="442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  <c r="Y828" s="442"/>
      <c r="Z828" s="442"/>
    </row>
    <row r="829" ht="19.5" customHeight="1">
      <c r="A829" s="442"/>
      <c r="B829" s="459"/>
      <c r="C829" s="442"/>
      <c r="D829" s="460"/>
      <c r="E829" s="442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  <c r="Y829" s="442"/>
      <c r="Z829" s="442"/>
    </row>
    <row r="830" ht="19.5" customHeight="1">
      <c r="A830" s="442"/>
      <c r="B830" s="459"/>
      <c r="C830" s="442"/>
      <c r="D830" s="460"/>
      <c r="E830" s="442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  <c r="Y830" s="442"/>
      <c r="Z830" s="442"/>
    </row>
    <row r="831" ht="19.5" customHeight="1">
      <c r="A831" s="442"/>
      <c r="B831" s="459"/>
      <c r="C831" s="442"/>
      <c r="D831" s="460"/>
      <c r="E831" s="442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  <c r="Y831" s="442"/>
      <c r="Z831" s="442"/>
    </row>
    <row r="832" ht="19.5" customHeight="1">
      <c r="A832" s="442"/>
      <c r="B832" s="459"/>
      <c r="C832" s="442"/>
      <c r="D832" s="460"/>
      <c r="E832" s="442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  <c r="Y832" s="442"/>
      <c r="Z832" s="442"/>
    </row>
    <row r="833" ht="19.5" customHeight="1">
      <c r="A833" s="442"/>
      <c r="B833" s="459"/>
      <c r="C833" s="442"/>
      <c r="D833" s="460"/>
      <c r="E833" s="442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  <c r="Y833" s="442"/>
      <c r="Z833" s="442"/>
    </row>
    <row r="834" ht="19.5" customHeight="1">
      <c r="A834" s="442"/>
      <c r="B834" s="459"/>
      <c r="C834" s="442"/>
      <c r="D834" s="460"/>
      <c r="E834" s="442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  <c r="Y834" s="442"/>
      <c r="Z834" s="442"/>
    </row>
    <row r="835" ht="19.5" customHeight="1">
      <c r="A835" s="442"/>
      <c r="B835" s="459"/>
      <c r="C835" s="442"/>
      <c r="D835" s="460"/>
      <c r="E835" s="442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  <c r="Y835" s="442"/>
      <c r="Z835" s="442"/>
    </row>
    <row r="836" ht="19.5" customHeight="1">
      <c r="A836" s="442"/>
      <c r="B836" s="459"/>
      <c r="C836" s="442"/>
      <c r="D836" s="460"/>
      <c r="E836" s="442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  <c r="Y836" s="442"/>
      <c r="Z836" s="442"/>
    </row>
    <row r="837" ht="19.5" customHeight="1">
      <c r="A837" s="442"/>
      <c r="B837" s="459"/>
      <c r="C837" s="442"/>
      <c r="D837" s="460"/>
      <c r="E837" s="442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  <c r="Y837" s="442"/>
      <c r="Z837" s="442"/>
    </row>
    <row r="838" ht="19.5" customHeight="1">
      <c r="A838" s="442"/>
      <c r="B838" s="459"/>
      <c r="C838" s="442"/>
      <c r="D838" s="460"/>
      <c r="E838" s="442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  <c r="Y838" s="442"/>
      <c r="Z838" s="442"/>
    </row>
    <row r="839" ht="19.5" customHeight="1">
      <c r="A839" s="442"/>
      <c r="B839" s="459"/>
      <c r="C839" s="442"/>
      <c r="D839" s="460"/>
      <c r="E839" s="442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  <c r="Y839" s="442"/>
      <c r="Z839" s="442"/>
    </row>
    <row r="840" ht="19.5" customHeight="1">
      <c r="A840" s="442"/>
      <c r="B840" s="459"/>
      <c r="C840" s="442"/>
      <c r="D840" s="460"/>
      <c r="E840" s="442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  <c r="Y840" s="442"/>
      <c r="Z840" s="442"/>
    </row>
    <row r="841" ht="19.5" customHeight="1">
      <c r="A841" s="442"/>
      <c r="B841" s="459"/>
      <c r="C841" s="442"/>
      <c r="D841" s="460"/>
      <c r="E841" s="442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  <c r="Y841" s="442"/>
      <c r="Z841" s="442"/>
    </row>
    <row r="842" ht="19.5" customHeight="1">
      <c r="A842" s="442"/>
      <c r="B842" s="459"/>
      <c r="C842" s="442"/>
      <c r="D842" s="460"/>
      <c r="E842" s="442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  <c r="Y842" s="442"/>
      <c r="Z842" s="442"/>
    </row>
    <row r="843" ht="19.5" customHeight="1">
      <c r="A843" s="442"/>
      <c r="B843" s="459"/>
      <c r="C843" s="442"/>
      <c r="D843" s="460"/>
      <c r="E843" s="442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  <c r="Y843" s="442"/>
      <c r="Z843" s="442"/>
    </row>
    <row r="844" ht="19.5" customHeight="1">
      <c r="A844" s="442"/>
      <c r="B844" s="459"/>
      <c r="C844" s="442"/>
      <c r="D844" s="460"/>
      <c r="E844" s="442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  <c r="Y844" s="442"/>
      <c r="Z844" s="442"/>
    </row>
    <row r="845" ht="19.5" customHeight="1">
      <c r="A845" s="442"/>
      <c r="B845" s="459"/>
      <c r="C845" s="442"/>
      <c r="D845" s="460"/>
      <c r="E845" s="442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  <c r="Y845" s="442"/>
      <c r="Z845" s="442"/>
    </row>
    <row r="846" ht="19.5" customHeight="1">
      <c r="A846" s="442"/>
      <c r="B846" s="459"/>
      <c r="C846" s="442"/>
      <c r="D846" s="460"/>
      <c r="E846" s="442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  <c r="Y846" s="442"/>
      <c r="Z846" s="442"/>
    </row>
    <row r="847" ht="19.5" customHeight="1">
      <c r="A847" s="442"/>
      <c r="B847" s="459"/>
      <c r="C847" s="442"/>
      <c r="D847" s="460"/>
      <c r="E847" s="442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  <c r="Y847" s="442"/>
      <c r="Z847" s="442"/>
    </row>
    <row r="848" ht="19.5" customHeight="1">
      <c r="A848" s="442"/>
      <c r="B848" s="459"/>
      <c r="C848" s="442"/>
      <c r="D848" s="460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  <c r="Y848" s="442"/>
      <c r="Z848" s="442"/>
    </row>
    <row r="849" ht="19.5" customHeight="1">
      <c r="A849" s="442"/>
      <c r="B849" s="459"/>
      <c r="C849" s="442"/>
      <c r="D849" s="460"/>
      <c r="E849" s="442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  <c r="Y849" s="442"/>
      <c r="Z849" s="442"/>
    </row>
    <row r="850" ht="19.5" customHeight="1">
      <c r="A850" s="442"/>
      <c r="B850" s="459"/>
      <c r="C850" s="442"/>
      <c r="D850" s="460"/>
      <c r="E850" s="442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  <c r="Y850" s="442"/>
      <c r="Z850" s="442"/>
    </row>
    <row r="851" ht="19.5" customHeight="1">
      <c r="A851" s="442"/>
      <c r="B851" s="459"/>
      <c r="C851" s="442"/>
      <c r="D851" s="460"/>
      <c r="E851" s="442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  <c r="Y851" s="442"/>
      <c r="Z851" s="442"/>
    </row>
    <row r="852" ht="19.5" customHeight="1">
      <c r="A852" s="442"/>
      <c r="B852" s="459"/>
      <c r="C852" s="442"/>
      <c r="D852" s="460"/>
      <c r="E852" s="442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  <c r="Y852" s="442"/>
      <c r="Z852" s="442"/>
    </row>
    <row r="853" ht="19.5" customHeight="1">
      <c r="A853" s="442"/>
      <c r="B853" s="459"/>
      <c r="C853" s="442"/>
      <c r="D853" s="460"/>
      <c r="E853" s="442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  <c r="Y853" s="442"/>
      <c r="Z853" s="442"/>
    </row>
    <row r="854" ht="19.5" customHeight="1">
      <c r="A854" s="442"/>
      <c r="B854" s="459"/>
      <c r="C854" s="442"/>
      <c r="D854" s="460"/>
      <c r="E854" s="442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  <c r="Y854" s="442"/>
      <c r="Z854" s="442"/>
    </row>
    <row r="855" ht="19.5" customHeight="1">
      <c r="A855" s="442"/>
      <c r="B855" s="459"/>
      <c r="C855" s="442"/>
      <c r="D855" s="460"/>
      <c r="E855" s="442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  <c r="Y855" s="442"/>
      <c r="Z855" s="442"/>
    </row>
    <row r="856" ht="19.5" customHeight="1">
      <c r="A856" s="442"/>
      <c r="B856" s="459"/>
      <c r="C856" s="442"/>
      <c r="D856" s="460"/>
      <c r="E856" s="442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  <c r="Y856" s="442"/>
      <c r="Z856" s="442"/>
    </row>
    <row r="857" ht="19.5" customHeight="1">
      <c r="A857" s="442"/>
      <c r="B857" s="459"/>
      <c r="C857" s="442"/>
      <c r="D857" s="460"/>
      <c r="E857" s="442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  <c r="Y857" s="442"/>
      <c r="Z857" s="442"/>
    </row>
    <row r="858" ht="19.5" customHeight="1">
      <c r="A858" s="442"/>
      <c r="B858" s="459"/>
      <c r="C858" s="442"/>
      <c r="D858" s="460"/>
      <c r="E858" s="442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  <c r="Y858" s="442"/>
      <c r="Z858" s="442"/>
    </row>
    <row r="859" ht="19.5" customHeight="1">
      <c r="A859" s="442"/>
      <c r="B859" s="459"/>
      <c r="C859" s="442"/>
      <c r="D859" s="460"/>
      <c r="E859" s="442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  <c r="Y859" s="442"/>
      <c r="Z859" s="442"/>
    </row>
    <row r="860" ht="19.5" customHeight="1">
      <c r="A860" s="442"/>
      <c r="B860" s="459"/>
      <c r="C860" s="442"/>
      <c r="D860" s="460"/>
      <c r="E860" s="442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  <c r="Y860" s="442"/>
      <c r="Z860" s="442"/>
    </row>
    <row r="861" ht="19.5" customHeight="1">
      <c r="A861" s="442"/>
      <c r="B861" s="459"/>
      <c r="C861" s="442"/>
      <c r="D861" s="460"/>
      <c r="E861" s="442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  <c r="Y861" s="442"/>
      <c r="Z861" s="442"/>
    </row>
    <row r="862" ht="19.5" customHeight="1">
      <c r="A862" s="442"/>
      <c r="B862" s="459"/>
      <c r="C862" s="442"/>
      <c r="D862" s="460"/>
      <c r="E862" s="442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  <c r="Y862" s="442"/>
      <c r="Z862" s="442"/>
    </row>
    <row r="863" ht="19.5" customHeight="1">
      <c r="A863" s="442"/>
      <c r="B863" s="459"/>
      <c r="C863" s="442"/>
      <c r="D863" s="460"/>
      <c r="E863" s="442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  <c r="Y863" s="442"/>
      <c r="Z863" s="442"/>
    </row>
    <row r="864" ht="19.5" customHeight="1">
      <c r="A864" s="442"/>
      <c r="B864" s="459"/>
      <c r="C864" s="442"/>
      <c r="D864" s="460"/>
      <c r="E864" s="442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  <c r="Y864" s="442"/>
      <c r="Z864" s="442"/>
    </row>
    <row r="865" ht="19.5" customHeight="1">
      <c r="A865" s="442"/>
      <c r="B865" s="459"/>
      <c r="C865" s="442"/>
      <c r="D865" s="460"/>
      <c r="E865" s="442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  <c r="Y865" s="442"/>
      <c r="Z865" s="442"/>
    </row>
    <row r="866" ht="19.5" customHeight="1">
      <c r="A866" s="442"/>
      <c r="B866" s="459"/>
      <c r="C866" s="442"/>
      <c r="D866" s="460"/>
      <c r="E866" s="442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  <c r="Y866" s="442"/>
      <c r="Z866" s="442"/>
    </row>
    <row r="867" ht="19.5" customHeight="1">
      <c r="A867" s="442"/>
      <c r="B867" s="459"/>
      <c r="C867" s="442"/>
      <c r="D867" s="460"/>
      <c r="E867" s="442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  <c r="Y867" s="442"/>
      <c r="Z867" s="442"/>
    </row>
    <row r="868" ht="19.5" customHeight="1">
      <c r="A868" s="442"/>
      <c r="B868" s="459"/>
      <c r="C868" s="442"/>
      <c r="D868" s="460"/>
      <c r="E868" s="442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  <c r="Y868" s="442"/>
      <c r="Z868" s="442"/>
    </row>
    <row r="869" ht="19.5" customHeight="1">
      <c r="A869" s="442"/>
      <c r="B869" s="459"/>
      <c r="C869" s="442"/>
      <c r="D869" s="460"/>
      <c r="E869" s="442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  <c r="Y869" s="442"/>
      <c r="Z869" s="442"/>
    </row>
    <row r="870" ht="19.5" customHeight="1">
      <c r="A870" s="442"/>
      <c r="B870" s="459"/>
      <c r="C870" s="442"/>
      <c r="D870" s="460"/>
      <c r="E870" s="442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  <c r="Y870" s="442"/>
      <c r="Z870" s="442"/>
    </row>
    <row r="871" ht="19.5" customHeight="1">
      <c r="A871" s="442"/>
      <c r="B871" s="459"/>
      <c r="C871" s="442"/>
      <c r="D871" s="460"/>
      <c r="E871" s="442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  <c r="Y871" s="442"/>
      <c r="Z871" s="442"/>
    </row>
    <row r="872" ht="19.5" customHeight="1">
      <c r="A872" s="442"/>
      <c r="B872" s="459"/>
      <c r="C872" s="442"/>
      <c r="D872" s="460"/>
      <c r="E872" s="442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  <c r="Y872" s="442"/>
      <c r="Z872" s="442"/>
    </row>
    <row r="873" ht="19.5" customHeight="1">
      <c r="A873" s="442"/>
      <c r="B873" s="459"/>
      <c r="C873" s="442"/>
      <c r="D873" s="460"/>
      <c r="E873" s="442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  <c r="Y873" s="442"/>
      <c r="Z873" s="442"/>
    </row>
    <row r="874" ht="19.5" customHeight="1">
      <c r="A874" s="442"/>
      <c r="B874" s="459"/>
      <c r="C874" s="442"/>
      <c r="D874" s="460"/>
      <c r="E874" s="442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  <c r="Y874" s="442"/>
      <c r="Z874" s="442"/>
    </row>
    <row r="875" ht="19.5" customHeight="1">
      <c r="A875" s="442"/>
      <c r="B875" s="459"/>
      <c r="C875" s="442"/>
      <c r="D875" s="460"/>
      <c r="E875" s="442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  <c r="Y875" s="442"/>
      <c r="Z875" s="442"/>
    </row>
    <row r="876" ht="19.5" customHeight="1">
      <c r="A876" s="442"/>
      <c r="B876" s="459"/>
      <c r="C876" s="442"/>
      <c r="D876" s="460"/>
      <c r="E876" s="442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  <c r="Y876" s="442"/>
      <c r="Z876" s="442"/>
    </row>
    <row r="877" ht="19.5" customHeight="1">
      <c r="A877" s="442"/>
      <c r="B877" s="459"/>
      <c r="C877" s="442"/>
      <c r="D877" s="460"/>
      <c r="E877" s="442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  <c r="Y877" s="442"/>
      <c r="Z877" s="442"/>
    </row>
    <row r="878" ht="19.5" customHeight="1">
      <c r="A878" s="442"/>
      <c r="B878" s="459"/>
      <c r="C878" s="442"/>
      <c r="D878" s="460"/>
      <c r="E878" s="442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  <c r="Y878" s="442"/>
      <c r="Z878" s="442"/>
    </row>
    <row r="879" ht="19.5" customHeight="1">
      <c r="A879" s="442"/>
      <c r="B879" s="459"/>
      <c r="C879" s="442"/>
      <c r="D879" s="460"/>
      <c r="E879" s="442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  <c r="Y879" s="442"/>
      <c r="Z879" s="442"/>
    </row>
    <row r="880" ht="19.5" customHeight="1">
      <c r="A880" s="442"/>
      <c r="B880" s="459"/>
      <c r="C880" s="442"/>
      <c r="D880" s="460"/>
      <c r="E880" s="442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  <c r="Y880" s="442"/>
      <c r="Z880" s="442"/>
    </row>
    <row r="881" ht="19.5" customHeight="1">
      <c r="A881" s="442"/>
      <c r="B881" s="459"/>
      <c r="C881" s="442"/>
      <c r="D881" s="460"/>
      <c r="E881" s="442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  <c r="Y881" s="442"/>
      <c r="Z881" s="442"/>
    </row>
    <row r="882" ht="19.5" customHeight="1">
      <c r="A882" s="442"/>
      <c r="B882" s="459"/>
      <c r="C882" s="442"/>
      <c r="D882" s="460"/>
      <c r="E882" s="442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  <c r="Y882" s="442"/>
      <c r="Z882" s="442"/>
    </row>
    <row r="883" ht="19.5" customHeight="1">
      <c r="A883" s="442"/>
      <c r="B883" s="459"/>
      <c r="C883" s="442"/>
      <c r="D883" s="460"/>
      <c r="E883" s="442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  <c r="Y883" s="442"/>
      <c r="Z883" s="442"/>
    </row>
    <row r="884" ht="19.5" customHeight="1">
      <c r="A884" s="442"/>
      <c r="B884" s="459"/>
      <c r="C884" s="442"/>
      <c r="D884" s="460"/>
      <c r="E884" s="442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  <c r="Y884" s="442"/>
      <c r="Z884" s="442"/>
    </row>
    <row r="885" ht="19.5" customHeight="1">
      <c r="A885" s="442"/>
      <c r="B885" s="459"/>
      <c r="C885" s="442"/>
      <c r="D885" s="460"/>
      <c r="E885" s="442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  <c r="Y885" s="442"/>
      <c r="Z885" s="442"/>
    </row>
    <row r="886" ht="19.5" customHeight="1">
      <c r="A886" s="442"/>
      <c r="B886" s="459"/>
      <c r="C886" s="442"/>
      <c r="D886" s="460"/>
      <c r="E886" s="442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  <c r="Y886" s="442"/>
      <c r="Z886" s="442"/>
    </row>
    <row r="887" ht="19.5" customHeight="1">
      <c r="A887" s="442"/>
      <c r="B887" s="459"/>
      <c r="C887" s="442"/>
      <c r="D887" s="460"/>
      <c r="E887" s="442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  <c r="Y887" s="442"/>
      <c r="Z887" s="442"/>
    </row>
    <row r="888" ht="19.5" customHeight="1">
      <c r="A888" s="442"/>
      <c r="B888" s="459"/>
      <c r="C888" s="442"/>
      <c r="D888" s="460"/>
      <c r="E888" s="442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  <c r="Y888" s="442"/>
      <c r="Z888" s="442"/>
    </row>
    <row r="889" ht="19.5" customHeight="1">
      <c r="A889" s="442"/>
      <c r="B889" s="459"/>
      <c r="C889" s="442"/>
      <c r="D889" s="460"/>
      <c r="E889" s="442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  <c r="Y889" s="442"/>
      <c r="Z889" s="442"/>
    </row>
    <row r="890" ht="19.5" customHeight="1">
      <c r="A890" s="442"/>
      <c r="B890" s="459"/>
      <c r="C890" s="442"/>
      <c r="D890" s="460"/>
      <c r="E890" s="442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  <c r="Y890" s="442"/>
      <c r="Z890" s="442"/>
    </row>
    <row r="891" ht="19.5" customHeight="1">
      <c r="A891" s="442"/>
      <c r="B891" s="459"/>
      <c r="C891" s="442"/>
      <c r="D891" s="460"/>
      <c r="E891" s="442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  <c r="Y891" s="442"/>
      <c r="Z891" s="442"/>
    </row>
    <row r="892" ht="19.5" customHeight="1">
      <c r="A892" s="442"/>
      <c r="B892" s="459"/>
      <c r="C892" s="442"/>
      <c r="D892" s="460"/>
      <c r="E892" s="442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  <c r="Y892" s="442"/>
      <c r="Z892" s="442"/>
    </row>
    <row r="893" ht="19.5" customHeight="1">
      <c r="A893" s="442"/>
      <c r="B893" s="459"/>
      <c r="C893" s="442"/>
      <c r="D893" s="460"/>
      <c r="E893" s="442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  <c r="Y893" s="442"/>
      <c r="Z893" s="442"/>
    </row>
    <row r="894" ht="19.5" customHeight="1">
      <c r="A894" s="442"/>
      <c r="B894" s="459"/>
      <c r="C894" s="442"/>
      <c r="D894" s="460"/>
      <c r="E894" s="442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  <c r="Y894" s="442"/>
      <c r="Z894" s="442"/>
    </row>
    <row r="895" ht="19.5" customHeight="1">
      <c r="A895" s="442"/>
      <c r="B895" s="459"/>
      <c r="C895" s="442"/>
      <c r="D895" s="460"/>
      <c r="E895" s="442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  <c r="Y895" s="442"/>
      <c r="Z895" s="442"/>
    </row>
    <row r="896" ht="19.5" customHeight="1">
      <c r="A896" s="442"/>
      <c r="B896" s="459"/>
      <c r="C896" s="442"/>
      <c r="D896" s="460"/>
      <c r="E896" s="442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  <c r="Y896" s="442"/>
      <c r="Z896" s="442"/>
    </row>
    <row r="897" ht="19.5" customHeight="1">
      <c r="A897" s="442"/>
      <c r="B897" s="459"/>
      <c r="C897" s="442"/>
      <c r="D897" s="460"/>
      <c r="E897" s="442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  <c r="Y897" s="442"/>
      <c r="Z897" s="442"/>
    </row>
    <row r="898" ht="19.5" customHeight="1">
      <c r="A898" s="442"/>
      <c r="B898" s="459"/>
      <c r="C898" s="442"/>
      <c r="D898" s="460"/>
      <c r="E898" s="442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  <c r="Y898" s="442"/>
      <c r="Z898" s="442"/>
    </row>
    <row r="899" ht="19.5" customHeight="1">
      <c r="A899" s="442"/>
      <c r="B899" s="459"/>
      <c r="C899" s="442"/>
      <c r="D899" s="460"/>
      <c r="E899" s="442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  <c r="Y899" s="442"/>
      <c r="Z899" s="442"/>
    </row>
    <row r="900" ht="19.5" customHeight="1">
      <c r="A900" s="442"/>
      <c r="B900" s="459"/>
      <c r="C900" s="442"/>
      <c r="D900" s="460"/>
      <c r="E900" s="442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  <c r="Y900" s="442"/>
      <c r="Z900" s="442"/>
    </row>
    <row r="901" ht="19.5" customHeight="1">
      <c r="A901" s="442"/>
      <c r="B901" s="459"/>
      <c r="C901" s="442"/>
      <c r="D901" s="460"/>
      <c r="E901" s="442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  <c r="Y901" s="442"/>
      <c r="Z901" s="442"/>
    </row>
    <row r="902" ht="19.5" customHeight="1">
      <c r="A902" s="442"/>
      <c r="B902" s="459"/>
      <c r="C902" s="442"/>
      <c r="D902" s="460"/>
      <c r="E902" s="442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  <c r="Y902" s="442"/>
      <c r="Z902" s="442"/>
    </row>
    <row r="903" ht="19.5" customHeight="1">
      <c r="A903" s="442"/>
      <c r="B903" s="459"/>
      <c r="C903" s="442"/>
      <c r="D903" s="460"/>
      <c r="E903" s="442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  <c r="Y903" s="442"/>
      <c r="Z903" s="442"/>
    </row>
    <row r="904" ht="19.5" customHeight="1">
      <c r="A904" s="442"/>
      <c r="B904" s="459"/>
      <c r="C904" s="442"/>
      <c r="D904" s="460"/>
      <c r="E904" s="442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  <c r="Y904" s="442"/>
      <c r="Z904" s="442"/>
    </row>
    <row r="905" ht="19.5" customHeight="1">
      <c r="A905" s="442"/>
      <c r="B905" s="459"/>
      <c r="C905" s="442"/>
      <c r="D905" s="460"/>
      <c r="E905" s="442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  <c r="Y905" s="442"/>
      <c r="Z905" s="442"/>
    </row>
    <row r="906" ht="19.5" customHeight="1">
      <c r="A906" s="442"/>
      <c r="B906" s="459"/>
      <c r="C906" s="442"/>
      <c r="D906" s="460"/>
      <c r="E906" s="442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  <c r="Y906" s="442"/>
      <c r="Z906" s="442"/>
    </row>
    <row r="907" ht="19.5" customHeight="1">
      <c r="A907" s="442"/>
      <c r="B907" s="459"/>
      <c r="C907" s="442"/>
      <c r="D907" s="460"/>
      <c r="E907" s="442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  <c r="Y907" s="442"/>
      <c r="Z907" s="442"/>
    </row>
    <row r="908" ht="19.5" customHeight="1">
      <c r="A908" s="442"/>
      <c r="B908" s="459"/>
      <c r="C908" s="442"/>
      <c r="D908" s="460"/>
      <c r="E908" s="442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  <c r="Y908" s="442"/>
      <c r="Z908" s="442"/>
    </row>
    <row r="909" ht="19.5" customHeight="1">
      <c r="A909" s="442"/>
      <c r="B909" s="459"/>
      <c r="C909" s="442"/>
      <c r="D909" s="460"/>
      <c r="E909" s="442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  <c r="Y909" s="442"/>
      <c r="Z909" s="442"/>
    </row>
    <row r="910" ht="19.5" customHeight="1">
      <c r="A910" s="442"/>
      <c r="B910" s="459"/>
      <c r="C910" s="442"/>
      <c r="D910" s="460"/>
      <c r="E910" s="442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  <c r="Y910" s="442"/>
      <c r="Z910" s="442"/>
    </row>
    <row r="911" ht="19.5" customHeight="1">
      <c r="A911" s="442"/>
      <c r="B911" s="459"/>
      <c r="C911" s="442"/>
      <c r="D911" s="460"/>
      <c r="E911" s="442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  <c r="Y911" s="442"/>
      <c r="Z911" s="442"/>
    </row>
    <row r="912" ht="19.5" customHeight="1">
      <c r="A912" s="442"/>
      <c r="B912" s="459"/>
      <c r="C912" s="442"/>
      <c r="D912" s="460"/>
      <c r="E912" s="442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  <c r="Y912" s="442"/>
      <c r="Z912" s="442"/>
    </row>
    <row r="913" ht="19.5" customHeight="1">
      <c r="A913" s="442"/>
      <c r="B913" s="459"/>
      <c r="C913" s="442"/>
      <c r="D913" s="460"/>
      <c r="E913" s="442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  <c r="Y913" s="442"/>
      <c r="Z913" s="442"/>
    </row>
    <row r="914" ht="19.5" customHeight="1">
      <c r="A914" s="442"/>
      <c r="B914" s="459"/>
      <c r="C914" s="442"/>
      <c r="D914" s="460"/>
      <c r="E914" s="442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  <c r="Y914" s="442"/>
      <c r="Z914" s="442"/>
    </row>
    <row r="915" ht="19.5" customHeight="1">
      <c r="A915" s="442"/>
      <c r="B915" s="459"/>
      <c r="C915" s="442"/>
      <c r="D915" s="460"/>
      <c r="E915" s="442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  <c r="Y915" s="442"/>
      <c r="Z915" s="442"/>
    </row>
    <row r="916" ht="19.5" customHeight="1">
      <c r="A916" s="442"/>
      <c r="B916" s="459"/>
      <c r="C916" s="442"/>
      <c r="D916" s="460"/>
      <c r="E916" s="442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  <c r="Y916" s="442"/>
      <c r="Z916" s="442"/>
    </row>
    <row r="917" ht="19.5" customHeight="1">
      <c r="A917" s="442"/>
      <c r="B917" s="459"/>
      <c r="C917" s="442"/>
      <c r="D917" s="460"/>
      <c r="E917" s="442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  <c r="Y917" s="442"/>
      <c r="Z917" s="442"/>
    </row>
    <row r="918" ht="19.5" customHeight="1">
      <c r="A918" s="442"/>
      <c r="B918" s="459"/>
      <c r="C918" s="442"/>
      <c r="D918" s="460"/>
      <c r="E918" s="442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  <c r="Y918" s="442"/>
      <c r="Z918" s="442"/>
    </row>
    <row r="919" ht="19.5" customHeight="1">
      <c r="A919" s="442"/>
      <c r="B919" s="459"/>
      <c r="C919" s="442"/>
      <c r="D919" s="460"/>
      <c r="E919" s="442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  <c r="Y919" s="442"/>
      <c r="Z919" s="442"/>
    </row>
    <row r="920" ht="19.5" customHeight="1">
      <c r="A920" s="442"/>
      <c r="B920" s="459"/>
      <c r="C920" s="442"/>
      <c r="D920" s="460"/>
      <c r="E920" s="442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  <c r="Y920" s="442"/>
      <c r="Z920" s="442"/>
    </row>
    <row r="921" ht="19.5" customHeight="1">
      <c r="A921" s="442"/>
      <c r="B921" s="459"/>
      <c r="C921" s="442"/>
      <c r="D921" s="460"/>
      <c r="E921" s="442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  <c r="Y921" s="442"/>
      <c r="Z921" s="442"/>
    </row>
    <row r="922" ht="19.5" customHeight="1">
      <c r="A922" s="442"/>
      <c r="B922" s="459"/>
      <c r="C922" s="442"/>
      <c r="D922" s="460"/>
      <c r="E922" s="442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  <c r="Y922" s="442"/>
      <c r="Z922" s="442"/>
    </row>
    <row r="923" ht="19.5" customHeight="1">
      <c r="A923" s="442"/>
      <c r="B923" s="459"/>
      <c r="C923" s="442"/>
      <c r="D923" s="460"/>
      <c r="E923" s="442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  <c r="Y923" s="442"/>
      <c r="Z923" s="442"/>
    </row>
    <row r="924" ht="19.5" customHeight="1">
      <c r="A924" s="442"/>
      <c r="B924" s="459"/>
      <c r="C924" s="442"/>
      <c r="D924" s="460"/>
      <c r="E924" s="442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  <c r="Y924" s="442"/>
      <c r="Z924" s="442"/>
    </row>
    <row r="925" ht="19.5" customHeight="1">
      <c r="A925" s="442"/>
      <c r="B925" s="459"/>
      <c r="C925" s="442"/>
      <c r="D925" s="460"/>
      <c r="E925" s="442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  <c r="Y925" s="442"/>
      <c r="Z925" s="442"/>
    </row>
    <row r="926" ht="19.5" customHeight="1">
      <c r="A926" s="442"/>
      <c r="B926" s="459"/>
      <c r="C926" s="442"/>
      <c r="D926" s="460"/>
      <c r="E926" s="442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  <c r="Y926" s="442"/>
      <c r="Z926" s="442"/>
    </row>
    <row r="927" ht="19.5" customHeight="1">
      <c r="A927" s="442"/>
      <c r="B927" s="459"/>
      <c r="C927" s="442"/>
      <c r="D927" s="460"/>
      <c r="E927" s="442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  <c r="Y927" s="442"/>
      <c r="Z927" s="442"/>
    </row>
    <row r="928" ht="19.5" customHeight="1">
      <c r="A928" s="442"/>
      <c r="B928" s="459"/>
      <c r="C928" s="442"/>
      <c r="D928" s="460"/>
      <c r="E928" s="442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  <c r="Y928" s="442"/>
      <c r="Z928" s="442"/>
    </row>
    <row r="929" ht="19.5" customHeight="1">
      <c r="A929" s="442"/>
      <c r="B929" s="459"/>
      <c r="C929" s="442"/>
      <c r="D929" s="460"/>
      <c r="E929" s="442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  <c r="Y929" s="442"/>
      <c r="Z929" s="442"/>
    </row>
    <row r="930" ht="19.5" customHeight="1">
      <c r="A930" s="442"/>
      <c r="B930" s="459"/>
      <c r="C930" s="442"/>
      <c r="D930" s="460"/>
      <c r="E930" s="442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  <c r="Y930" s="442"/>
      <c r="Z930" s="442"/>
    </row>
    <row r="931" ht="19.5" customHeight="1">
      <c r="A931" s="442"/>
      <c r="B931" s="459"/>
      <c r="C931" s="442"/>
      <c r="D931" s="460"/>
      <c r="E931" s="442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  <c r="Y931" s="442"/>
      <c r="Z931" s="442"/>
    </row>
    <row r="932" ht="19.5" customHeight="1">
      <c r="A932" s="442"/>
      <c r="B932" s="459"/>
      <c r="C932" s="442"/>
      <c r="D932" s="460"/>
      <c r="E932" s="442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  <c r="Y932" s="442"/>
      <c r="Z932" s="442"/>
    </row>
    <row r="933" ht="19.5" customHeight="1">
      <c r="A933" s="442"/>
      <c r="B933" s="459"/>
      <c r="C933" s="442"/>
      <c r="D933" s="460"/>
      <c r="E933" s="442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  <c r="Y933" s="442"/>
      <c r="Z933" s="442"/>
    </row>
    <row r="934" ht="19.5" customHeight="1">
      <c r="A934" s="442"/>
      <c r="B934" s="459"/>
      <c r="C934" s="442"/>
      <c r="D934" s="460"/>
      <c r="E934" s="442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  <c r="Y934" s="442"/>
      <c r="Z934" s="442"/>
    </row>
    <row r="935" ht="19.5" customHeight="1">
      <c r="A935" s="442"/>
      <c r="B935" s="459"/>
      <c r="C935" s="442"/>
      <c r="D935" s="460"/>
      <c r="E935" s="442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  <c r="Y935" s="442"/>
      <c r="Z935" s="442"/>
    </row>
    <row r="936" ht="19.5" customHeight="1">
      <c r="A936" s="442"/>
      <c r="B936" s="459"/>
      <c r="C936" s="442"/>
      <c r="D936" s="460"/>
      <c r="E936" s="442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  <c r="Y936" s="442"/>
      <c r="Z936" s="442"/>
    </row>
    <row r="937" ht="19.5" customHeight="1">
      <c r="A937" s="442"/>
      <c r="B937" s="459"/>
      <c r="C937" s="442"/>
      <c r="D937" s="460"/>
      <c r="E937" s="442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  <c r="Y937" s="442"/>
      <c r="Z937" s="442"/>
    </row>
    <row r="938" ht="19.5" customHeight="1">
      <c r="A938" s="442"/>
      <c r="B938" s="459"/>
      <c r="C938" s="442"/>
      <c r="D938" s="460"/>
      <c r="E938" s="442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  <c r="Y938" s="442"/>
      <c r="Z938" s="442"/>
    </row>
    <row r="939" ht="19.5" customHeight="1">
      <c r="A939" s="442"/>
      <c r="B939" s="459"/>
      <c r="C939" s="442"/>
      <c r="D939" s="460"/>
      <c r="E939" s="442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  <c r="Y939" s="442"/>
      <c r="Z939" s="442"/>
    </row>
    <row r="940" ht="19.5" customHeight="1">
      <c r="A940" s="442"/>
      <c r="B940" s="459"/>
      <c r="C940" s="442"/>
      <c r="D940" s="460"/>
      <c r="E940" s="442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  <c r="Y940" s="442"/>
      <c r="Z940" s="442"/>
    </row>
    <row r="941" ht="19.5" customHeight="1">
      <c r="A941" s="442"/>
      <c r="B941" s="459"/>
      <c r="C941" s="442"/>
      <c r="D941" s="460"/>
      <c r="E941" s="442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  <c r="Y941" s="442"/>
      <c r="Z941" s="442"/>
    </row>
    <row r="942" ht="19.5" customHeight="1">
      <c r="A942" s="442"/>
      <c r="B942" s="459"/>
      <c r="C942" s="442"/>
      <c r="D942" s="460"/>
      <c r="E942" s="442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  <c r="Y942" s="442"/>
      <c r="Z942" s="442"/>
    </row>
    <row r="943" ht="19.5" customHeight="1">
      <c r="A943" s="442"/>
      <c r="B943" s="459"/>
      <c r="C943" s="442"/>
      <c r="D943" s="460"/>
      <c r="E943" s="442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  <c r="Y943" s="442"/>
      <c r="Z943" s="442"/>
    </row>
    <row r="944" ht="19.5" customHeight="1">
      <c r="A944" s="442"/>
      <c r="B944" s="459"/>
      <c r="C944" s="442"/>
      <c r="D944" s="460"/>
      <c r="E944" s="442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  <c r="Y944" s="442"/>
      <c r="Z944" s="442"/>
    </row>
    <row r="945" ht="19.5" customHeight="1">
      <c r="A945" s="442"/>
      <c r="B945" s="459"/>
      <c r="C945" s="442"/>
      <c r="D945" s="460"/>
      <c r="E945" s="442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  <c r="Y945" s="442"/>
      <c r="Z945" s="442"/>
    </row>
    <row r="946" ht="19.5" customHeight="1">
      <c r="A946" s="442"/>
      <c r="B946" s="459"/>
      <c r="C946" s="442"/>
      <c r="D946" s="460"/>
      <c r="E946" s="442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  <c r="Y946" s="442"/>
      <c r="Z946" s="442"/>
    </row>
    <row r="947" ht="19.5" customHeight="1">
      <c r="A947" s="442"/>
      <c r="B947" s="459"/>
      <c r="C947" s="442"/>
      <c r="D947" s="460"/>
      <c r="E947" s="442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  <c r="Y947" s="442"/>
      <c r="Z947" s="442"/>
    </row>
    <row r="948" ht="19.5" customHeight="1">
      <c r="A948" s="442"/>
      <c r="B948" s="459"/>
      <c r="C948" s="442"/>
      <c r="D948" s="460"/>
      <c r="E948" s="442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  <c r="Y948" s="442"/>
      <c r="Z948" s="442"/>
    </row>
    <row r="949" ht="19.5" customHeight="1">
      <c r="A949" s="442"/>
      <c r="B949" s="459"/>
      <c r="C949" s="442"/>
      <c r="D949" s="460"/>
      <c r="E949" s="442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  <c r="Y949" s="442"/>
      <c r="Z949" s="442"/>
    </row>
    <row r="950" ht="19.5" customHeight="1">
      <c r="A950" s="442"/>
      <c r="B950" s="459"/>
      <c r="C950" s="442"/>
      <c r="D950" s="460"/>
      <c r="E950" s="442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  <c r="Y950" s="442"/>
      <c r="Z950" s="442"/>
    </row>
    <row r="951" ht="19.5" customHeight="1">
      <c r="A951" s="442"/>
      <c r="B951" s="459"/>
      <c r="C951" s="442"/>
      <c r="D951" s="460"/>
      <c r="E951" s="442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  <c r="Y951" s="442"/>
      <c r="Z951" s="442"/>
    </row>
    <row r="952" ht="19.5" customHeight="1">
      <c r="A952" s="442"/>
      <c r="B952" s="459"/>
      <c r="C952" s="442"/>
      <c r="D952" s="460"/>
      <c r="E952" s="442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  <c r="Y952" s="442"/>
      <c r="Z952" s="442"/>
    </row>
    <row r="953" ht="19.5" customHeight="1">
      <c r="A953" s="442"/>
      <c r="B953" s="459"/>
      <c r="C953" s="442"/>
      <c r="D953" s="460"/>
      <c r="E953" s="442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  <c r="Y953" s="442"/>
      <c r="Z953" s="442"/>
    </row>
    <row r="954" ht="19.5" customHeight="1">
      <c r="A954" s="442"/>
      <c r="B954" s="459"/>
      <c r="C954" s="442"/>
      <c r="D954" s="460"/>
      <c r="E954" s="442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  <c r="Y954" s="442"/>
      <c r="Z954" s="442"/>
    </row>
    <row r="955" ht="19.5" customHeight="1">
      <c r="A955" s="442"/>
      <c r="B955" s="459"/>
      <c r="C955" s="442"/>
      <c r="D955" s="460"/>
      <c r="E955" s="442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  <c r="Y955" s="442"/>
      <c r="Z955" s="442"/>
    </row>
    <row r="956" ht="19.5" customHeight="1">
      <c r="A956" s="442"/>
      <c r="B956" s="459"/>
      <c r="C956" s="442"/>
      <c r="D956" s="460"/>
      <c r="E956" s="442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  <c r="Y956" s="442"/>
      <c r="Z956" s="442"/>
    </row>
    <row r="957" ht="19.5" customHeight="1">
      <c r="A957" s="442"/>
      <c r="B957" s="459"/>
      <c r="C957" s="442"/>
      <c r="D957" s="460"/>
      <c r="E957" s="442"/>
      <c r="F957" s="442"/>
      <c r="G957" s="442"/>
      <c r="H957" s="442"/>
      <c r="I957" s="442"/>
      <c r="J957" s="442"/>
      <c r="K957" s="442"/>
      <c r="L957" s="442"/>
      <c r="M957" s="442"/>
      <c r="N957" s="442"/>
      <c r="O957" s="442"/>
      <c r="P957" s="442"/>
      <c r="Q957" s="442"/>
      <c r="R957" s="442"/>
      <c r="S957" s="442"/>
      <c r="T957" s="442"/>
      <c r="U957" s="442"/>
      <c r="V957" s="442"/>
      <c r="W957" s="442"/>
      <c r="X957" s="442"/>
      <c r="Y957" s="442"/>
      <c r="Z957" s="442"/>
    </row>
    <row r="958" ht="19.5" customHeight="1">
      <c r="A958" s="442"/>
      <c r="B958" s="459"/>
      <c r="C958" s="442"/>
      <c r="D958" s="460"/>
      <c r="E958" s="442"/>
      <c r="F958" s="442"/>
      <c r="G958" s="442"/>
      <c r="H958" s="442"/>
      <c r="I958" s="442"/>
      <c r="J958" s="442"/>
      <c r="K958" s="442"/>
      <c r="L958" s="442"/>
      <c r="M958" s="442"/>
      <c r="N958" s="442"/>
      <c r="O958" s="442"/>
      <c r="P958" s="442"/>
      <c r="Q958" s="442"/>
      <c r="R958" s="442"/>
      <c r="S958" s="442"/>
      <c r="T958" s="442"/>
      <c r="U958" s="442"/>
      <c r="V958" s="442"/>
      <c r="W958" s="442"/>
      <c r="X958" s="442"/>
      <c r="Y958" s="442"/>
      <c r="Z958" s="442"/>
    </row>
    <row r="959" ht="19.5" customHeight="1">
      <c r="A959" s="442"/>
      <c r="B959" s="459"/>
      <c r="C959" s="442"/>
      <c r="D959" s="460"/>
      <c r="E959" s="442"/>
      <c r="F959" s="442"/>
      <c r="G959" s="442"/>
      <c r="H959" s="442"/>
      <c r="I959" s="442"/>
      <c r="J959" s="442"/>
      <c r="K959" s="442"/>
      <c r="L959" s="442"/>
      <c r="M959" s="442"/>
      <c r="N959" s="442"/>
      <c r="O959" s="442"/>
      <c r="P959" s="442"/>
      <c r="Q959" s="442"/>
      <c r="R959" s="442"/>
      <c r="S959" s="442"/>
      <c r="T959" s="442"/>
      <c r="U959" s="442"/>
      <c r="V959" s="442"/>
      <c r="W959" s="442"/>
      <c r="X959" s="442"/>
      <c r="Y959" s="442"/>
      <c r="Z959" s="442"/>
    </row>
    <row r="960" ht="19.5" customHeight="1">
      <c r="A960" s="442"/>
      <c r="B960" s="459"/>
      <c r="C960" s="442"/>
      <c r="D960" s="460"/>
      <c r="E960" s="442"/>
      <c r="F960" s="442"/>
      <c r="G960" s="442"/>
      <c r="H960" s="442"/>
      <c r="I960" s="442"/>
      <c r="J960" s="442"/>
      <c r="K960" s="442"/>
      <c r="L960" s="442"/>
      <c r="M960" s="442"/>
      <c r="N960" s="442"/>
      <c r="O960" s="442"/>
      <c r="P960" s="442"/>
      <c r="Q960" s="442"/>
      <c r="R960" s="442"/>
      <c r="S960" s="442"/>
      <c r="T960" s="442"/>
      <c r="U960" s="442"/>
      <c r="V960" s="442"/>
      <c r="W960" s="442"/>
      <c r="X960" s="442"/>
      <c r="Y960" s="442"/>
      <c r="Z960" s="442"/>
    </row>
    <row r="961" ht="19.5" customHeight="1">
      <c r="A961" s="442"/>
      <c r="B961" s="459"/>
      <c r="C961" s="442"/>
      <c r="D961" s="460"/>
      <c r="E961" s="442"/>
      <c r="F961" s="442"/>
      <c r="G961" s="442"/>
      <c r="H961" s="442"/>
      <c r="I961" s="442"/>
      <c r="J961" s="442"/>
      <c r="K961" s="442"/>
      <c r="L961" s="442"/>
      <c r="M961" s="442"/>
      <c r="N961" s="442"/>
      <c r="O961" s="442"/>
      <c r="P961" s="442"/>
      <c r="Q961" s="442"/>
      <c r="R961" s="442"/>
      <c r="S961" s="442"/>
      <c r="T961" s="442"/>
      <c r="U961" s="442"/>
      <c r="V961" s="442"/>
      <c r="W961" s="442"/>
      <c r="X961" s="442"/>
      <c r="Y961" s="442"/>
      <c r="Z961" s="442"/>
    </row>
    <row r="962" ht="19.5" customHeight="1">
      <c r="A962" s="442"/>
      <c r="B962" s="459"/>
      <c r="C962" s="442"/>
      <c r="D962" s="460"/>
      <c r="E962" s="442"/>
      <c r="F962" s="442"/>
      <c r="G962" s="442"/>
      <c r="H962" s="442"/>
      <c r="I962" s="442"/>
      <c r="J962" s="442"/>
      <c r="K962" s="442"/>
      <c r="L962" s="442"/>
      <c r="M962" s="442"/>
      <c r="N962" s="442"/>
      <c r="O962" s="442"/>
      <c r="P962" s="442"/>
      <c r="Q962" s="442"/>
      <c r="R962" s="442"/>
      <c r="S962" s="442"/>
      <c r="T962" s="442"/>
      <c r="U962" s="442"/>
      <c r="V962" s="442"/>
      <c r="W962" s="442"/>
      <c r="X962" s="442"/>
      <c r="Y962" s="442"/>
      <c r="Z962" s="442"/>
    </row>
    <row r="963" ht="19.5" customHeight="1">
      <c r="A963" s="442"/>
      <c r="B963" s="459"/>
      <c r="C963" s="442"/>
      <c r="D963" s="460"/>
      <c r="E963" s="442"/>
      <c r="F963" s="442"/>
      <c r="G963" s="442"/>
      <c r="H963" s="442"/>
      <c r="I963" s="442"/>
      <c r="J963" s="442"/>
      <c r="K963" s="442"/>
      <c r="L963" s="442"/>
      <c r="M963" s="442"/>
      <c r="N963" s="442"/>
      <c r="O963" s="442"/>
      <c r="P963" s="442"/>
      <c r="Q963" s="442"/>
      <c r="R963" s="442"/>
      <c r="S963" s="442"/>
      <c r="T963" s="442"/>
      <c r="U963" s="442"/>
      <c r="V963" s="442"/>
      <c r="W963" s="442"/>
      <c r="X963" s="442"/>
      <c r="Y963" s="442"/>
      <c r="Z963" s="442"/>
    </row>
    <row r="964" ht="19.5" customHeight="1">
      <c r="A964" s="442"/>
      <c r="B964" s="459"/>
      <c r="C964" s="442"/>
      <c r="D964" s="460"/>
      <c r="E964" s="442"/>
      <c r="F964" s="442"/>
      <c r="G964" s="442"/>
      <c r="H964" s="442"/>
      <c r="I964" s="442"/>
      <c r="J964" s="442"/>
      <c r="K964" s="442"/>
      <c r="L964" s="442"/>
      <c r="M964" s="442"/>
      <c r="N964" s="442"/>
      <c r="O964" s="442"/>
      <c r="P964" s="442"/>
      <c r="Q964" s="442"/>
      <c r="R964" s="442"/>
      <c r="S964" s="442"/>
      <c r="T964" s="442"/>
      <c r="U964" s="442"/>
      <c r="V964" s="442"/>
      <c r="W964" s="442"/>
      <c r="X964" s="442"/>
      <c r="Y964" s="442"/>
      <c r="Z964" s="442"/>
    </row>
    <row r="965" ht="19.5" customHeight="1">
      <c r="A965" s="442"/>
      <c r="B965" s="459"/>
      <c r="C965" s="442"/>
      <c r="D965" s="460"/>
      <c r="E965" s="442"/>
      <c r="F965" s="442"/>
      <c r="G965" s="442"/>
      <c r="H965" s="442"/>
      <c r="I965" s="442"/>
      <c r="J965" s="442"/>
      <c r="K965" s="442"/>
      <c r="L965" s="442"/>
      <c r="M965" s="442"/>
      <c r="N965" s="442"/>
      <c r="O965" s="442"/>
      <c r="P965" s="442"/>
      <c r="Q965" s="442"/>
      <c r="R965" s="442"/>
      <c r="S965" s="442"/>
      <c r="T965" s="442"/>
      <c r="U965" s="442"/>
      <c r="V965" s="442"/>
      <c r="W965" s="442"/>
      <c r="X965" s="442"/>
      <c r="Y965" s="442"/>
      <c r="Z965" s="442"/>
    </row>
    <row r="966" ht="19.5" customHeight="1">
      <c r="A966" s="442"/>
      <c r="B966" s="459"/>
      <c r="C966" s="442"/>
      <c r="D966" s="460"/>
      <c r="E966" s="442"/>
      <c r="F966" s="442"/>
      <c r="G966" s="442"/>
      <c r="H966" s="442"/>
      <c r="I966" s="442"/>
      <c r="J966" s="442"/>
      <c r="K966" s="442"/>
      <c r="L966" s="442"/>
      <c r="M966" s="442"/>
      <c r="N966" s="442"/>
      <c r="O966" s="442"/>
      <c r="P966" s="442"/>
      <c r="Q966" s="442"/>
      <c r="R966" s="442"/>
      <c r="S966" s="442"/>
      <c r="T966" s="442"/>
      <c r="U966" s="442"/>
      <c r="V966" s="442"/>
      <c r="W966" s="442"/>
      <c r="X966" s="442"/>
      <c r="Y966" s="442"/>
      <c r="Z966" s="442"/>
    </row>
    <row r="967" ht="19.5" customHeight="1">
      <c r="A967" s="442"/>
      <c r="B967" s="459"/>
      <c r="C967" s="442"/>
      <c r="D967" s="460"/>
      <c r="E967" s="442"/>
      <c r="F967" s="442"/>
      <c r="G967" s="442"/>
      <c r="H967" s="442"/>
      <c r="I967" s="442"/>
      <c r="J967" s="442"/>
      <c r="K967" s="442"/>
      <c r="L967" s="442"/>
      <c r="M967" s="442"/>
      <c r="N967" s="442"/>
      <c r="O967" s="442"/>
      <c r="P967" s="442"/>
      <c r="Q967" s="442"/>
      <c r="R967" s="442"/>
      <c r="S967" s="442"/>
      <c r="T967" s="442"/>
      <c r="U967" s="442"/>
      <c r="V967" s="442"/>
      <c r="W967" s="442"/>
      <c r="X967" s="442"/>
      <c r="Y967" s="442"/>
      <c r="Z967" s="442"/>
    </row>
    <row r="968" ht="19.5" customHeight="1">
      <c r="A968" s="442"/>
      <c r="B968" s="459"/>
      <c r="C968" s="442"/>
      <c r="D968" s="460"/>
      <c r="E968" s="442"/>
      <c r="F968" s="442"/>
      <c r="G968" s="442"/>
      <c r="H968" s="442"/>
      <c r="I968" s="442"/>
      <c r="J968" s="442"/>
      <c r="K968" s="442"/>
      <c r="L968" s="442"/>
      <c r="M968" s="442"/>
      <c r="N968" s="442"/>
      <c r="O968" s="442"/>
      <c r="P968" s="442"/>
      <c r="Q968" s="442"/>
      <c r="R968" s="442"/>
      <c r="S968" s="442"/>
      <c r="T968" s="442"/>
      <c r="U968" s="442"/>
      <c r="V968" s="442"/>
      <c r="W968" s="442"/>
      <c r="X968" s="442"/>
      <c r="Y968" s="442"/>
      <c r="Z968" s="442"/>
    </row>
    <row r="969" ht="19.5" customHeight="1">
      <c r="A969" s="442"/>
      <c r="B969" s="459"/>
      <c r="C969" s="442"/>
      <c r="D969" s="460"/>
      <c r="E969" s="442"/>
      <c r="F969" s="442"/>
      <c r="G969" s="442"/>
      <c r="H969" s="442"/>
      <c r="I969" s="442"/>
      <c r="J969" s="442"/>
      <c r="K969" s="442"/>
      <c r="L969" s="442"/>
      <c r="M969" s="442"/>
      <c r="N969" s="442"/>
      <c r="O969" s="442"/>
      <c r="P969" s="442"/>
      <c r="Q969" s="442"/>
      <c r="R969" s="442"/>
      <c r="S969" s="442"/>
      <c r="T969" s="442"/>
      <c r="U969" s="442"/>
      <c r="V969" s="442"/>
      <c r="W969" s="442"/>
      <c r="X969" s="442"/>
      <c r="Y969" s="442"/>
      <c r="Z969" s="442"/>
    </row>
    <row r="970" ht="19.5" customHeight="1">
      <c r="A970" s="442"/>
      <c r="B970" s="459"/>
      <c r="C970" s="442"/>
      <c r="D970" s="460"/>
      <c r="E970" s="442"/>
      <c r="F970" s="442"/>
      <c r="G970" s="442"/>
      <c r="H970" s="442"/>
      <c r="I970" s="442"/>
      <c r="J970" s="442"/>
      <c r="K970" s="442"/>
      <c r="L970" s="442"/>
      <c r="M970" s="442"/>
      <c r="N970" s="442"/>
      <c r="O970" s="442"/>
      <c r="P970" s="442"/>
      <c r="Q970" s="442"/>
      <c r="R970" s="442"/>
      <c r="S970" s="442"/>
      <c r="T970" s="442"/>
      <c r="U970" s="442"/>
      <c r="V970" s="442"/>
      <c r="W970" s="442"/>
      <c r="X970" s="442"/>
      <c r="Y970" s="442"/>
      <c r="Z970" s="442"/>
    </row>
    <row r="971" ht="19.5" customHeight="1">
      <c r="A971" s="442"/>
      <c r="B971" s="459"/>
      <c r="C971" s="442"/>
      <c r="D971" s="460"/>
      <c r="E971" s="442"/>
      <c r="F971" s="442"/>
      <c r="G971" s="442"/>
      <c r="H971" s="442"/>
      <c r="I971" s="442"/>
      <c r="J971" s="442"/>
      <c r="K971" s="442"/>
      <c r="L971" s="442"/>
      <c r="M971" s="442"/>
      <c r="N971" s="442"/>
      <c r="O971" s="442"/>
      <c r="P971" s="442"/>
      <c r="Q971" s="442"/>
      <c r="R971" s="442"/>
      <c r="S971" s="442"/>
      <c r="T971" s="442"/>
      <c r="U971" s="442"/>
      <c r="V971" s="442"/>
      <c r="W971" s="442"/>
      <c r="X971" s="442"/>
      <c r="Y971" s="442"/>
      <c r="Z971" s="442"/>
    </row>
    <row r="972" ht="19.5" customHeight="1">
      <c r="A972" s="442"/>
      <c r="B972" s="459"/>
      <c r="C972" s="442"/>
      <c r="D972" s="460"/>
      <c r="E972" s="442"/>
      <c r="F972" s="442"/>
      <c r="G972" s="442"/>
      <c r="H972" s="442"/>
      <c r="I972" s="442"/>
      <c r="J972" s="442"/>
      <c r="K972" s="442"/>
      <c r="L972" s="442"/>
      <c r="M972" s="442"/>
      <c r="N972" s="442"/>
      <c r="O972" s="442"/>
      <c r="P972" s="442"/>
      <c r="Q972" s="442"/>
      <c r="R972" s="442"/>
      <c r="S972" s="442"/>
      <c r="T972" s="442"/>
      <c r="U972" s="442"/>
      <c r="V972" s="442"/>
      <c r="W972" s="442"/>
      <c r="X972" s="442"/>
      <c r="Y972" s="442"/>
      <c r="Z972" s="442"/>
    </row>
    <row r="973" ht="19.5" customHeight="1">
      <c r="A973" s="442"/>
      <c r="B973" s="459"/>
      <c r="C973" s="442"/>
      <c r="D973" s="460"/>
      <c r="E973" s="442"/>
      <c r="F973" s="442"/>
      <c r="G973" s="442"/>
      <c r="H973" s="442"/>
      <c r="I973" s="442"/>
      <c r="J973" s="442"/>
      <c r="K973" s="442"/>
      <c r="L973" s="442"/>
      <c r="M973" s="442"/>
      <c r="N973" s="442"/>
      <c r="O973" s="442"/>
      <c r="P973" s="442"/>
      <c r="Q973" s="442"/>
      <c r="R973" s="442"/>
      <c r="S973" s="442"/>
      <c r="T973" s="442"/>
      <c r="U973" s="442"/>
      <c r="V973" s="442"/>
      <c r="W973" s="442"/>
      <c r="X973" s="442"/>
      <c r="Y973" s="442"/>
      <c r="Z973" s="442"/>
    </row>
    <row r="974" ht="19.5" customHeight="1">
      <c r="A974" s="442"/>
      <c r="B974" s="459"/>
      <c r="C974" s="442"/>
      <c r="D974" s="460"/>
      <c r="E974" s="442"/>
      <c r="F974" s="442"/>
      <c r="G974" s="442"/>
      <c r="H974" s="442"/>
      <c r="I974" s="442"/>
      <c r="J974" s="442"/>
      <c r="K974" s="442"/>
      <c r="L974" s="442"/>
      <c r="M974" s="442"/>
      <c r="N974" s="442"/>
      <c r="O974" s="442"/>
      <c r="P974" s="442"/>
      <c r="Q974" s="442"/>
      <c r="R974" s="442"/>
      <c r="S974" s="442"/>
      <c r="T974" s="442"/>
      <c r="U974" s="442"/>
      <c r="V974" s="442"/>
      <c r="W974" s="442"/>
      <c r="X974" s="442"/>
      <c r="Y974" s="442"/>
      <c r="Z974" s="442"/>
    </row>
    <row r="975" ht="19.5" customHeight="1">
      <c r="A975" s="442"/>
      <c r="B975" s="459"/>
      <c r="C975" s="442"/>
      <c r="D975" s="460"/>
      <c r="E975" s="442"/>
      <c r="F975" s="442"/>
      <c r="G975" s="442"/>
      <c r="H975" s="442"/>
      <c r="I975" s="442"/>
      <c r="J975" s="442"/>
      <c r="K975" s="442"/>
      <c r="L975" s="442"/>
      <c r="M975" s="442"/>
      <c r="N975" s="442"/>
      <c r="O975" s="442"/>
      <c r="P975" s="442"/>
      <c r="Q975" s="442"/>
      <c r="R975" s="442"/>
      <c r="S975" s="442"/>
      <c r="T975" s="442"/>
      <c r="U975" s="442"/>
      <c r="V975" s="442"/>
      <c r="W975" s="442"/>
      <c r="X975" s="442"/>
      <c r="Y975" s="442"/>
      <c r="Z975" s="442"/>
    </row>
    <row r="976" ht="19.5" customHeight="1">
      <c r="A976" s="442"/>
      <c r="B976" s="459"/>
      <c r="C976" s="442"/>
      <c r="D976" s="460"/>
      <c r="E976" s="442"/>
      <c r="F976" s="442"/>
      <c r="G976" s="442"/>
      <c r="H976" s="442"/>
      <c r="I976" s="442"/>
      <c r="J976" s="442"/>
      <c r="K976" s="442"/>
      <c r="L976" s="442"/>
      <c r="M976" s="442"/>
      <c r="N976" s="442"/>
      <c r="O976" s="442"/>
      <c r="P976" s="442"/>
      <c r="Q976" s="442"/>
      <c r="R976" s="442"/>
      <c r="S976" s="442"/>
      <c r="T976" s="442"/>
      <c r="U976" s="442"/>
      <c r="V976" s="442"/>
      <c r="W976" s="442"/>
      <c r="X976" s="442"/>
      <c r="Y976" s="442"/>
      <c r="Z976" s="442"/>
    </row>
    <row r="977" ht="19.5" customHeight="1">
      <c r="A977" s="442"/>
      <c r="B977" s="459"/>
      <c r="C977" s="442"/>
      <c r="D977" s="460"/>
      <c r="E977" s="442"/>
      <c r="F977" s="442"/>
      <c r="G977" s="442"/>
      <c r="H977" s="442"/>
      <c r="I977" s="442"/>
      <c r="J977" s="442"/>
      <c r="K977" s="442"/>
      <c r="L977" s="442"/>
      <c r="M977" s="442"/>
      <c r="N977" s="442"/>
      <c r="O977" s="442"/>
      <c r="P977" s="442"/>
      <c r="Q977" s="442"/>
      <c r="R977" s="442"/>
      <c r="S977" s="442"/>
      <c r="T977" s="442"/>
      <c r="U977" s="442"/>
      <c r="V977" s="442"/>
      <c r="W977" s="442"/>
      <c r="X977" s="442"/>
      <c r="Y977" s="442"/>
      <c r="Z977" s="442"/>
    </row>
    <row r="978" ht="19.5" customHeight="1">
      <c r="A978" s="442"/>
      <c r="B978" s="459"/>
      <c r="C978" s="442"/>
      <c r="D978" s="460"/>
      <c r="E978" s="442"/>
      <c r="F978" s="442"/>
      <c r="G978" s="442"/>
      <c r="H978" s="442"/>
      <c r="I978" s="442"/>
      <c r="J978" s="442"/>
      <c r="K978" s="442"/>
      <c r="L978" s="442"/>
      <c r="M978" s="442"/>
      <c r="N978" s="442"/>
      <c r="O978" s="442"/>
      <c r="P978" s="442"/>
      <c r="Q978" s="442"/>
      <c r="R978" s="442"/>
      <c r="S978" s="442"/>
      <c r="T978" s="442"/>
      <c r="U978" s="442"/>
      <c r="V978" s="442"/>
      <c r="W978" s="442"/>
      <c r="X978" s="442"/>
      <c r="Y978" s="442"/>
      <c r="Z978" s="442"/>
    </row>
    <row r="979" ht="19.5" customHeight="1">
      <c r="A979" s="442"/>
      <c r="B979" s="459"/>
      <c r="C979" s="442"/>
      <c r="D979" s="460"/>
      <c r="E979" s="442"/>
      <c r="F979" s="442"/>
      <c r="G979" s="442"/>
      <c r="H979" s="442"/>
      <c r="I979" s="442"/>
      <c r="J979" s="442"/>
      <c r="K979" s="442"/>
      <c r="L979" s="442"/>
      <c r="M979" s="442"/>
      <c r="N979" s="442"/>
      <c r="O979" s="442"/>
      <c r="P979" s="442"/>
      <c r="Q979" s="442"/>
      <c r="R979" s="442"/>
      <c r="S979" s="442"/>
      <c r="T979" s="442"/>
      <c r="U979" s="442"/>
      <c r="V979" s="442"/>
      <c r="W979" s="442"/>
      <c r="X979" s="442"/>
      <c r="Y979" s="442"/>
      <c r="Z979" s="442"/>
    </row>
    <row r="980" ht="19.5" customHeight="1">
      <c r="A980" s="442"/>
      <c r="B980" s="459"/>
      <c r="C980" s="442"/>
      <c r="D980" s="460"/>
      <c r="E980" s="442"/>
      <c r="F980" s="442"/>
      <c r="G980" s="442"/>
      <c r="H980" s="442"/>
      <c r="I980" s="442"/>
      <c r="J980" s="442"/>
      <c r="K980" s="442"/>
      <c r="L980" s="442"/>
      <c r="M980" s="442"/>
      <c r="N980" s="442"/>
      <c r="O980" s="442"/>
      <c r="P980" s="442"/>
      <c r="Q980" s="442"/>
      <c r="R980" s="442"/>
      <c r="S980" s="442"/>
      <c r="T980" s="442"/>
      <c r="U980" s="442"/>
      <c r="V980" s="442"/>
      <c r="W980" s="442"/>
      <c r="X980" s="442"/>
      <c r="Y980" s="442"/>
      <c r="Z980" s="442"/>
    </row>
    <row r="981" ht="19.5" customHeight="1">
      <c r="A981" s="442"/>
      <c r="B981" s="459"/>
      <c r="C981" s="442"/>
      <c r="D981" s="460"/>
      <c r="E981" s="442"/>
      <c r="F981" s="442"/>
      <c r="G981" s="442"/>
      <c r="H981" s="442"/>
      <c r="I981" s="442"/>
      <c r="J981" s="442"/>
      <c r="K981" s="442"/>
      <c r="L981" s="442"/>
      <c r="M981" s="442"/>
      <c r="N981" s="442"/>
      <c r="O981" s="442"/>
      <c r="P981" s="442"/>
      <c r="Q981" s="442"/>
      <c r="R981" s="442"/>
      <c r="S981" s="442"/>
      <c r="T981" s="442"/>
      <c r="U981" s="442"/>
      <c r="V981" s="442"/>
      <c r="W981" s="442"/>
      <c r="X981" s="442"/>
      <c r="Y981" s="442"/>
      <c r="Z981" s="442"/>
    </row>
    <row r="982" ht="19.5" customHeight="1">
      <c r="A982" s="442"/>
      <c r="B982" s="459"/>
      <c r="C982" s="442"/>
      <c r="D982" s="460"/>
      <c r="E982" s="442"/>
      <c r="F982" s="442"/>
      <c r="G982" s="442"/>
      <c r="H982" s="442"/>
      <c r="I982" s="442"/>
      <c r="J982" s="442"/>
      <c r="K982" s="442"/>
      <c r="L982" s="442"/>
      <c r="M982" s="442"/>
      <c r="N982" s="442"/>
      <c r="O982" s="442"/>
      <c r="P982" s="442"/>
      <c r="Q982" s="442"/>
      <c r="R982" s="442"/>
      <c r="S982" s="442"/>
      <c r="T982" s="442"/>
      <c r="U982" s="442"/>
      <c r="V982" s="442"/>
      <c r="W982" s="442"/>
      <c r="X982" s="442"/>
      <c r="Y982" s="442"/>
      <c r="Z982" s="442"/>
    </row>
    <row r="983" ht="19.5" customHeight="1">
      <c r="A983" s="442"/>
      <c r="B983" s="459"/>
      <c r="C983" s="442"/>
      <c r="D983" s="460"/>
      <c r="E983" s="442"/>
      <c r="F983" s="442"/>
      <c r="G983" s="442"/>
      <c r="H983" s="442"/>
      <c r="I983" s="442"/>
      <c r="J983" s="442"/>
      <c r="K983" s="442"/>
      <c r="L983" s="442"/>
      <c r="M983" s="442"/>
      <c r="N983" s="442"/>
      <c r="O983" s="442"/>
      <c r="P983" s="442"/>
      <c r="Q983" s="442"/>
      <c r="R983" s="442"/>
      <c r="S983" s="442"/>
      <c r="T983" s="442"/>
      <c r="U983" s="442"/>
      <c r="V983" s="442"/>
      <c r="W983" s="442"/>
      <c r="X983" s="442"/>
      <c r="Y983" s="442"/>
      <c r="Z983" s="442"/>
    </row>
    <row r="984" ht="19.5" customHeight="1">
      <c r="A984" s="442"/>
      <c r="B984" s="459"/>
      <c r="C984" s="442"/>
      <c r="D984" s="460"/>
      <c r="E984" s="442"/>
      <c r="F984" s="442"/>
      <c r="G984" s="442"/>
      <c r="H984" s="442"/>
      <c r="I984" s="442"/>
      <c r="J984" s="442"/>
      <c r="K984" s="442"/>
      <c r="L984" s="442"/>
      <c r="M984" s="442"/>
      <c r="N984" s="442"/>
      <c r="O984" s="442"/>
      <c r="P984" s="442"/>
      <c r="Q984" s="442"/>
      <c r="R984" s="442"/>
      <c r="S984" s="442"/>
      <c r="T984" s="442"/>
      <c r="U984" s="442"/>
      <c r="V984" s="442"/>
      <c r="W984" s="442"/>
      <c r="X984" s="442"/>
      <c r="Y984" s="442"/>
      <c r="Z984" s="442"/>
    </row>
    <row r="985" ht="19.5" customHeight="1">
      <c r="A985" s="442"/>
      <c r="B985" s="459"/>
      <c r="C985" s="442"/>
      <c r="D985" s="460"/>
      <c r="E985" s="442"/>
      <c r="F985" s="442"/>
      <c r="G985" s="442"/>
      <c r="H985" s="442"/>
      <c r="I985" s="442"/>
      <c r="J985" s="442"/>
      <c r="K985" s="442"/>
      <c r="L985" s="442"/>
      <c r="M985" s="442"/>
      <c r="N985" s="442"/>
      <c r="O985" s="442"/>
      <c r="P985" s="442"/>
      <c r="Q985" s="442"/>
      <c r="R985" s="442"/>
      <c r="S985" s="442"/>
      <c r="T985" s="442"/>
      <c r="U985" s="442"/>
      <c r="V985" s="442"/>
      <c r="W985" s="442"/>
      <c r="X985" s="442"/>
      <c r="Y985" s="442"/>
      <c r="Z985" s="442"/>
    </row>
    <row r="986" ht="19.5" customHeight="1">
      <c r="A986" s="442"/>
      <c r="B986" s="459"/>
      <c r="C986" s="442"/>
      <c r="D986" s="460"/>
      <c r="E986" s="442"/>
      <c r="F986" s="442"/>
      <c r="G986" s="442"/>
      <c r="H986" s="442"/>
      <c r="I986" s="442"/>
      <c r="J986" s="442"/>
      <c r="K986" s="442"/>
      <c r="L986" s="442"/>
      <c r="M986" s="442"/>
      <c r="N986" s="442"/>
      <c r="O986" s="442"/>
      <c r="P986" s="442"/>
      <c r="Q986" s="442"/>
      <c r="R986" s="442"/>
      <c r="S986" s="442"/>
      <c r="T986" s="442"/>
      <c r="U986" s="442"/>
      <c r="V986" s="442"/>
      <c r="W986" s="442"/>
      <c r="X986" s="442"/>
      <c r="Y986" s="442"/>
      <c r="Z986" s="442"/>
    </row>
    <row r="987" ht="19.5" customHeight="1">
      <c r="A987" s="442"/>
      <c r="B987" s="459"/>
      <c r="C987" s="442"/>
      <c r="D987" s="460"/>
      <c r="E987" s="442"/>
      <c r="F987" s="442"/>
      <c r="G987" s="442"/>
      <c r="H987" s="442"/>
      <c r="I987" s="442"/>
      <c r="J987" s="442"/>
      <c r="K987" s="442"/>
      <c r="L987" s="442"/>
      <c r="M987" s="442"/>
      <c r="N987" s="442"/>
      <c r="O987" s="442"/>
      <c r="P987" s="442"/>
      <c r="Q987" s="442"/>
      <c r="R987" s="442"/>
      <c r="S987" s="442"/>
      <c r="T987" s="442"/>
      <c r="U987" s="442"/>
      <c r="V987" s="442"/>
      <c r="W987" s="442"/>
      <c r="X987" s="442"/>
      <c r="Y987" s="442"/>
      <c r="Z987" s="442"/>
    </row>
    <row r="988" ht="19.5" customHeight="1">
      <c r="A988" s="442"/>
      <c r="B988" s="459"/>
      <c r="C988" s="442"/>
      <c r="D988" s="460"/>
      <c r="E988" s="442"/>
      <c r="F988" s="442"/>
      <c r="G988" s="442"/>
      <c r="H988" s="442"/>
      <c r="I988" s="442"/>
      <c r="J988" s="442"/>
      <c r="K988" s="442"/>
      <c r="L988" s="442"/>
      <c r="M988" s="442"/>
      <c r="N988" s="442"/>
      <c r="O988" s="442"/>
      <c r="P988" s="442"/>
      <c r="Q988" s="442"/>
      <c r="R988" s="442"/>
      <c r="S988" s="442"/>
      <c r="T988" s="442"/>
      <c r="U988" s="442"/>
      <c r="V988" s="442"/>
      <c r="W988" s="442"/>
      <c r="X988" s="442"/>
      <c r="Y988" s="442"/>
      <c r="Z988" s="442"/>
    </row>
    <row r="989" ht="19.5" customHeight="1">
      <c r="A989" s="442"/>
      <c r="B989" s="459"/>
      <c r="C989" s="442"/>
      <c r="D989" s="460"/>
      <c r="E989" s="442"/>
      <c r="F989" s="442"/>
      <c r="G989" s="442"/>
      <c r="H989" s="442"/>
      <c r="I989" s="442"/>
      <c r="J989" s="442"/>
      <c r="K989" s="442"/>
      <c r="L989" s="442"/>
      <c r="M989" s="442"/>
      <c r="N989" s="442"/>
      <c r="O989" s="442"/>
      <c r="P989" s="442"/>
      <c r="Q989" s="442"/>
      <c r="R989" s="442"/>
      <c r="S989" s="442"/>
      <c r="T989" s="442"/>
      <c r="U989" s="442"/>
      <c r="V989" s="442"/>
      <c r="W989" s="442"/>
      <c r="X989" s="442"/>
      <c r="Y989" s="442"/>
      <c r="Z989" s="442"/>
    </row>
    <row r="990" ht="19.5" customHeight="1">
      <c r="A990" s="442"/>
      <c r="B990" s="459"/>
      <c r="C990" s="442"/>
      <c r="D990" s="460"/>
      <c r="E990" s="442"/>
      <c r="F990" s="442"/>
      <c r="G990" s="442"/>
      <c r="H990" s="442"/>
      <c r="I990" s="442"/>
      <c r="J990" s="442"/>
      <c r="K990" s="442"/>
      <c r="L990" s="442"/>
      <c r="M990" s="442"/>
      <c r="N990" s="442"/>
      <c r="O990" s="442"/>
      <c r="P990" s="442"/>
      <c r="Q990" s="442"/>
      <c r="R990" s="442"/>
      <c r="S990" s="442"/>
      <c r="T990" s="442"/>
      <c r="U990" s="442"/>
      <c r="V990" s="442"/>
      <c r="W990" s="442"/>
      <c r="X990" s="442"/>
      <c r="Y990" s="442"/>
      <c r="Z990" s="442"/>
    </row>
    <row r="991" ht="19.5" customHeight="1">
      <c r="A991" s="442"/>
      <c r="B991" s="459"/>
      <c r="C991" s="442"/>
      <c r="D991" s="460"/>
      <c r="E991" s="442"/>
      <c r="F991" s="442"/>
      <c r="G991" s="442"/>
      <c r="H991" s="442"/>
      <c r="I991" s="442"/>
      <c r="J991" s="442"/>
      <c r="K991" s="442"/>
      <c r="L991" s="442"/>
      <c r="M991" s="442"/>
      <c r="N991" s="442"/>
      <c r="O991" s="442"/>
      <c r="P991" s="442"/>
      <c r="Q991" s="442"/>
      <c r="R991" s="442"/>
      <c r="S991" s="442"/>
      <c r="T991" s="442"/>
      <c r="U991" s="442"/>
      <c r="V991" s="442"/>
      <c r="W991" s="442"/>
      <c r="X991" s="442"/>
      <c r="Y991" s="442"/>
      <c r="Z991" s="442"/>
    </row>
    <row r="992" ht="19.5" customHeight="1">
      <c r="A992" s="442"/>
      <c r="B992" s="459"/>
      <c r="C992" s="442"/>
      <c r="D992" s="460"/>
      <c r="E992" s="442"/>
      <c r="F992" s="442"/>
      <c r="G992" s="442"/>
      <c r="H992" s="442"/>
      <c r="I992" s="442"/>
      <c r="J992" s="442"/>
      <c r="K992" s="442"/>
      <c r="L992" s="442"/>
      <c r="M992" s="442"/>
      <c r="N992" s="442"/>
      <c r="O992" s="442"/>
      <c r="P992" s="442"/>
      <c r="Q992" s="442"/>
      <c r="R992" s="442"/>
      <c r="S992" s="442"/>
      <c r="T992" s="442"/>
      <c r="U992" s="442"/>
      <c r="V992" s="442"/>
      <c r="W992" s="442"/>
      <c r="X992" s="442"/>
      <c r="Y992" s="442"/>
      <c r="Z992" s="442"/>
    </row>
    <row r="993" ht="19.5" customHeight="1">
      <c r="A993" s="442"/>
      <c r="B993" s="459"/>
      <c r="C993" s="442"/>
      <c r="D993" s="460"/>
      <c r="E993" s="442"/>
      <c r="F993" s="442"/>
      <c r="G993" s="442"/>
      <c r="H993" s="442"/>
      <c r="I993" s="442"/>
      <c r="J993" s="442"/>
      <c r="K993" s="442"/>
      <c r="L993" s="442"/>
      <c r="M993" s="442"/>
      <c r="N993" s="442"/>
      <c r="O993" s="442"/>
      <c r="P993" s="442"/>
      <c r="Q993" s="442"/>
      <c r="R993" s="442"/>
      <c r="S993" s="442"/>
      <c r="T993" s="442"/>
      <c r="U993" s="442"/>
      <c r="V993" s="442"/>
      <c r="W993" s="442"/>
      <c r="X993" s="442"/>
      <c r="Y993" s="442"/>
      <c r="Z993" s="442"/>
    </row>
    <row r="994" ht="19.5" customHeight="1">
      <c r="A994" s="442"/>
      <c r="B994" s="459"/>
      <c r="C994" s="442"/>
      <c r="D994" s="460"/>
      <c r="E994" s="442"/>
      <c r="F994" s="442"/>
      <c r="G994" s="442"/>
      <c r="H994" s="442"/>
      <c r="I994" s="442"/>
      <c r="J994" s="442"/>
      <c r="K994" s="442"/>
      <c r="L994" s="442"/>
      <c r="M994" s="442"/>
      <c r="N994" s="442"/>
      <c r="O994" s="442"/>
      <c r="P994" s="442"/>
      <c r="Q994" s="442"/>
      <c r="R994" s="442"/>
      <c r="S994" s="442"/>
      <c r="T994" s="442"/>
      <c r="U994" s="442"/>
      <c r="V994" s="442"/>
      <c r="W994" s="442"/>
      <c r="X994" s="442"/>
      <c r="Y994" s="442"/>
      <c r="Z994" s="442"/>
    </row>
    <row r="995" ht="19.5" customHeight="1">
      <c r="A995" s="442"/>
      <c r="B995" s="459"/>
      <c r="C995" s="442"/>
      <c r="D995" s="460"/>
      <c r="E995" s="442"/>
      <c r="F995" s="442"/>
      <c r="G995" s="442"/>
      <c r="H995" s="442"/>
      <c r="I995" s="442"/>
      <c r="J995" s="442"/>
      <c r="K995" s="442"/>
      <c r="L995" s="442"/>
      <c r="M995" s="442"/>
      <c r="N995" s="442"/>
      <c r="O995" s="442"/>
      <c r="P995" s="442"/>
      <c r="Q995" s="442"/>
      <c r="R995" s="442"/>
      <c r="S995" s="442"/>
      <c r="T995" s="442"/>
      <c r="U995" s="442"/>
      <c r="V995" s="442"/>
      <c r="W995" s="442"/>
      <c r="X995" s="442"/>
      <c r="Y995" s="442"/>
      <c r="Z995" s="442"/>
    </row>
    <row r="996" ht="19.5" customHeight="1">
      <c r="A996" s="442"/>
      <c r="B996" s="459"/>
      <c r="C996" s="442"/>
      <c r="D996" s="460"/>
      <c r="E996" s="442"/>
      <c r="F996" s="442"/>
      <c r="G996" s="442"/>
      <c r="H996" s="442"/>
      <c r="I996" s="442"/>
      <c r="J996" s="442"/>
      <c r="K996" s="442"/>
      <c r="L996" s="442"/>
      <c r="M996" s="442"/>
      <c r="N996" s="442"/>
      <c r="O996" s="442"/>
      <c r="P996" s="442"/>
      <c r="Q996" s="442"/>
      <c r="R996" s="442"/>
      <c r="S996" s="442"/>
      <c r="T996" s="442"/>
      <c r="U996" s="442"/>
      <c r="V996" s="442"/>
      <c r="W996" s="442"/>
      <c r="X996" s="442"/>
      <c r="Y996" s="442"/>
      <c r="Z996" s="442"/>
    </row>
    <row r="997" ht="19.5" customHeight="1">
      <c r="A997" s="442"/>
      <c r="B997" s="459"/>
      <c r="C997" s="442"/>
      <c r="D997" s="460"/>
      <c r="E997" s="442"/>
      <c r="F997" s="442"/>
      <c r="G997" s="442"/>
      <c r="H997" s="442"/>
      <c r="I997" s="442"/>
      <c r="J997" s="442"/>
      <c r="K997" s="442"/>
      <c r="L997" s="442"/>
      <c r="M997" s="442"/>
      <c r="N997" s="442"/>
      <c r="O997" s="442"/>
      <c r="P997" s="442"/>
      <c r="Q997" s="442"/>
      <c r="R997" s="442"/>
      <c r="S997" s="442"/>
      <c r="T997" s="442"/>
      <c r="U997" s="442"/>
      <c r="V997" s="442"/>
      <c r="W997" s="442"/>
      <c r="X997" s="442"/>
      <c r="Y997" s="442"/>
      <c r="Z997" s="442"/>
    </row>
    <row r="998" ht="19.5" customHeight="1">
      <c r="A998" s="442"/>
      <c r="B998" s="459"/>
      <c r="C998" s="442"/>
      <c r="D998" s="460"/>
      <c r="E998" s="442"/>
      <c r="F998" s="442"/>
      <c r="G998" s="442"/>
      <c r="H998" s="442"/>
      <c r="I998" s="442"/>
      <c r="J998" s="442"/>
      <c r="K998" s="442"/>
      <c r="L998" s="442"/>
      <c r="M998" s="442"/>
      <c r="N998" s="442"/>
      <c r="O998" s="442"/>
      <c r="P998" s="442"/>
      <c r="Q998" s="442"/>
      <c r="R998" s="442"/>
      <c r="S998" s="442"/>
      <c r="T998" s="442"/>
      <c r="U998" s="442"/>
      <c r="V998" s="442"/>
      <c r="W998" s="442"/>
      <c r="X998" s="442"/>
      <c r="Y998" s="442"/>
      <c r="Z998" s="442"/>
    </row>
    <row r="999" ht="19.5" customHeight="1">
      <c r="A999" s="442"/>
      <c r="B999" s="459"/>
      <c r="C999" s="442"/>
      <c r="D999" s="460"/>
      <c r="E999" s="442"/>
      <c r="F999" s="442"/>
      <c r="G999" s="442"/>
      <c r="H999" s="442"/>
      <c r="I999" s="442"/>
      <c r="J999" s="442"/>
      <c r="K999" s="442"/>
      <c r="L999" s="442"/>
      <c r="M999" s="442"/>
      <c r="N999" s="442"/>
      <c r="O999" s="442"/>
      <c r="P999" s="442"/>
      <c r="Q999" s="442"/>
      <c r="R999" s="442"/>
      <c r="S999" s="442"/>
      <c r="T999" s="442"/>
      <c r="U999" s="442"/>
      <c r="V999" s="442"/>
      <c r="W999" s="442"/>
      <c r="X999" s="442"/>
      <c r="Y999" s="442"/>
      <c r="Z999" s="442"/>
    </row>
    <row r="1000" ht="19.5" customHeight="1">
      <c r="A1000" s="442"/>
      <c r="B1000" s="459"/>
      <c r="C1000" s="442"/>
      <c r="D1000" s="460"/>
      <c r="E1000" s="442"/>
      <c r="F1000" s="442"/>
      <c r="G1000" s="442"/>
      <c r="H1000" s="442"/>
      <c r="I1000" s="442"/>
      <c r="J1000" s="442"/>
      <c r="K1000" s="442"/>
      <c r="L1000" s="442"/>
      <c r="M1000" s="442"/>
      <c r="N1000" s="442"/>
      <c r="O1000" s="442"/>
      <c r="P1000" s="442"/>
      <c r="Q1000" s="442"/>
      <c r="R1000" s="442"/>
      <c r="S1000" s="442"/>
      <c r="T1000" s="442"/>
      <c r="U1000" s="442"/>
      <c r="V1000" s="442"/>
      <c r="W1000" s="442"/>
      <c r="X1000" s="442"/>
      <c r="Y1000" s="442"/>
      <c r="Z1000" s="442"/>
    </row>
    <row r="1001" ht="19.5" customHeight="1">
      <c r="A1001" s="442"/>
      <c r="B1001" s="459"/>
      <c r="C1001" s="442"/>
      <c r="D1001" s="460"/>
      <c r="E1001" s="442"/>
      <c r="F1001" s="442"/>
      <c r="G1001" s="442"/>
      <c r="H1001" s="442"/>
      <c r="I1001" s="442"/>
      <c r="J1001" s="442"/>
      <c r="K1001" s="442"/>
      <c r="L1001" s="442"/>
      <c r="M1001" s="442"/>
      <c r="N1001" s="442"/>
      <c r="O1001" s="442"/>
      <c r="P1001" s="442"/>
      <c r="Q1001" s="442"/>
      <c r="R1001" s="442"/>
      <c r="S1001" s="442"/>
      <c r="T1001" s="442"/>
      <c r="U1001" s="442"/>
      <c r="V1001" s="442"/>
      <c r="W1001" s="442"/>
      <c r="X1001" s="442"/>
      <c r="Y1001" s="442"/>
      <c r="Z1001" s="442"/>
    </row>
    <row r="1002" ht="19.5" customHeight="1">
      <c r="A1002" s="442"/>
      <c r="B1002" s="459"/>
      <c r="C1002" s="442"/>
      <c r="D1002" s="460"/>
      <c r="E1002" s="442"/>
      <c r="F1002" s="442"/>
      <c r="G1002" s="442"/>
      <c r="H1002" s="442"/>
      <c r="I1002" s="442"/>
      <c r="J1002" s="442"/>
      <c r="K1002" s="442"/>
      <c r="L1002" s="442"/>
      <c r="M1002" s="442"/>
      <c r="N1002" s="442"/>
      <c r="O1002" s="442"/>
      <c r="P1002" s="442"/>
      <c r="Q1002" s="442"/>
      <c r="R1002" s="442"/>
      <c r="S1002" s="442"/>
      <c r="T1002" s="442"/>
      <c r="U1002" s="442"/>
      <c r="V1002" s="442"/>
      <c r="W1002" s="442"/>
      <c r="X1002" s="442"/>
      <c r="Y1002" s="442"/>
      <c r="Z1002" s="442"/>
    </row>
    <row r="1003" ht="19.5" customHeight="1">
      <c r="A1003" s="442"/>
      <c r="B1003" s="459"/>
      <c r="C1003" s="442"/>
      <c r="D1003" s="460"/>
      <c r="E1003" s="442"/>
      <c r="F1003" s="442"/>
      <c r="G1003" s="442"/>
      <c r="H1003" s="442"/>
      <c r="I1003" s="442"/>
      <c r="J1003" s="442"/>
      <c r="K1003" s="442"/>
      <c r="L1003" s="442"/>
      <c r="M1003" s="442"/>
      <c r="N1003" s="442"/>
      <c r="O1003" s="442"/>
      <c r="P1003" s="442"/>
      <c r="Q1003" s="442"/>
      <c r="R1003" s="442"/>
      <c r="S1003" s="442"/>
      <c r="T1003" s="442"/>
      <c r="U1003" s="442"/>
      <c r="V1003" s="442"/>
      <c r="W1003" s="442"/>
      <c r="X1003" s="442"/>
      <c r="Y1003" s="442"/>
      <c r="Z1003" s="442"/>
    </row>
    <row r="1004" ht="19.5" customHeight="1">
      <c r="A1004" s="442"/>
      <c r="B1004" s="459"/>
      <c r="C1004" s="442"/>
      <c r="D1004" s="460"/>
      <c r="E1004" s="442"/>
      <c r="F1004" s="442"/>
      <c r="G1004" s="442"/>
      <c r="H1004" s="442"/>
      <c r="I1004" s="442"/>
      <c r="J1004" s="442"/>
      <c r="K1004" s="442"/>
      <c r="L1004" s="442"/>
      <c r="M1004" s="442"/>
      <c r="N1004" s="442"/>
      <c r="O1004" s="442"/>
      <c r="P1004" s="442"/>
      <c r="Q1004" s="442"/>
      <c r="R1004" s="442"/>
      <c r="S1004" s="442"/>
      <c r="T1004" s="442"/>
      <c r="U1004" s="442"/>
      <c r="V1004" s="442"/>
      <c r="W1004" s="442"/>
      <c r="X1004" s="442"/>
      <c r="Y1004" s="442"/>
      <c r="Z1004" s="442"/>
    </row>
    <row r="1005" ht="19.5" customHeight="1">
      <c r="A1005" s="442"/>
      <c r="B1005" s="459"/>
      <c r="C1005" s="442"/>
      <c r="D1005" s="460"/>
      <c r="E1005" s="442"/>
      <c r="F1005" s="442"/>
      <c r="G1005" s="442"/>
      <c r="H1005" s="442"/>
      <c r="I1005" s="442"/>
      <c r="J1005" s="442"/>
      <c r="K1005" s="442"/>
      <c r="L1005" s="442"/>
      <c r="M1005" s="442"/>
      <c r="N1005" s="442"/>
      <c r="O1005" s="442"/>
      <c r="P1005" s="442"/>
      <c r="Q1005" s="442"/>
      <c r="R1005" s="442"/>
      <c r="S1005" s="442"/>
      <c r="T1005" s="442"/>
      <c r="U1005" s="442"/>
      <c r="V1005" s="442"/>
      <c r="W1005" s="442"/>
      <c r="X1005" s="442"/>
      <c r="Y1005" s="442"/>
      <c r="Z1005" s="442"/>
    </row>
    <row r="1006" ht="19.5" customHeight="1">
      <c r="A1006" s="442"/>
      <c r="B1006" s="459"/>
      <c r="C1006" s="442"/>
      <c r="D1006" s="460"/>
      <c r="E1006" s="442"/>
      <c r="F1006" s="442"/>
      <c r="G1006" s="442"/>
      <c r="H1006" s="442"/>
      <c r="I1006" s="442"/>
      <c r="J1006" s="442"/>
      <c r="K1006" s="442"/>
      <c r="L1006" s="442"/>
      <c r="M1006" s="442"/>
      <c r="N1006" s="442"/>
      <c r="O1006" s="442"/>
      <c r="P1006" s="442"/>
      <c r="Q1006" s="442"/>
      <c r="R1006" s="442"/>
      <c r="S1006" s="442"/>
      <c r="T1006" s="442"/>
      <c r="U1006" s="442"/>
      <c r="V1006" s="442"/>
      <c r="W1006" s="442"/>
      <c r="X1006" s="442"/>
      <c r="Y1006" s="442"/>
      <c r="Z1006" s="442"/>
    </row>
    <row r="1007" ht="19.5" customHeight="1">
      <c r="A1007" s="442"/>
      <c r="B1007" s="459"/>
      <c r="C1007" s="442"/>
      <c r="D1007" s="460"/>
      <c r="E1007" s="442"/>
      <c r="F1007" s="442"/>
      <c r="G1007" s="442"/>
      <c r="H1007" s="442"/>
      <c r="I1007" s="442"/>
      <c r="J1007" s="442"/>
      <c r="K1007" s="442"/>
      <c r="L1007" s="442"/>
      <c r="M1007" s="442"/>
      <c r="N1007" s="442"/>
      <c r="O1007" s="442"/>
      <c r="P1007" s="442"/>
      <c r="Q1007" s="442"/>
      <c r="R1007" s="442"/>
      <c r="S1007" s="442"/>
      <c r="T1007" s="442"/>
      <c r="U1007" s="442"/>
      <c r="V1007" s="442"/>
      <c r="W1007" s="442"/>
      <c r="X1007" s="442"/>
      <c r="Y1007" s="442"/>
      <c r="Z1007" s="442"/>
    </row>
    <row r="1008" ht="19.5" customHeight="1">
      <c r="A1008" s="442"/>
      <c r="B1008" s="459"/>
      <c r="C1008" s="442"/>
      <c r="D1008" s="460"/>
      <c r="E1008" s="442"/>
      <c r="F1008" s="442"/>
      <c r="G1008" s="442"/>
      <c r="H1008" s="442"/>
      <c r="I1008" s="442"/>
      <c r="J1008" s="442"/>
      <c r="K1008" s="442"/>
      <c r="L1008" s="442"/>
      <c r="M1008" s="442"/>
      <c r="N1008" s="442"/>
      <c r="O1008" s="442"/>
      <c r="P1008" s="442"/>
      <c r="Q1008" s="442"/>
      <c r="R1008" s="442"/>
      <c r="S1008" s="442"/>
      <c r="T1008" s="442"/>
      <c r="U1008" s="442"/>
      <c r="V1008" s="442"/>
      <c r="W1008" s="442"/>
      <c r="X1008" s="442"/>
      <c r="Y1008" s="442"/>
      <c r="Z1008" s="442"/>
    </row>
    <row r="1009" ht="19.5" customHeight="1">
      <c r="A1009" s="442"/>
      <c r="B1009" s="459"/>
      <c r="C1009" s="442"/>
      <c r="D1009" s="460"/>
      <c r="E1009" s="442"/>
      <c r="F1009" s="442"/>
      <c r="G1009" s="442"/>
      <c r="H1009" s="442"/>
      <c r="I1009" s="442"/>
      <c r="J1009" s="442"/>
      <c r="K1009" s="442"/>
      <c r="L1009" s="442"/>
      <c r="M1009" s="442"/>
      <c r="N1009" s="442"/>
      <c r="O1009" s="442"/>
      <c r="P1009" s="442"/>
      <c r="Q1009" s="442"/>
      <c r="R1009" s="442"/>
      <c r="S1009" s="442"/>
      <c r="T1009" s="442"/>
      <c r="U1009" s="442"/>
      <c r="V1009" s="442"/>
      <c r="W1009" s="442"/>
      <c r="X1009" s="442"/>
      <c r="Y1009" s="442"/>
      <c r="Z1009" s="442"/>
    </row>
    <row r="1010" ht="19.5" customHeight="1">
      <c r="A1010" s="442"/>
      <c r="B1010" s="459"/>
      <c r="C1010" s="442"/>
      <c r="D1010" s="460"/>
      <c r="E1010" s="442"/>
      <c r="F1010" s="442"/>
      <c r="G1010" s="442"/>
      <c r="H1010" s="442"/>
      <c r="I1010" s="442"/>
      <c r="J1010" s="442"/>
      <c r="K1010" s="442"/>
      <c r="L1010" s="442"/>
      <c r="M1010" s="442"/>
      <c r="N1010" s="442"/>
      <c r="O1010" s="442"/>
      <c r="P1010" s="442"/>
      <c r="Q1010" s="442"/>
      <c r="R1010" s="442"/>
      <c r="S1010" s="442"/>
      <c r="T1010" s="442"/>
      <c r="U1010" s="442"/>
      <c r="V1010" s="442"/>
      <c r="W1010" s="442"/>
      <c r="X1010" s="442"/>
      <c r="Y1010" s="442"/>
      <c r="Z1010" s="442"/>
    </row>
    <row r="1011" ht="19.5" customHeight="1">
      <c r="A1011" s="442"/>
      <c r="B1011" s="459"/>
      <c r="C1011" s="442"/>
      <c r="D1011" s="460"/>
      <c r="E1011" s="442"/>
      <c r="F1011" s="442"/>
      <c r="G1011" s="442"/>
      <c r="H1011" s="442"/>
      <c r="I1011" s="442"/>
      <c r="J1011" s="442"/>
      <c r="K1011" s="442"/>
      <c r="L1011" s="442"/>
      <c r="M1011" s="442"/>
      <c r="N1011" s="442"/>
      <c r="O1011" s="442"/>
      <c r="P1011" s="442"/>
      <c r="Q1011" s="442"/>
      <c r="R1011" s="442"/>
      <c r="S1011" s="442"/>
      <c r="T1011" s="442"/>
      <c r="U1011" s="442"/>
      <c r="V1011" s="442"/>
      <c r="W1011" s="442"/>
      <c r="X1011" s="442"/>
      <c r="Y1011" s="442"/>
      <c r="Z1011" s="442"/>
    </row>
    <row r="1012" ht="19.5" customHeight="1">
      <c r="A1012" s="442"/>
      <c r="B1012" s="459"/>
      <c r="C1012" s="442"/>
      <c r="D1012" s="460"/>
      <c r="E1012" s="442"/>
      <c r="F1012" s="442"/>
      <c r="G1012" s="442"/>
      <c r="H1012" s="442"/>
      <c r="I1012" s="442"/>
      <c r="J1012" s="442"/>
      <c r="K1012" s="442"/>
      <c r="L1012" s="442"/>
      <c r="M1012" s="442"/>
      <c r="N1012" s="442"/>
      <c r="O1012" s="442"/>
      <c r="P1012" s="442"/>
      <c r="Q1012" s="442"/>
      <c r="R1012" s="442"/>
      <c r="S1012" s="442"/>
      <c r="T1012" s="442"/>
      <c r="U1012" s="442"/>
      <c r="V1012" s="442"/>
      <c r="W1012" s="442"/>
      <c r="X1012" s="442"/>
      <c r="Y1012" s="442"/>
      <c r="Z1012" s="442"/>
    </row>
  </sheetData>
  <autoFilter ref="$A$2:$Z$38"/>
  <mergeCells count="1">
    <mergeCell ref="A1:E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3"/>
    <hyperlink r:id="rId31" ref="E34"/>
    <hyperlink r:id="rId32" ref="E35"/>
  </hyperlinks>
  <drawing r:id="rId3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63"/>
    <col customWidth="1" min="2" max="2" width="39.25"/>
    <col customWidth="1" min="3" max="3" width="42.63"/>
  </cols>
  <sheetData>
    <row r="1" ht="38.25" customHeight="1">
      <c r="A1" s="441" t="s">
        <v>1505</v>
      </c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</row>
    <row r="2" ht="25.5" customHeight="1">
      <c r="A2" s="443" t="s">
        <v>1182</v>
      </c>
      <c r="B2" s="443" t="s">
        <v>985</v>
      </c>
      <c r="C2" s="443" t="s">
        <v>1187</v>
      </c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</row>
    <row r="3" ht="19.5" customHeight="1">
      <c r="A3" s="18">
        <f t="shared" ref="A3:A40" si="1">IF(ISBLANK(B3),"",COUNTA($B$3:B3))</f>
        <v>1</v>
      </c>
      <c r="B3" s="448" t="s">
        <v>1506</v>
      </c>
      <c r="C3" s="450" t="s">
        <v>494</v>
      </c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</row>
    <row r="4" ht="19.5" customHeight="1">
      <c r="A4" s="18">
        <f t="shared" si="1"/>
        <v>2</v>
      </c>
      <c r="B4" s="448" t="s">
        <v>1507</v>
      </c>
      <c r="C4" s="450" t="s">
        <v>154</v>
      </c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  <c r="S4" s="451"/>
      <c r="T4" s="451"/>
      <c r="U4" s="451"/>
      <c r="V4" s="451"/>
      <c r="W4" s="451"/>
      <c r="X4" s="451"/>
    </row>
    <row r="5" ht="19.5" customHeight="1">
      <c r="A5" s="18">
        <f t="shared" si="1"/>
        <v>3</v>
      </c>
      <c r="B5" s="448" t="s">
        <v>1508</v>
      </c>
      <c r="C5" s="450" t="s">
        <v>622</v>
      </c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451"/>
    </row>
    <row r="6" ht="19.5" customHeight="1">
      <c r="A6" s="18">
        <f t="shared" si="1"/>
        <v>4</v>
      </c>
      <c r="B6" s="448" t="s">
        <v>1509</v>
      </c>
      <c r="C6" s="450" t="s">
        <v>89</v>
      </c>
      <c r="D6" s="451"/>
      <c r="E6" s="451"/>
      <c r="F6" s="451"/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X6" s="451"/>
    </row>
    <row r="7" ht="19.5" customHeight="1">
      <c r="A7" s="18">
        <f t="shared" si="1"/>
        <v>5</v>
      </c>
      <c r="B7" s="448" t="s">
        <v>1510</v>
      </c>
      <c r="C7" s="450" t="s">
        <v>377</v>
      </c>
      <c r="D7" s="451"/>
      <c r="E7" s="451"/>
      <c r="F7" s="451"/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  <c r="V7" s="451"/>
      <c r="W7" s="451"/>
      <c r="X7" s="451"/>
    </row>
    <row r="8" ht="19.5" customHeight="1">
      <c r="A8" s="18">
        <f t="shared" si="1"/>
        <v>6</v>
      </c>
      <c r="B8" s="448" t="s">
        <v>1511</v>
      </c>
      <c r="C8" s="450" t="s">
        <v>289</v>
      </c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  <c r="O8" s="451"/>
      <c r="P8" s="451"/>
      <c r="Q8" s="451"/>
      <c r="R8" s="451"/>
      <c r="S8" s="451"/>
      <c r="T8" s="451"/>
      <c r="U8" s="451"/>
      <c r="V8" s="451"/>
      <c r="W8" s="451"/>
      <c r="X8" s="451"/>
    </row>
    <row r="9" ht="19.5" customHeight="1">
      <c r="A9" s="18">
        <f t="shared" si="1"/>
        <v>7</v>
      </c>
      <c r="B9" s="448" t="s">
        <v>1512</v>
      </c>
      <c r="C9" s="450" t="s">
        <v>1513</v>
      </c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  <c r="O9" s="451"/>
      <c r="P9" s="451"/>
      <c r="Q9" s="451"/>
      <c r="R9" s="451"/>
      <c r="S9" s="451"/>
      <c r="T9" s="451"/>
      <c r="U9" s="451"/>
      <c r="V9" s="451"/>
      <c r="W9" s="451"/>
      <c r="X9" s="451"/>
    </row>
    <row r="10" ht="19.5" customHeight="1">
      <c r="A10" s="18">
        <f t="shared" si="1"/>
        <v>8</v>
      </c>
      <c r="B10" s="448" t="s">
        <v>1514</v>
      </c>
      <c r="C10" s="450" t="s">
        <v>328</v>
      </c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  <c r="V10" s="451"/>
      <c r="W10" s="451"/>
      <c r="X10" s="451"/>
    </row>
    <row r="11" ht="19.5" customHeight="1">
      <c r="A11" s="18">
        <f t="shared" si="1"/>
        <v>9</v>
      </c>
      <c r="B11" s="448" t="s">
        <v>1515</v>
      </c>
      <c r="C11" s="450" t="s">
        <v>1516</v>
      </c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</row>
    <row r="12" ht="19.5" customHeight="1">
      <c r="A12" s="18">
        <f t="shared" si="1"/>
        <v>10</v>
      </c>
      <c r="B12" s="448" t="s">
        <v>1517</v>
      </c>
      <c r="C12" s="450" t="s">
        <v>1518</v>
      </c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</row>
    <row r="13" ht="19.5" customHeight="1">
      <c r="A13" s="18">
        <f t="shared" si="1"/>
        <v>11</v>
      </c>
      <c r="B13" s="448" t="s">
        <v>1519</v>
      </c>
      <c r="C13" s="450" t="s">
        <v>773</v>
      </c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1"/>
      <c r="X13" s="451"/>
    </row>
    <row r="14" ht="19.5" customHeight="1">
      <c r="A14" s="18">
        <f t="shared" si="1"/>
        <v>12</v>
      </c>
      <c r="B14" s="448" t="s">
        <v>1520</v>
      </c>
      <c r="C14" s="450" t="s">
        <v>385</v>
      </c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1"/>
      <c r="W14" s="451"/>
      <c r="X14" s="451"/>
    </row>
    <row r="15" ht="19.5" customHeight="1">
      <c r="A15" s="18">
        <f t="shared" si="1"/>
        <v>13</v>
      </c>
      <c r="B15" s="448" t="s">
        <v>1521</v>
      </c>
      <c r="C15" s="450" t="s">
        <v>498</v>
      </c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  <c r="O15" s="451"/>
      <c r="P15" s="451"/>
      <c r="Q15" s="451"/>
      <c r="R15" s="451"/>
      <c r="S15" s="451"/>
      <c r="T15" s="451"/>
      <c r="U15" s="451"/>
      <c r="V15" s="451"/>
      <c r="W15" s="451"/>
      <c r="X15" s="451"/>
    </row>
    <row r="16" ht="19.5" customHeight="1">
      <c r="A16" s="18">
        <f t="shared" si="1"/>
        <v>14</v>
      </c>
      <c r="B16" s="448" t="s">
        <v>1522</v>
      </c>
      <c r="C16" s="450" t="s">
        <v>1523</v>
      </c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</row>
    <row r="17" ht="19.5" customHeight="1">
      <c r="A17" s="18">
        <f t="shared" si="1"/>
        <v>15</v>
      </c>
      <c r="B17" s="448" t="s">
        <v>1524</v>
      </c>
      <c r="C17" s="450" t="s">
        <v>1525</v>
      </c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  <c r="O17" s="451"/>
      <c r="P17" s="451"/>
      <c r="Q17" s="451"/>
      <c r="R17" s="451"/>
      <c r="S17" s="451"/>
      <c r="T17" s="451"/>
      <c r="U17" s="451"/>
      <c r="V17" s="451"/>
      <c r="W17" s="451"/>
      <c r="X17" s="451"/>
    </row>
    <row r="18" ht="19.5" customHeight="1">
      <c r="A18" s="18">
        <f t="shared" si="1"/>
        <v>16</v>
      </c>
      <c r="B18" s="448" t="s">
        <v>1526</v>
      </c>
      <c r="C18" s="450" t="s">
        <v>1527</v>
      </c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  <c r="O18" s="451"/>
      <c r="P18" s="451"/>
      <c r="Q18" s="451"/>
      <c r="R18" s="451"/>
      <c r="S18" s="451"/>
      <c r="T18" s="451"/>
      <c r="U18" s="451"/>
      <c r="V18" s="451"/>
      <c r="W18" s="451"/>
      <c r="X18" s="451"/>
    </row>
    <row r="19" ht="19.5" customHeight="1">
      <c r="A19" s="18">
        <f t="shared" si="1"/>
        <v>17</v>
      </c>
      <c r="B19" s="448" t="s">
        <v>1528</v>
      </c>
      <c r="C19" s="450" t="s">
        <v>212</v>
      </c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1"/>
      <c r="X19" s="451"/>
    </row>
    <row r="20" ht="19.5" customHeight="1">
      <c r="A20" s="18">
        <f t="shared" si="1"/>
        <v>18</v>
      </c>
      <c r="B20" s="448" t="s">
        <v>1529</v>
      </c>
      <c r="C20" s="450" t="s">
        <v>191</v>
      </c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  <c r="O20" s="451"/>
      <c r="P20" s="451"/>
      <c r="Q20" s="451"/>
      <c r="R20" s="451"/>
      <c r="S20" s="451"/>
      <c r="T20" s="451"/>
      <c r="U20" s="451"/>
      <c r="V20" s="451"/>
      <c r="W20" s="451"/>
      <c r="X20" s="451"/>
    </row>
    <row r="21" ht="19.5" customHeight="1">
      <c r="A21" s="18">
        <f t="shared" si="1"/>
        <v>19</v>
      </c>
      <c r="B21" s="448" t="s">
        <v>1530</v>
      </c>
      <c r="C21" s="450" t="s">
        <v>130</v>
      </c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  <c r="O21" s="451"/>
      <c r="P21" s="451"/>
      <c r="Q21" s="451"/>
      <c r="R21" s="451"/>
      <c r="S21" s="451"/>
      <c r="T21" s="451"/>
      <c r="U21" s="451"/>
      <c r="V21" s="451"/>
      <c r="W21" s="451"/>
      <c r="X21" s="451"/>
    </row>
    <row r="22" ht="19.5" customHeight="1">
      <c r="A22" s="18">
        <f t="shared" si="1"/>
        <v>20</v>
      </c>
      <c r="B22" s="448" t="s">
        <v>1531</v>
      </c>
      <c r="C22" s="450" t="s">
        <v>227</v>
      </c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</row>
    <row r="23" ht="19.5" customHeight="1">
      <c r="A23" s="18">
        <f t="shared" si="1"/>
        <v>21</v>
      </c>
      <c r="B23" s="448" t="s">
        <v>1532</v>
      </c>
      <c r="C23" s="450" t="s">
        <v>241</v>
      </c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  <c r="O23" s="451"/>
      <c r="P23" s="451"/>
      <c r="Q23" s="451"/>
      <c r="R23" s="451"/>
      <c r="S23" s="451"/>
      <c r="T23" s="451"/>
      <c r="U23" s="451"/>
      <c r="V23" s="451"/>
      <c r="W23" s="451"/>
      <c r="X23" s="451"/>
    </row>
    <row r="24" ht="19.5" customHeight="1">
      <c r="A24" s="18">
        <f t="shared" si="1"/>
        <v>22</v>
      </c>
      <c r="B24" s="448" t="s">
        <v>1533</v>
      </c>
      <c r="C24" s="450" t="s">
        <v>264</v>
      </c>
      <c r="D24" s="451"/>
      <c r="E24" s="451"/>
      <c r="F24" s="451"/>
      <c r="G24" s="451"/>
      <c r="H24" s="451"/>
      <c r="I24" s="451"/>
      <c r="J24" s="451"/>
      <c r="K24" s="451"/>
      <c r="L24" s="451"/>
      <c r="M24" s="451"/>
      <c r="N24" s="451"/>
      <c r="O24" s="451"/>
      <c r="P24" s="451"/>
      <c r="Q24" s="451"/>
      <c r="R24" s="451"/>
      <c r="S24" s="451"/>
      <c r="T24" s="451"/>
      <c r="U24" s="451"/>
      <c r="V24" s="451"/>
      <c r="W24" s="451"/>
      <c r="X24" s="451"/>
    </row>
    <row r="25" ht="19.5" customHeight="1">
      <c r="A25" s="18">
        <f t="shared" si="1"/>
        <v>23</v>
      </c>
      <c r="B25" s="448" t="s">
        <v>1534</v>
      </c>
      <c r="C25" s="450" t="s">
        <v>439</v>
      </c>
      <c r="D25" s="451"/>
      <c r="E25" s="451"/>
      <c r="F25" s="451"/>
      <c r="G25" s="451"/>
      <c r="H25" s="451"/>
      <c r="I25" s="451"/>
      <c r="J25" s="451"/>
      <c r="K25" s="451"/>
      <c r="L25" s="451"/>
      <c r="M25" s="451"/>
      <c r="N25" s="451"/>
      <c r="O25" s="451"/>
      <c r="P25" s="451"/>
      <c r="Q25" s="451"/>
      <c r="R25" s="451"/>
      <c r="S25" s="451"/>
      <c r="T25" s="451"/>
      <c r="U25" s="451"/>
      <c r="V25" s="451"/>
      <c r="W25" s="451"/>
      <c r="X25" s="451"/>
    </row>
    <row r="26" ht="19.5" customHeight="1">
      <c r="A26" s="18">
        <f t="shared" si="1"/>
        <v>24</v>
      </c>
      <c r="B26" s="448" t="s">
        <v>1535</v>
      </c>
      <c r="C26" s="450" t="s">
        <v>138</v>
      </c>
      <c r="D26" s="451"/>
      <c r="E26" s="451"/>
      <c r="F26" s="451"/>
      <c r="G26" s="451"/>
      <c r="H26" s="451"/>
      <c r="I26" s="451"/>
      <c r="J26" s="451"/>
      <c r="K26" s="451"/>
      <c r="L26" s="451"/>
      <c r="M26" s="451"/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/>
    </row>
    <row r="27" ht="19.5" customHeight="1">
      <c r="A27" s="18">
        <f t="shared" si="1"/>
        <v>25</v>
      </c>
      <c r="B27" s="448" t="s">
        <v>1536</v>
      </c>
      <c r="C27" s="450" t="s">
        <v>1537</v>
      </c>
      <c r="D27" s="451"/>
      <c r="E27" s="451"/>
      <c r="F27" s="451"/>
      <c r="G27" s="451"/>
      <c r="H27" s="451"/>
      <c r="I27" s="451"/>
      <c r="J27" s="451"/>
      <c r="K27" s="451"/>
      <c r="L27" s="451"/>
      <c r="M27" s="451"/>
      <c r="N27" s="451"/>
      <c r="O27" s="451"/>
      <c r="P27" s="451"/>
      <c r="Q27" s="451"/>
      <c r="R27" s="451"/>
      <c r="S27" s="451"/>
      <c r="T27" s="451"/>
      <c r="U27" s="451"/>
      <c r="V27" s="451"/>
      <c r="W27" s="451"/>
      <c r="X27" s="451"/>
    </row>
    <row r="28" ht="19.5" customHeight="1">
      <c r="A28" s="18">
        <f t="shared" si="1"/>
        <v>26</v>
      </c>
      <c r="B28" s="448" t="s">
        <v>1538</v>
      </c>
      <c r="C28" s="450" t="s">
        <v>1539</v>
      </c>
      <c r="D28" s="451"/>
      <c r="E28" s="451"/>
      <c r="F28" s="451"/>
      <c r="G28" s="451"/>
      <c r="H28" s="451"/>
      <c r="I28" s="451"/>
      <c r="J28" s="451"/>
      <c r="K28" s="451"/>
      <c r="L28" s="451"/>
      <c r="M28" s="451"/>
      <c r="N28" s="451"/>
      <c r="O28" s="451"/>
      <c r="P28" s="451"/>
      <c r="Q28" s="451"/>
      <c r="R28" s="451"/>
      <c r="S28" s="451"/>
      <c r="T28" s="451"/>
      <c r="U28" s="451"/>
      <c r="V28" s="451"/>
      <c r="W28" s="451"/>
      <c r="X28" s="451"/>
    </row>
    <row r="29" ht="19.5" customHeight="1">
      <c r="A29" s="18">
        <f t="shared" si="1"/>
        <v>27</v>
      </c>
      <c r="B29" s="448" t="s">
        <v>1540</v>
      </c>
      <c r="C29" s="450" t="s">
        <v>597</v>
      </c>
      <c r="D29" s="451"/>
      <c r="E29" s="451"/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</row>
    <row r="30" ht="19.5" customHeight="1">
      <c r="A30" s="18">
        <f t="shared" si="1"/>
        <v>28</v>
      </c>
      <c r="B30" s="448" t="s">
        <v>1541</v>
      </c>
      <c r="C30" s="450" t="s">
        <v>283</v>
      </c>
      <c r="D30" s="451"/>
      <c r="E30" s="451"/>
      <c r="F30" s="451"/>
      <c r="G30" s="451"/>
      <c r="H30" s="451"/>
      <c r="I30" s="451"/>
      <c r="J30" s="451"/>
      <c r="K30" s="451"/>
      <c r="L30" s="451"/>
      <c r="M30" s="451"/>
      <c r="N30" s="451"/>
      <c r="O30" s="451"/>
      <c r="P30" s="451"/>
      <c r="Q30" s="451"/>
      <c r="R30" s="451"/>
      <c r="S30" s="451"/>
      <c r="T30" s="451"/>
      <c r="U30" s="451"/>
      <c r="V30" s="451"/>
      <c r="W30" s="451"/>
      <c r="X30" s="451"/>
    </row>
    <row r="31" ht="19.5" customHeight="1">
      <c r="A31" s="18">
        <f t="shared" si="1"/>
        <v>29</v>
      </c>
      <c r="B31" s="448" t="s">
        <v>1542</v>
      </c>
      <c r="C31" s="450" t="s">
        <v>1543</v>
      </c>
      <c r="D31" s="451"/>
      <c r="E31" s="451"/>
      <c r="F31" s="451"/>
      <c r="G31" s="451"/>
      <c r="H31" s="451"/>
      <c r="I31" s="451"/>
      <c r="J31" s="451"/>
      <c r="K31" s="451"/>
      <c r="L31" s="451"/>
      <c r="M31" s="451"/>
      <c r="N31" s="451"/>
      <c r="O31" s="451"/>
      <c r="P31" s="451"/>
      <c r="Q31" s="451"/>
      <c r="R31" s="451"/>
      <c r="S31" s="451"/>
      <c r="T31" s="451"/>
      <c r="U31" s="451"/>
      <c r="V31" s="451"/>
      <c r="W31" s="451"/>
      <c r="X31" s="451"/>
    </row>
    <row r="32" ht="19.5" customHeight="1">
      <c r="A32" s="18" t="str">
        <f t="shared" si="1"/>
        <v/>
      </c>
      <c r="B32" s="448"/>
      <c r="C32" s="461"/>
      <c r="D32" s="451"/>
      <c r="E32" s="451"/>
      <c r="F32" s="451"/>
      <c r="G32" s="451"/>
      <c r="H32" s="451"/>
      <c r="I32" s="451"/>
      <c r="J32" s="451"/>
      <c r="K32" s="451"/>
      <c r="L32" s="451"/>
      <c r="M32" s="451"/>
      <c r="N32" s="451"/>
      <c r="O32" s="451"/>
      <c r="P32" s="451"/>
      <c r="Q32" s="451"/>
      <c r="R32" s="451"/>
      <c r="S32" s="451"/>
      <c r="T32" s="451"/>
      <c r="U32" s="451"/>
      <c r="V32" s="451"/>
      <c r="W32" s="451"/>
      <c r="X32" s="451"/>
    </row>
    <row r="33" ht="19.5" customHeight="1">
      <c r="A33" s="18" t="str">
        <f t="shared" si="1"/>
        <v/>
      </c>
      <c r="B33" s="448"/>
      <c r="C33" s="461"/>
      <c r="D33" s="451"/>
      <c r="E33" s="451"/>
      <c r="F33" s="451"/>
      <c r="G33" s="451"/>
      <c r="H33" s="451"/>
      <c r="I33" s="451"/>
      <c r="J33" s="451"/>
      <c r="K33" s="451"/>
      <c r="L33" s="451"/>
      <c r="M33" s="451"/>
      <c r="N33" s="451"/>
      <c r="O33" s="451"/>
      <c r="P33" s="451"/>
      <c r="Q33" s="451"/>
      <c r="R33" s="451"/>
      <c r="S33" s="451"/>
      <c r="T33" s="451"/>
      <c r="U33" s="451"/>
      <c r="V33" s="451"/>
      <c r="W33" s="451"/>
      <c r="X33" s="451"/>
    </row>
    <row r="34" ht="19.5" customHeight="1">
      <c r="A34" s="18" t="str">
        <f t="shared" si="1"/>
        <v/>
      </c>
      <c r="B34" s="448"/>
      <c r="C34" s="461"/>
      <c r="D34" s="451"/>
      <c r="E34" s="451"/>
      <c r="F34" s="451"/>
      <c r="G34" s="451"/>
      <c r="H34" s="451"/>
      <c r="I34" s="451"/>
      <c r="J34" s="451"/>
      <c r="K34" s="451"/>
      <c r="L34" s="451"/>
      <c r="M34" s="451"/>
      <c r="N34" s="451"/>
      <c r="O34" s="451"/>
      <c r="P34" s="451"/>
      <c r="Q34" s="451"/>
      <c r="R34" s="451"/>
      <c r="S34" s="451"/>
      <c r="T34" s="451"/>
      <c r="U34" s="451"/>
      <c r="V34" s="451"/>
      <c r="W34" s="451"/>
      <c r="X34" s="451"/>
    </row>
    <row r="35" ht="19.5" customHeight="1">
      <c r="A35" s="18" t="str">
        <f t="shared" si="1"/>
        <v/>
      </c>
      <c r="B35" s="448"/>
      <c r="C35" s="448"/>
      <c r="D35" s="451"/>
      <c r="E35" s="451"/>
      <c r="F35" s="451"/>
      <c r="G35" s="451"/>
      <c r="H35" s="451"/>
      <c r="I35" s="451"/>
      <c r="J35" s="451"/>
      <c r="K35" s="451"/>
      <c r="L35" s="451"/>
      <c r="M35" s="451"/>
      <c r="N35" s="451"/>
      <c r="O35" s="451"/>
      <c r="P35" s="451"/>
      <c r="Q35" s="451"/>
      <c r="R35" s="451"/>
      <c r="S35" s="451"/>
      <c r="T35" s="451"/>
      <c r="U35" s="451"/>
      <c r="V35" s="451"/>
      <c r="W35" s="451"/>
      <c r="X35" s="451"/>
    </row>
    <row r="36" ht="19.5" customHeight="1">
      <c r="A36" s="18" t="str">
        <f t="shared" si="1"/>
        <v/>
      </c>
      <c r="B36" s="448"/>
      <c r="C36" s="448"/>
      <c r="D36" s="451"/>
      <c r="E36" s="451"/>
      <c r="F36" s="451"/>
      <c r="G36" s="451"/>
      <c r="H36" s="451"/>
      <c r="I36" s="451"/>
      <c r="J36" s="451"/>
      <c r="K36" s="451"/>
      <c r="L36" s="451"/>
      <c r="M36" s="451"/>
      <c r="N36" s="451"/>
      <c r="O36" s="451"/>
      <c r="P36" s="451"/>
      <c r="Q36" s="451"/>
      <c r="R36" s="451"/>
      <c r="S36" s="451"/>
      <c r="T36" s="451"/>
      <c r="U36" s="451"/>
      <c r="V36" s="451"/>
      <c r="W36" s="451"/>
      <c r="X36" s="451"/>
    </row>
    <row r="37" ht="19.5" customHeight="1">
      <c r="A37" s="18" t="str">
        <f t="shared" si="1"/>
        <v/>
      </c>
      <c r="B37" s="448"/>
      <c r="C37" s="448"/>
      <c r="D37" s="451"/>
      <c r="E37" s="451"/>
      <c r="F37" s="451"/>
      <c r="G37" s="451"/>
      <c r="H37" s="451"/>
      <c r="I37" s="451"/>
      <c r="J37" s="451"/>
      <c r="K37" s="451"/>
      <c r="L37" s="451"/>
      <c r="M37" s="451"/>
      <c r="N37" s="451"/>
      <c r="O37" s="451"/>
      <c r="P37" s="451"/>
      <c r="Q37" s="451"/>
      <c r="R37" s="451"/>
      <c r="S37" s="451"/>
      <c r="T37" s="451"/>
      <c r="U37" s="451"/>
      <c r="V37" s="451"/>
      <c r="W37" s="451"/>
      <c r="X37" s="451"/>
    </row>
    <row r="38" ht="19.5" customHeight="1">
      <c r="A38" s="18" t="str">
        <f t="shared" si="1"/>
        <v/>
      </c>
      <c r="B38" s="448"/>
      <c r="C38" s="448"/>
      <c r="D38" s="451"/>
      <c r="E38" s="451"/>
      <c r="F38" s="451"/>
      <c r="G38" s="451"/>
      <c r="H38" s="451"/>
      <c r="I38" s="451"/>
      <c r="J38" s="451"/>
      <c r="K38" s="451"/>
      <c r="L38" s="451"/>
      <c r="M38" s="451"/>
      <c r="N38" s="451"/>
      <c r="O38" s="451"/>
      <c r="P38" s="451"/>
      <c r="Q38" s="451"/>
      <c r="R38" s="451"/>
      <c r="S38" s="451"/>
      <c r="T38" s="451"/>
      <c r="U38" s="451"/>
      <c r="V38" s="451"/>
      <c r="W38" s="451"/>
      <c r="X38" s="451"/>
    </row>
    <row r="39" ht="19.5" customHeight="1">
      <c r="A39" s="18" t="str">
        <f t="shared" si="1"/>
        <v/>
      </c>
      <c r="B39" s="448"/>
      <c r="C39" s="448"/>
      <c r="D39" s="451"/>
      <c r="E39" s="451"/>
      <c r="F39" s="451"/>
      <c r="G39" s="451"/>
      <c r="H39" s="451"/>
      <c r="I39" s="451"/>
      <c r="J39" s="451"/>
      <c r="K39" s="451"/>
      <c r="L39" s="451"/>
      <c r="M39" s="451"/>
      <c r="N39" s="451"/>
      <c r="O39" s="451"/>
      <c r="P39" s="451"/>
      <c r="Q39" s="451"/>
      <c r="R39" s="451"/>
      <c r="S39" s="451"/>
      <c r="T39" s="451"/>
      <c r="U39" s="451"/>
      <c r="V39" s="451"/>
      <c r="W39" s="451"/>
      <c r="X39" s="451"/>
    </row>
    <row r="40" ht="19.5" customHeight="1">
      <c r="A40" s="18" t="str">
        <f t="shared" si="1"/>
        <v/>
      </c>
      <c r="B40" s="448"/>
      <c r="C40" s="448"/>
      <c r="D40" s="451"/>
      <c r="E40" s="451"/>
      <c r="F40" s="451"/>
      <c r="G40" s="451"/>
      <c r="H40" s="451"/>
      <c r="I40" s="451"/>
      <c r="J40" s="451"/>
      <c r="K40" s="451"/>
      <c r="L40" s="451"/>
      <c r="M40" s="451"/>
      <c r="N40" s="451"/>
      <c r="O40" s="451"/>
      <c r="P40" s="451"/>
      <c r="Q40" s="451"/>
      <c r="R40" s="451"/>
      <c r="S40" s="451"/>
      <c r="T40" s="451"/>
      <c r="U40" s="451"/>
      <c r="V40" s="451"/>
      <c r="W40" s="451"/>
      <c r="X40" s="451"/>
    </row>
    <row r="41" ht="19.5" customHeight="1">
      <c r="A41" s="442"/>
      <c r="B41" s="442"/>
      <c r="C41" s="442"/>
      <c r="D41" s="442"/>
      <c r="E41" s="442"/>
      <c r="F41" s="442"/>
      <c r="G41" s="442"/>
      <c r="H41" s="442"/>
      <c r="I41" s="442"/>
      <c r="J41" s="442"/>
      <c r="K41" s="442"/>
      <c r="L41" s="442"/>
      <c r="M41" s="442"/>
      <c r="N41" s="442"/>
      <c r="O41" s="442"/>
      <c r="P41" s="442"/>
      <c r="Q41" s="442"/>
      <c r="R41" s="442"/>
      <c r="S41" s="442"/>
      <c r="T41" s="442"/>
      <c r="U41" s="442"/>
      <c r="V41" s="442"/>
      <c r="W41" s="442"/>
      <c r="X41" s="442"/>
    </row>
    <row r="42" ht="19.5" customHeight="1">
      <c r="A42" s="442"/>
      <c r="B42" s="442"/>
      <c r="C42" s="442"/>
      <c r="D42" s="442"/>
      <c r="E42" s="442"/>
      <c r="F42" s="442"/>
      <c r="G42" s="442"/>
      <c r="H42" s="442"/>
      <c r="I42" s="442"/>
      <c r="J42" s="442"/>
      <c r="K42" s="442"/>
      <c r="L42" s="442"/>
      <c r="M42" s="442"/>
      <c r="N42" s="442"/>
      <c r="O42" s="442"/>
      <c r="P42" s="442"/>
      <c r="Q42" s="442"/>
      <c r="R42" s="442"/>
      <c r="S42" s="442"/>
      <c r="T42" s="442"/>
      <c r="U42" s="442"/>
      <c r="V42" s="442"/>
      <c r="W42" s="442"/>
      <c r="X42" s="442"/>
    </row>
    <row r="43" ht="19.5" customHeight="1">
      <c r="A43" s="442"/>
      <c r="B43" s="442"/>
      <c r="C43" s="442"/>
      <c r="D43" s="442"/>
      <c r="E43" s="442"/>
      <c r="F43" s="442"/>
      <c r="G43" s="442"/>
      <c r="H43" s="442"/>
      <c r="I43" s="442"/>
      <c r="J43" s="442"/>
      <c r="K43" s="442"/>
      <c r="L43" s="442"/>
      <c r="M43" s="442"/>
      <c r="N43" s="442"/>
      <c r="O43" s="442"/>
      <c r="P43" s="442"/>
      <c r="Q43" s="442"/>
      <c r="R43" s="442"/>
      <c r="S43" s="442"/>
      <c r="T43" s="442"/>
      <c r="U43" s="442"/>
      <c r="V43" s="442"/>
      <c r="W43" s="442"/>
      <c r="X43" s="442"/>
    </row>
    <row r="44" ht="19.5" customHeight="1">
      <c r="A44" s="442"/>
      <c r="B44" s="442"/>
      <c r="C44" s="442"/>
      <c r="D44" s="442"/>
      <c r="E44" s="442"/>
      <c r="F44" s="442"/>
      <c r="G44" s="442"/>
      <c r="H44" s="442"/>
      <c r="I44" s="442"/>
      <c r="J44" s="442"/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442"/>
    </row>
    <row r="45" ht="19.5" customHeight="1">
      <c r="A45" s="442"/>
      <c r="B45" s="442"/>
      <c r="C45" s="442"/>
      <c r="D45" s="442"/>
      <c r="E45" s="442"/>
      <c r="F45" s="442"/>
      <c r="G45" s="442"/>
      <c r="H45" s="442"/>
      <c r="I45" s="442"/>
      <c r="J45" s="442"/>
      <c r="K45" s="442"/>
      <c r="L45" s="442"/>
      <c r="M45" s="442"/>
      <c r="N45" s="442"/>
      <c r="O45" s="442"/>
      <c r="P45" s="442"/>
      <c r="Q45" s="442"/>
      <c r="R45" s="442"/>
      <c r="S45" s="442"/>
      <c r="T45" s="442"/>
      <c r="U45" s="442"/>
      <c r="V45" s="442"/>
      <c r="W45" s="442"/>
      <c r="X45" s="442"/>
    </row>
    <row r="46" ht="19.5" customHeight="1">
      <c r="A46" s="442"/>
      <c r="B46" s="442"/>
      <c r="C46" s="442"/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</row>
    <row r="47" ht="19.5" customHeight="1">
      <c r="A47" s="442"/>
      <c r="B47" s="442"/>
      <c r="C47" s="442"/>
      <c r="D47" s="442"/>
      <c r="E47" s="442"/>
      <c r="F47" s="442"/>
      <c r="G47" s="442"/>
      <c r="H47" s="442"/>
      <c r="I47" s="442"/>
      <c r="J47" s="442"/>
      <c r="K47" s="442"/>
      <c r="L47" s="442"/>
      <c r="M47" s="442"/>
      <c r="N47" s="442"/>
      <c r="O47" s="442"/>
      <c r="P47" s="442"/>
      <c r="Q47" s="442"/>
      <c r="R47" s="442"/>
      <c r="S47" s="442"/>
      <c r="T47" s="442"/>
      <c r="U47" s="442"/>
      <c r="V47" s="442"/>
      <c r="W47" s="442"/>
      <c r="X47" s="442"/>
    </row>
    <row r="48" ht="19.5" customHeight="1">
      <c r="A48" s="442"/>
      <c r="B48" s="442"/>
      <c r="C48" s="442"/>
      <c r="D48" s="442"/>
      <c r="E48" s="442"/>
      <c r="F48" s="442"/>
      <c r="G48" s="442"/>
      <c r="H48" s="442"/>
      <c r="I48" s="442"/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42"/>
      <c r="U48" s="442"/>
      <c r="V48" s="442"/>
      <c r="W48" s="442"/>
      <c r="X48" s="442"/>
    </row>
    <row r="49" ht="19.5" customHeight="1">
      <c r="A49" s="442"/>
      <c r="B49" s="442"/>
      <c r="C49" s="442"/>
      <c r="D49" s="442"/>
      <c r="E49" s="442"/>
      <c r="F49" s="442"/>
      <c r="G49" s="442"/>
      <c r="H49" s="442"/>
      <c r="I49" s="442"/>
      <c r="J49" s="442"/>
      <c r="K49" s="442"/>
      <c r="L49" s="442"/>
      <c r="M49" s="442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442"/>
    </row>
    <row r="50" ht="19.5" customHeight="1">
      <c r="A50" s="442"/>
      <c r="B50" s="442"/>
      <c r="C50" s="442"/>
      <c r="D50" s="442"/>
      <c r="E50" s="442"/>
      <c r="F50" s="442"/>
      <c r="G50" s="442"/>
      <c r="H50" s="442"/>
      <c r="I50" s="442"/>
      <c r="J50" s="442"/>
      <c r="K50" s="442"/>
      <c r="L50" s="442"/>
      <c r="M50" s="442"/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442"/>
    </row>
    <row r="51" ht="19.5" customHeight="1">
      <c r="A51" s="442"/>
      <c r="B51" s="442"/>
      <c r="C51" s="442"/>
      <c r="D51" s="442"/>
      <c r="E51" s="442"/>
      <c r="F51" s="442"/>
      <c r="G51" s="442"/>
      <c r="H51" s="442"/>
      <c r="I51" s="442"/>
      <c r="J51" s="442"/>
      <c r="K51" s="442"/>
      <c r="L51" s="442"/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442"/>
    </row>
    <row r="52" ht="19.5" customHeight="1">
      <c r="A52" s="442"/>
      <c r="B52" s="442"/>
      <c r="C52" s="442"/>
      <c r="D52" s="442"/>
      <c r="E52" s="442"/>
      <c r="F52" s="442"/>
      <c r="G52" s="442"/>
      <c r="H52" s="442"/>
      <c r="I52" s="442"/>
      <c r="J52" s="442"/>
      <c r="K52" s="442"/>
      <c r="L52" s="442"/>
      <c r="M52" s="442"/>
      <c r="N52" s="442"/>
      <c r="O52" s="442"/>
      <c r="P52" s="442"/>
      <c r="Q52" s="442"/>
      <c r="R52" s="442"/>
      <c r="S52" s="442"/>
      <c r="T52" s="442"/>
      <c r="U52" s="442"/>
      <c r="V52" s="442"/>
      <c r="W52" s="442"/>
      <c r="X52" s="442"/>
    </row>
    <row r="53" ht="19.5" customHeight="1">
      <c r="A53" s="442"/>
      <c r="B53" s="442"/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42"/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442"/>
    </row>
    <row r="54" ht="19.5" customHeight="1">
      <c r="A54" s="442"/>
      <c r="B54" s="442"/>
      <c r="C54" s="442"/>
      <c r="D54" s="442"/>
      <c r="E54" s="442"/>
      <c r="F54" s="442"/>
      <c r="G54" s="442"/>
      <c r="H54" s="442"/>
      <c r="I54" s="442"/>
      <c r="J54" s="442"/>
      <c r="K54" s="442"/>
      <c r="L54" s="442"/>
      <c r="M54" s="442"/>
      <c r="N54" s="442"/>
      <c r="O54" s="442"/>
      <c r="P54" s="442"/>
      <c r="Q54" s="442"/>
      <c r="R54" s="442"/>
      <c r="S54" s="442"/>
      <c r="T54" s="442"/>
      <c r="U54" s="442"/>
      <c r="V54" s="442"/>
      <c r="W54" s="442"/>
      <c r="X54" s="442"/>
    </row>
    <row r="55" ht="19.5" customHeight="1">
      <c r="A55" s="442"/>
      <c r="B55" s="442"/>
      <c r="C55" s="442"/>
      <c r="D55" s="442"/>
      <c r="E55" s="442"/>
      <c r="F55" s="442"/>
      <c r="G55" s="442"/>
      <c r="H55" s="442"/>
      <c r="I55" s="442"/>
      <c r="J55" s="442"/>
      <c r="K55" s="442"/>
      <c r="L55" s="442"/>
      <c r="M55" s="442"/>
      <c r="N55" s="442"/>
      <c r="O55" s="442"/>
      <c r="P55" s="442"/>
      <c r="Q55" s="442"/>
      <c r="R55" s="442"/>
      <c r="S55" s="442"/>
      <c r="T55" s="442"/>
      <c r="U55" s="442"/>
      <c r="V55" s="442"/>
      <c r="W55" s="442"/>
      <c r="X55" s="442"/>
    </row>
    <row r="56" ht="19.5" customHeight="1">
      <c r="A56" s="442"/>
      <c r="B56" s="442"/>
      <c r="C56" s="442"/>
      <c r="D56" s="442"/>
      <c r="E56" s="442"/>
      <c r="F56" s="442"/>
      <c r="G56" s="442"/>
      <c r="H56" s="442"/>
      <c r="I56" s="442"/>
      <c r="J56" s="442"/>
      <c r="K56" s="442"/>
      <c r="L56" s="442"/>
      <c r="M56" s="442"/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</row>
    <row r="57" ht="19.5" customHeight="1">
      <c r="A57" s="442"/>
      <c r="B57" s="442"/>
      <c r="C57" s="442"/>
      <c r="D57" s="442"/>
      <c r="E57" s="442"/>
      <c r="F57" s="442"/>
      <c r="G57" s="442"/>
      <c r="H57" s="442"/>
      <c r="I57" s="442"/>
      <c r="J57" s="442"/>
      <c r="K57" s="442"/>
      <c r="L57" s="442"/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</row>
    <row r="58" ht="19.5" customHeight="1">
      <c r="A58" s="442"/>
      <c r="B58" s="442"/>
      <c r="C58" s="442"/>
      <c r="D58" s="442"/>
      <c r="E58" s="442"/>
      <c r="F58" s="442"/>
      <c r="G58" s="442"/>
      <c r="H58" s="442"/>
      <c r="I58" s="442"/>
      <c r="J58" s="442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</row>
    <row r="59" ht="19.5" customHeight="1">
      <c r="A59" s="442"/>
      <c r="B59" s="442"/>
      <c r="C59" s="442"/>
      <c r="D59" s="442"/>
      <c r="E59" s="442"/>
      <c r="F59" s="442"/>
      <c r="G59" s="442"/>
      <c r="H59" s="442"/>
      <c r="I59" s="442"/>
      <c r="J59" s="442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</row>
    <row r="60" ht="19.5" customHeight="1">
      <c r="A60" s="442"/>
      <c r="B60" s="442"/>
      <c r="C60" s="442"/>
      <c r="D60" s="442"/>
      <c r="E60" s="442"/>
      <c r="F60" s="442"/>
      <c r="G60" s="442"/>
      <c r="H60" s="442"/>
      <c r="I60" s="442"/>
      <c r="J60" s="442"/>
      <c r="K60" s="442"/>
      <c r="L60" s="442"/>
      <c r="M60" s="442"/>
      <c r="N60" s="442"/>
      <c r="O60" s="442"/>
      <c r="P60" s="442"/>
      <c r="Q60" s="442"/>
      <c r="R60" s="442"/>
      <c r="S60" s="442"/>
      <c r="T60" s="442"/>
      <c r="U60" s="442"/>
      <c r="V60" s="442"/>
      <c r="W60" s="442"/>
      <c r="X60" s="442"/>
    </row>
    <row r="61" ht="19.5" customHeight="1">
      <c r="A61" s="442"/>
      <c r="B61" s="442"/>
      <c r="C61" s="442"/>
      <c r="D61" s="442"/>
      <c r="E61" s="442"/>
      <c r="F61" s="442"/>
      <c r="G61" s="442"/>
      <c r="H61" s="442"/>
      <c r="I61" s="442"/>
      <c r="J61" s="442"/>
      <c r="K61" s="442"/>
      <c r="L61" s="442"/>
      <c r="M61" s="442"/>
      <c r="N61" s="442"/>
      <c r="O61" s="442"/>
      <c r="P61" s="442"/>
      <c r="Q61" s="442"/>
      <c r="R61" s="442"/>
      <c r="S61" s="442"/>
      <c r="T61" s="442"/>
      <c r="U61" s="442"/>
      <c r="V61" s="442"/>
      <c r="W61" s="442"/>
      <c r="X61" s="442"/>
    </row>
    <row r="62" ht="19.5" customHeight="1">
      <c r="A62" s="442"/>
      <c r="B62" s="442"/>
      <c r="C62" s="442"/>
      <c r="D62" s="442"/>
      <c r="E62" s="442"/>
      <c r="F62" s="442"/>
      <c r="G62" s="442"/>
      <c r="H62" s="442"/>
      <c r="I62" s="442"/>
      <c r="J62" s="442"/>
      <c r="K62" s="442"/>
      <c r="L62" s="442"/>
      <c r="M62" s="442"/>
      <c r="N62" s="442"/>
      <c r="O62" s="442"/>
      <c r="P62" s="442"/>
      <c r="Q62" s="442"/>
      <c r="R62" s="442"/>
      <c r="S62" s="442"/>
      <c r="T62" s="442"/>
      <c r="U62" s="442"/>
      <c r="V62" s="442"/>
      <c r="W62" s="442"/>
      <c r="X62" s="442"/>
    </row>
    <row r="63" ht="19.5" customHeight="1">
      <c r="A63" s="442"/>
      <c r="B63" s="442"/>
      <c r="C63" s="442"/>
      <c r="D63" s="442"/>
      <c r="E63" s="442"/>
      <c r="F63" s="442"/>
      <c r="G63" s="442"/>
      <c r="H63" s="442"/>
      <c r="I63" s="442"/>
      <c r="J63" s="442"/>
      <c r="K63" s="442"/>
      <c r="L63" s="442"/>
      <c r="M63" s="442"/>
      <c r="N63" s="442"/>
      <c r="O63" s="442"/>
      <c r="P63" s="442"/>
      <c r="Q63" s="442"/>
      <c r="R63" s="442"/>
      <c r="S63" s="442"/>
      <c r="T63" s="442"/>
      <c r="U63" s="442"/>
      <c r="V63" s="442"/>
      <c r="W63" s="442"/>
      <c r="X63" s="442"/>
    </row>
    <row r="64" ht="19.5" customHeight="1">
      <c r="A64" s="442"/>
      <c r="B64" s="442"/>
      <c r="C64" s="442"/>
      <c r="D64" s="442"/>
      <c r="E64" s="442"/>
      <c r="F64" s="442"/>
      <c r="G64" s="442"/>
      <c r="H64" s="442"/>
      <c r="I64" s="442"/>
      <c r="J64" s="442"/>
      <c r="K64" s="442"/>
      <c r="L64" s="442"/>
      <c r="M64" s="442"/>
      <c r="N64" s="442"/>
      <c r="O64" s="442"/>
      <c r="P64" s="442"/>
      <c r="Q64" s="442"/>
      <c r="R64" s="442"/>
      <c r="S64" s="442"/>
      <c r="T64" s="442"/>
      <c r="U64" s="442"/>
      <c r="V64" s="442"/>
      <c r="W64" s="442"/>
      <c r="X64" s="442"/>
    </row>
    <row r="65" ht="19.5" customHeight="1">
      <c r="A65" s="442"/>
      <c r="B65" s="442"/>
      <c r="C65" s="442"/>
      <c r="D65" s="442"/>
      <c r="E65" s="442"/>
      <c r="F65" s="442"/>
      <c r="G65" s="442"/>
      <c r="H65" s="442"/>
      <c r="I65" s="442"/>
      <c r="J65" s="442"/>
      <c r="K65" s="442"/>
      <c r="L65" s="442"/>
      <c r="M65" s="442"/>
      <c r="N65" s="442"/>
      <c r="O65" s="442"/>
      <c r="P65" s="442"/>
      <c r="Q65" s="442"/>
      <c r="R65" s="442"/>
      <c r="S65" s="442"/>
      <c r="T65" s="442"/>
      <c r="U65" s="442"/>
      <c r="V65" s="442"/>
      <c r="W65" s="442"/>
      <c r="X65" s="442"/>
    </row>
    <row r="66" ht="19.5" customHeight="1">
      <c r="A66" s="442"/>
      <c r="B66" s="442"/>
      <c r="C66" s="442"/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</row>
    <row r="67" ht="19.5" customHeight="1">
      <c r="A67" s="442"/>
      <c r="B67" s="442"/>
      <c r="C67" s="442"/>
      <c r="D67" s="442"/>
      <c r="E67" s="442"/>
      <c r="F67" s="442"/>
      <c r="G67" s="442"/>
      <c r="H67" s="442"/>
      <c r="I67" s="442"/>
      <c r="J67" s="442"/>
      <c r="K67" s="442"/>
      <c r="L67" s="442"/>
      <c r="M67" s="442"/>
      <c r="N67" s="442"/>
      <c r="O67" s="442"/>
      <c r="P67" s="442"/>
      <c r="Q67" s="442"/>
      <c r="R67" s="442"/>
      <c r="S67" s="442"/>
      <c r="T67" s="442"/>
      <c r="U67" s="442"/>
      <c r="V67" s="442"/>
      <c r="W67" s="442"/>
      <c r="X67" s="442"/>
    </row>
    <row r="68" ht="19.5" customHeight="1">
      <c r="A68" s="442"/>
      <c r="B68" s="442"/>
      <c r="C68" s="442"/>
      <c r="D68" s="442"/>
      <c r="E68" s="442"/>
      <c r="F68" s="442"/>
      <c r="G68" s="442"/>
      <c r="H68" s="442"/>
      <c r="I68" s="442"/>
      <c r="J68" s="442"/>
      <c r="K68" s="442"/>
      <c r="L68" s="442"/>
      <c r="M68" s="442"/>
      <c r="N68" s="442"/>
      <c r="O68" s="442"/>
      <c r="P68" s="442"/>
      <c r="Q68" s="442"/>
      <c r="R68" s="442"/>
      <c r="S68" s="442"/>
      <c r="T68" s="442"/>
      <c r="U68" s="442"/>
      <c r="V68" s="442"/>
      <c r="W68" s="442"/>
      <c r="X68" s="442"/>
    </row>
    <row r="69" ht="19.5" customHeight="1">
      <c r="A69" s="442"/>
      <c r="B69" s="442"/>
      <c r="C69" s="442"/>
      <c r="D69" s="442"/>
      <c r="E69" s="442"/>
      <c r="F69" s="442"/>
      <c r="G69" s="442"/>
      <c r="H69" s="442"/>
      <c r="I69" s="442"/>
      <c r="J69" s="442"/>
      <c r="K69" s="442"/>
      <c r="L69" s="442"/>
      <c r="M69" s="442"/>
      <c r="N69" s="442"/>
      <c r="O69" s="442"/>
      <c r="P69" s="442"/>
      <c r="Q69" s="442"/>
      <c r="R69" s="442"/>
      <c r="S69" s="442"/>
      <c r="T69" s="442"/>
      <c r="U69" s="442"/>
      <c r="V69" s="442"/>
      <c r="W69" s="442"/>
      <c r="X69" s="442"/>
    </row>
    <row r="70" ht="19.5" customHeight="1">
      <c r="A70" s="442"/>
      <c r="B70" s="442"/>
      <c r="C70" s="442"/>
      <c r="D70" s="442"/>
      <c r="E70" s="442"/>
      <c r="F70" s="442"/>
      <c r="G70" s="442"/>
      <c r="H70" s="442"/>
      <c r="I70" s="442"/>
      <c r="J70" s="442"/>
      <c r="K70" s="442"/>
      <c r="L70" s="442"/>
      <c r="M70" s="442"/>
      <c r="N70" s="442"/>
      <c r="O70" s="442"/>
      <c r="P70" s="442"/>
      <c r="Q70" s="442"/>
      <c r="R70" s="442"/>
      <c r="S70" s="442"/>
      <c r="T70" s="442"/>
      <c r="U70" s="442"/>
      <c r="V70" s="442"/>
      <c r="W70" s="442"/>
      <c r="X70" s="442"/>
    </row>
    <row r="71" ht="19.5" customHeight="1">
      <c r="A71" s="442"/>
      <c r="B71" s="442"/>
      <c r="C71" s="442"/>
      <c r="D71" s="442"/>
      <c r="E71" s="442"/>
      <c r="F71" s="442"/>
      <c r="G71" s="442"/>
      <c r="H71" s="442"/>
      <c r="I71" s="442"/>
      <c r="J71" s="442"/>
      <c r="K71" s="442"/>
      <c r="L71" s="442"/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  <c r="X71" s="442"/>
    </row>
    <row r="72" ht="19.5" customHeight="1">
      <c r="A72" s="442"/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</row>
    <row r="73" ht="19.5" customHeight="1">
      <c r="A73" s="442"/>
      <c r="B73" s="442"/>
      <c r="C73" s="442"/>
      <c r="D73" s="442"/>
      <c r="E73" s="442"/>
      <c r="F73" s="442"/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</row>
    <row r="74" ht="19.5" customHeight="1">
      <c r="A74" s="442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</row>
    <row r="75" ht="19.5" customHeight="1">
      <c r="A75" s="442"/>
      <c r="B75" s="442"/>
      <c r="C75" s="442"/>
      <c r="D75" s="442"/>
      <c r="E75" s="442"/>
      <c r="F75" s="442"/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</row>
    <row r="76" ht="19.5" customHeight="1">
      <c r="A76" s="442"/>
      <c r="B76" s="442"/>
      <c r="C76" s="442"/>
      <c r="D76" s="442"/>
      <c r="E76" s="442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</row>
    <row r="77" ht="19.5" customHeight="1">
      <c r="A77" s="442"/>
      <c r="B77" s="442"/>
      <c r="C77" s="442"/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</row>
    <row r="78" ht="19.5" customHeight="1">
      <c r="A78" s="442"/>
      <c r="B78" s="442"/>
      <c r="C78" s="442"/>
      <c r="D78" s="442"/>
      <c r="E78" s="442"/>
      <c r="F78" s="442"/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</row>
    <row r="79" ht="19.5" customHeight="1">
      <c r="A79" s="442"/>
      <c r="B79" s="442"/>
      <c r="C79" s="442"/>
      <c r="D79" s="442"/>
      <c r="E79" s="442"/>
      <c r="F79" s="442"/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</row>
    <row r="80" ht="19.5" customHeight="1">
      <c r="A80" s="442"/>
      <c r="B80" s="442"/>
      <c r="C80" s="442"/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</row>
    <row r="81" ht="19.5" customHeight="1">
      <c r="A81" s="442"/>
      <c r="B81" s="442"/>
      <c r="C81" s="442"/>
      <c r="D81" s="442"/>
      <c r="E81" s="442"/>
      <c r="F81" s="442"/>
      <c r="G81" s="442"/>
      <c r="H81" s="442"/>
      <c r="I81" s="442"/>
      <c r="J81" s="442"/>
      <c r="K81" s="442"/>
      <c r="L81" s="442"/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  <c r="X81" s="442"/>
    </row>
    <row r="82" ht="19.5" customHeight="1">
      <c r="A82" s="442"/>
      <c r="B82" s="442"/>
      <c r="C82" s="442"/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</row>
    <row r="83" ht="19.5" customHeight="1">
      <c r="A83" s="442"/>
      <c r="B83" s="442"/>
      <c r="C83" s="442"/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</row>
    <row r="84" ht="19.5" customHeight="1">
      <c r="A84" s="442"/>
      <c r="B84" s="442"/>
      <c r="C84" s="442"/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</row>
    <row r="85" ht="19.5" customHeight="1">
      <c r="A85" s="442"/>
      <c r="B85" s="442"/>
      <c r="C85" s="442"/>
      <c r="D85" s="442"/>
      <c r="E85" s="442"/>
      <c r="F85" s="442"/>
      <c r="G85" s="442"/>
      <c r="H85" s="442"/>
      <c r="I85" s="442"/>
      <c r="J85" s="442"/>
      <c r="K85" s="442"/>
      <c r="L85" s="442"/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  <c r="X85" s="442"/>
    </row>
    <row r="86" ht="19.5" customHeight="1">
      <c r="A86" s="442"/>
      <c r="B86" s="442"/>
      <c r="C86" s="442"/>
      <c r="D86" s="442"/>
      <c r="E86" s="442"/>
      <c r="F86" s="442"/>
      <c r="G86" s="442"/>
      <c r="H86" s="442"/>
      <c r="I86" s="442"/>
      <c r="J86" s="442"/>
      <c r="K86" s="442"/>
      <c r="L86" s="442"/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  <c r="X86" s="442"/>
    </row>
    <row r="87" ht="19.5" customHeight="1">
      <c r="A87" s="442"/>
      <c r="B87" s="442"/>
      <c r="C87" s="442"/>
      <c r="D87" s="442"/>
      <c r="E87" s="442"/>
      <c r="F87" s="442"/>
      <c r="G87" s="442"/>
      <c r="H87" s="442"/>
      <c r="I87" s="442"/>
      <c r="J87" s="442"/>
      <c r="K87" s="442"/>
      <c r="L87" s="442"/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  <c r="X87" s="442"/>
    </row>
    <row r="88" ht="19.5" customHeight="1">
      <c r="A88" s="442"/>
      <c r="B88" s="442"/>
      <c r="C88" s="442"/>
      <c r="D88" s="442"/>
      <c r="E88" s="442"/>
      <c r="F88" s="442"/>
      <c r="G88" s="442"/>
      <c r="H88" s="442"/>
      <c r="I88" s="442"/>
      <c r="J88" s="442"/>
      <c r="K88" s="442"/>
      <c r="L88" s="442"/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  <c r="X88" s="442"/>
    </row>
    <row r="89" ht="19.5" customHeight="1">
      <c r="A89" s="442"/>
      <c r="B89" s="442"/>
      <c r="C89" s="442"/>
      <c r="D89" s="442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</row>
    <row r="90" ht="19.5" customHeight="1">
      <c r="A90" s="442"/>
      <c r="B90" s="442"/>
      <c r="C90" s="442"/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</row>
    <row r="91" ht="19.5" customHeight="1">
      <c r="A91" s="442"/>
      <c r="B91" s="442"/>
      <c r="C91" s="442"/>
      <c r="D91" s="442"/>
      <c r="E91" s="442"/>
      <c r="F91" s="442"/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</row>
    <row r="92" ht="19.5" customHeight="1">
      <c r="A92" s="442"/>
      <c r="B92" s="442"/>
      <c r="C92" s="442"/>
      <c r="D92" s="442"/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</row>
    <row r="93" ht="19.5" customHeight="1">
      <c r="A93" s="442"/>
      <c r="B93" s="442"/>
      <c r="C93" s="442"/>
      <c r="D93" s="442"/>
      <c r="E93" s="442"/>
      <c r="F93" s="442"/>
      <c r="G93" s="442"/>
      <c r="H93" s="442"/>
      <c r="I93" s="442"/>
      <c r="J93" s="442"/>
      <c r="K93" s="442"/>
      <c r="L93" s="442"/>
      <c r="M93" s="442"/>
      <c r="N93" s="442"/>
      <c r="O93" s="442"/>
      <c r="P93" s="442"/>
      <c r="Q93" s="442"/>
      <c r="R93" s="442"/>
      <c r="S93" s="442"/>
      <c r="T93" s="442"/>
      <c r="U93" s="442"/>
      <c r="V93" s="442"/>
      <c r="W93" s="442"/>
      <c r="X93" s="442"/>
    </row>
    <row r="94" ht="19.5" customHeight="1">
      <c r="A94" s="442"/>
      <c r="B94" s="442"/>
      <c r="C94" s="442"/>
      <c r="D94" s="442"/>
      <c r="E94" s="442"/>
      <c r="F94" s="442"/>
      <c r="G94" s="442"/>
      <c r="H94" s="442"/>
      <c r="I94" s="442"/>
      <c r="J94" s="442"/>
      <c r="K94" s="442"/>
      <c r="L94" s="442"/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  <c r="X94" s="442"/>
    </row>
    <row r="95" ht="19.5" customHeight="1">
      <c r="A95" s="442"/>
      <c r="B95" s="442"/>
      <c r="C95" s="442"/>
      <c r="D95" s="442"/>
      <c r="E95" s="442"/>
      <c r="F95" s="442"/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</row>
    <row r="96" ht="19.5" customHeight="1">
      <c r="A96" s="442"/>
      <c r="B96" s="442"/>
      <c r="C96" s="442"/>
      <c r="D96" s="442"/>
      <c r="E96" s="442"/>
      <c r="F96" s="442"/>
      <c r="G96" s="442"/>
      <c r="H96" s="442"/>
      <c r="I96" s="442"/>
      <c r="J96" s="442"/>
      <c r="K96" s="442"/>
      <c r="L96" s="442"/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  <c r="X96" s="442"/>
    </row>
    <row r="97" ht="19.5" customHeight="1">
      <c r="A97" s="442"/>
      <c r="B97" s="442"/>
      <c r="C97" s="442"/>
      <c r="D97" s="442"/>
      <c r="E97" s="442"/>
      <c r="F97" s="442"/>
      <c r="G97" s="442"/>
      <c r="H97" s="442"/>
      <c r="I97" s="442"/>
      <c r="J97" s="442"/>
      <c r="K97" s="442"/>
      <c r="L97" s="442"/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  <c r="X97" s="442"/>
    </row>
    <row r="98" ht="19.5" customHeight="1">
      <c r="A98" s="442"/>
      <c r="B98" s="442"/>
      <c r="C98" s="442"/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</row>
    <row r="99" ht="19.5" customHeight="1">
      <c r="A99" s="442"/>
      <c r="B99" s="442"/>
      <c r="C99" s="442"/>
      <c r="D99" s="442"/>
      <c r="E99" s="442"/>
      <c r="F99" s="442"/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</row>
    <row r="100" ht="19.5" customHeight="1">
      <c r="A100" s="442"/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</row>
    <row r="101" ht="19.5" customHeight="1">
      <c r="A101" s="442"/>
      <c r="B101" s="442"/>
      <c r="C101" s="442"/>
      <c r="D101" s="442"/>
      <c r="E101" s="442"/>
      <c r="F101" s="442"/>
      <c r="G101" s="442"/>
      <c r="H101" s="442"/>
      <c r="I101" s="442"/>
      <c r="J101" s="442"/>
      <c r="K101" s="442"/>
      <c r="L101" s="442"/>
      <c r="M101" s="442"/>
      <c r="N101" s="442"/>
      <c r="O101" s="442"/>
      <c r="P101" s="442"/>
      <c r="Q101" s="442"/>
      <c r="R101" s="442"/>
      <c r="S101" s="442"/>
      <c r="T101" s="442"/>
      <c r="U101" s="442"/>
      <c r="V101" s="442"/>
      <c r="W101" s="442"/>
      <c r="X101" s="442"/>
    </row>
    <row r="102" ht="19.5" customHeight="1">
      <c r="A102" s="442"/>
      <c r="B102" s="442"/>
      <c r="C102" s="442"/>
      <c r="D102" s="442"/>
      <c r="E102" s="442"/>
      <c r="F102" s="442"/>
      <c r="G102" s="442"/>
      <c r="H102" s="442"/>
      <c r="I102" s="442"/>
      <c r="J102" s="442"/>
      <c r="K102" s="442"/>
      <c r="L102" s="442"/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  <c r="X102" s="442"/>
    </row>
    <row r="103" ht="19.5" customHeight="1">
      <c r="A103" s="442"/>
      <c r="B103" s="442"/>
      <c r="C103" s="442"/>
      <c r="D103" s="442"/>
      <c r="E103" s="442"/>
      <c r="F103" s="442"/>
      <c r="G103" s="442"/>
      <c r="H103" s="442"/>
      <c r="I103" s="442"/>
      <c r="J103" s="442"/>
      <c r="K103" s="442"/>
      <c r="L103" s="442"/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  <c r="X103" s="442"/>
    </row>
    <row r="104" ht="19.5" customHeight="1">
      <c r="A104" s="442"/>
      <c r="B104" s="442"/>
      <c r="C104" s="442"/>
      <c r="D104" s="442"/>
      <c r="E104" s="442"/>
      <c r="F104" s="442"/>
      <c r="G104" s="442"/>
      <c r="H104" s="442"/>
      <c r="I104" s="442"/>
      <c r="J104" s="442"/>
      <c r="K104" s="442"/>
      <c r="L104" s="442"/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  <c r="X104" s="442"/>
    </row>
    <row r="105" ht="19.5" customHeight="1">
      <c r="A105" s="442"/>
      <c r="B105" s="442"/>
      <c r="C105" s="442"/>
      <c r="D105" s="442"/>
      <c r="E105" s="442"/>
      <c r="F105" s="442"/>
      <c r="G105" s="442"/>
      <c r="H105" s="442"/>
      <c r="I105" s="442"/>
      <c r="J105" s="442"/>
      <c r="K105" s="442"/>
      <c r="L105" s="442"/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  <c r="X105" s="442"/>
    </row>
    <row r="106" ht="19.5" customHeight="1">
      <c r="A106" s="442"/>
      <c r="B106" s="442"/>
      <c r="C106" s="442"/>
      <c r="D106" s="442"/>
      <c r="E106" s="442"/>
      <c r="F106" s="442"/>
      <c r="G106" s="442"/>
      <c r="H106" s="442"/>
      <c r="I106" s="442"/>
      <c r="J106" s="442"/>
      <c r="K106" s="442"/>
      <c r="L106" s="442"/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  <c r="X106" s="442"/>
    </row>
    <row r="107" ht="19.5" customHeight="1">
      <c r="A107" s="442"/>
      <c r="B107" s="442"/>
      <c r="C107" s="442"/>
      <c r="D107" s="442"/>
      <c r="E107" s="442"/>
      <c r="F107" s="442"/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</row>
    <row r="108" ht="19.5" customHeight="1">
      <c r="A108" s="442"/>
      <c r="B108" s="442"/>
      <c r="C108" s="442"/>
      <c r="D108" s="442"/>
      <c r="E108" s="442"/>
      <c r="F108" s="442"/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</row>
    <row r="109" ht="19.5" customHeight="1">
      <c r="A109" s="442"/>
      <c r="B109" s="442"/>
      <c r="C109" s="442"/>
      <c r="D109" s="442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</row>
    <row r="110" ht="19.5" customHeight="1">
      <c r="A110" s="442"/>
      <c r="B110" s="442"/>
      <c r="C110" s="442"/>
      <c r="D110" s="442"/>
      <c r="E110" s="442"/>
      <c r="F110" s="442"/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  <c r="X110" s="442"/>
    </row>
    <row r="111" ht="19.5" customHeight="1">
      <c r="A111" s="442"/>
      <c r="B111" s="442"/>
      <c r="C111" s="442"/>
      <c r="D111" s="442"/>
      <c r="E111" s="442"/>
      <c r="F111" s="442"/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  <c r="X111" s="442"/>
    </row>
    <row r="112" ht="19.5" customHeight="1">
      <c r="A112" s="442"/>
      <c r="B112" s="442"/>
      <c r="C112" s="442"/>
      <c r="D112" s="442"/>
      <c r="E112" s="442"/>
      <c r="F112" s="442"/>
      <c r="G112" s="442"/>
      <c r="H112" s="442"/>
      <c r="I112" s="442"/>
      <c r="J112" s="442"/>
      <c r="K112" s="442"/>
      <c r="L112" s="442"/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  <c r="X112" s="442"/>
    </row>
    <row r="113" ht="19.5" customHeight="1">
      <c r="A113" s="442"/>
      <c r="B113" s="442"/>
      <c r="C113" s="442"/>
      <c r="D113" s="442"/>
      <c r="E113" s="442"/>
      <c r="F113" s="442"/>
      <c r="G113" s="442"/>
      <c r="H113" s="442"/>
      <c r="I113" s="442"/>
      <c r="J113" s="442"/>
      <c r="K113" s="442"/>
      <c r="L113" s="442"/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  <c r="X113" s="442"/>
    </row>
    <row r="114" ht="19.5" customHeight="1">
      <c r="A114" s="442"/>
      <c r="B114" s="442"/>
      <c r="C114" s="442"/>
      <c r="D114" s="442"/>
      <c r="E114" s="442"/>
      <c r="F114" s="442"/>
      <c r="G114" s="442"/>
      <c r="H114" s="442"/>
      <c r="I114" s="442"/>
      <c r="J114" s="442"/>
      <c r="K114" s="442"/>
      <c r="L114" s="442"/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  <c r="X114" s="442"/>
    </row>
    <row r="115" ht="19.5" customHeight="1">
      <c r="A115" s="442"/>
      <c r="B115" s="442"/>
      <c r="C115" s="442"/>
      <c r="D115" s="442"/>
      <c r="E115" s="442"/>
      <c r="F115" s="442"/>
      <c r="G115" s="442"/>
      <c r="H115" s="442"/>
      <c r="I115" s="442"/>
      <c r="J115" s="442"/>
      <c r="K115" s="442"/>
      <c r="L115" s="442"/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  <c r="X115" s="442"/>
    </row>
    <row r="116" ht="19.5" customHeight="1">
      <c r="A116" s="442"/>
      <c r="B116" s="442"/>
      <c r="C116" s="442"/>
      <c r="D116" s="442"/>
      <c r="E116" s="442"/>
      <c r="F116" s="442"/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</row>
    <row r="117" ht="19.5" customHeight="1">
      <c r="A117" s="442"/>
      <c r="B117" s="442"/>
      <c r="C117" s="442"/>
      <c r="D117" s="442"/>
      <c r="E117" s="442"/>
      <c r="F117" s="442"/>
      <c r="G117" s="442"/>
      <c r="H117" s="442"/>
      <c r="I117" s="442"/>
      <c r="J117" s="442"/>
      <c r="K117" s="442"/>
      <c r="L117" s="442"/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  <c r="X117" s="442"/>
    </row>
    <row r="118" ht="19.5" customHeight="1">
      <c r="A118" s="442"/>
      <c r="B118" s="442"/>
      <c r="C118" s="442"/>
      <c r="D118" s="442"/>
      <c r="E118" s="442"/>
      <c r="F118" s="442"/>
      <c r="G118" s="442"/>
      <c r="H118" s="442"/>
      <c r="I118" s="442"/>
      <c r="J118" s="442"/>
      <c r="K118" s="442"/>
      <c r="L118" s="442"/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  <c r="X118" s="442"/>
    </row>
    <row r="119" ht="19.5" customHeight="1">
      <c r="A119" s="442"/>
      <c r="B119" s="442"/>
      <c r="C119" s="442"/>
      <c r="D119" s="442"/>
      <c r="E119" s="442"/>
      <c r="F119" s="442"/>
      <c r="G119" s="442"/>
      <c r="H119" s="442"/>
      <c r="I119" s="442"/>
      <c r="J119" s="442"/>
      <c r="K119" s="442"/>
      <c r="L119" s="442"/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  <c r="X119" s="442"/>
    </row>
    <row r="120" ht="19.5" customHeight="1">
      <c r="A120" s="442"/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  <c r="X120" s="442"/>
    </row>
    <row r="121" ht="19.5" customHeight="1">
      <c r="A121" s="442"/>
      <c r="B121" s="442"/>
      <c r="C121" s="442"/>
      <c r="D121" s="442"/>
      <c r="E121" s="442"/>
      <c r="F121" s="442"/>
      <c r="G121" s="442"/>
      <c r="H121" s="442"/>
      <c r="I121" s="442"/>
      <c r="J121" s="442"/>
      <c r="K121" s="442"/>
      <c r="L121" s="442"/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  <c r="X121" s="442"/>
    </row>
    <row r="122" ht="19.5" customHeight="1">
      <c r="A122" s="442"/>
      <c r="B122" s="442"/>
      <c r="C122" s="442"/>
      <c r="D122" s="442"/>
      <c r="E122" s="442"/>
      <c r="F122" s="442"/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</row>
    <row r="123" ht="19.5" customHeight="1">
      <c r="A123" s="442"/>
      <c r="B123" s="442"/>
      <c r="C123" s="442"/>
      <c r="D123" s="442"/>
      <c r="E123" s="442"/>
      <c r="F123" s="442"/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</row>
    <row r="124" ht="19.5" customHeight="1">
      <c r="A124" s="442"/>
      <c r="B124" s="442"/>
      <c r="C124" s="442"/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</row>
    <row r="125" ht="19.5" customHeight="1">
      <c r="A125" s="442"/>
      <c r="B125" s="442"/>
      <c r="C125" s="442"/>
      <c r="D125" s="442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</row>
    <row r="126" ht="19.5" customHeight="1">
      <c r="A126" s="442"/>
      <c r="B126" s="442"/>
      <c r="C126" s="442"/>
      <c r="D126" s="442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</row>
    <row r="127" ht="19.5" customHeight="1">
      <c r="A127" s="442"/>
      <c r="B127" s="442"/>
      <c r="C127" s="442"/>
      <c r="D127" s="442"/>
      <c r="E127" s="442"/>
      <c r="F127" s="442"/>
      <c r="G127" s="442"/>
      <c r="H127" s="442"/>
      <c r="I127" s="442"/>
      <c r="J127" s="442"/>
      <c r="K127" s="442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  <c r="X127" s="442"/>
    </row>
    <row r="128" ht="19.5" customHeight="1">
      <c r="A128" s="442"/>
      <c r="B128" s="442"/>
      <c r="C128" s="442"/>
      <c r="D128" s="442"/>
      <c r="E128" s="442"/>
      <c r="F128" s="442"/>
      <c r="G128" s="442"/>
      <c r="H128" s="442"/>
      <c r="I128" s="442"/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  <c r="X128" s="442"/>
    </row>
    <row r="129" ht="19.5" customHeight="1">
      <c r="A129" s="442"/>
      <c r="B129" s="442"/>
      <c r="C129" s="442"/>
      <c r="D129" s="442"/>
      <c r="E129" s="442"/>
      <c r="F129" s="442"/>
      <c r="G129" s="442"/>
      <c r="H129" s="442"/>
      <c r="I129" s="442"/>
      <c r="J129" s="442"/>
      <c r="K129" s="442"/>
      <c r="L129" s="442"/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  <c r="X129" s="442"/>
    </row>
    <row r="130" ht="19.5" customHeight="1">
      <c r="A130" s="442"/>
      <c r="B130" s="442"/>
      <c r="C130" s="442"/>
      <c r="D130" s="442"/>
      <c r="E130" s="442"/>
      <c r="F130" s="442"/>
      <c r="G130" s="442"/>
      <c r="H130" s="442"/>
      <c r="I130" s="442"/>
      <c r="J130" s="442"/>
      <c r="K130" s="442"/>
      <c r="L130" s="442"/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  <c r="X130" s="442"/>
    </row>
    <row r="131" ht="19.5" customHeight="1">
      <c r="A131" s="442"/>
      <c r="B131" s="442"/>
      <c r="C131" s="442"/>
      <c r="D131" s="442"/>
      <c r="E131" s="442"/>
      <c r="F131" s="442"/>
      <c r="G131" s="442"/>
      <c r="H131" s="442"/>
      <c r="I131" s="442"/>
      <c r="J131" s="442"/>
      <c r="K131" s="442"/>
      <c r="L131" s="442"/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  <c r="X131" s="442"/>
    </row>
    <row r="132" ht="19.5" customHeight="1">
      <c r="A132" s="442"/>
      <c r="B132" s="442"/>
      <c r="C132" s="442"/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</row>
    <row r="133" ht="19.5" customHeight="1">
      <c r="A133" s="442"/>
      <c r="B133" s="442"/>
      <c r="C133" s="442"/>
      <c r="D133" s="442"/>
      <c r="E133" s="442"/>
      <c r="F133" s="442"/>
      <c r="G133" s="442"/>
      <c r="H133" s="442"/>
      <c r="I133" s="442"/>
      <c r="J133" s="442"/>
      <c r="K133" s="442"/>
      <c r="L133" s="442"/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  <c r="X133" s="442"/>
    </row>
    <row r="134" ht="19.5" customHeight="1">
      <c r="A134" s="442"/>
      <c r="B134" s="442"/>
      <c r="C134" s="442"/>
      <c r="D134" s="442"/>
      <c r="E134" s="442"/>
      <c r="F134" s="442"/>
      <c r="G134" s="442"/>
      <c r="H134" s="442"/>
      <c r="I134" s="442"/>
      <c r="J134" s="442"/>
      <c r="K134" s="442"/>
      <c r="L134" s="442"/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  <c r="X134" s="442"/>
    </row>
    <row r="135" ht="19.5" customHeight="1">
      <c r="A135" s="442"/>
      <c r="B135" s="442"/>
      <c r="C135" s="442"/>
      <c r="D135" s="442"/>
      <c r="E135" s="442"/>
      <c r="F135" s="442"/>
      <c r="G135" s="442"/>
      <c r="H135" s="442"/>
      <c r="I135" s="442"/>
      <c r="J135" s="442"/>
      <c r="K135" s="442"/>
      <c r="L135" s="442"/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  <c r="X135" s="442"/>
    </row>
    <row r="136" ht="19.5" customHeight="1">
      <c r="A136" s="442"/>
      <c r="B136" s="442"/>
      <c r="C136" s="442"/>
      <c r="D136" s="442"/>
      <c r="E136" s="442"/>
      <c r="F136" s="442"/>
      <c r="G136" s="442"/>
      <c r="H136" s="442"/>
      <c r="I136" s="442"/>
      <c r="J136" s="442"/>
      <c r="K136" s="442"/>
      <c r="L136" s="442"/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  <c r="X136" s="442"/>
    </row>
    <row r="137" ht="19.5" customHeight="1">
      <c r="A137" s="442"/>
      <c r="B137" s="442"/>
      <c r="C137" s="442"/>
      <c r="D137" s="442"/>
      <c r="E137" s="442"/>
      <c r="F137" s="442"/>
      <c r="G137" s="442"/>
      <c r="H137" s="442"/>
      <c r="I137" s="442"/>
      <c r="J137" s="442"/>
      <c r="K137" s="442"/>
      <c r="L137" s="442"/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  <c r="X137" s="442"/>
    </row>
    <row r="138" ht="19.5" customHeight="1">
      <c r="A138" s="442"/>
      <c r="B138" s="442"/>
      <c r="C138" s="442"/>
      <c r="D138" s="442"/>
      <c r="E138" s="442"/>
      <c r="F138" s="442"/>
      <c r="G138" s="442"/>
      <c r="H138" s="442"/>
      <c r="I138" s="442"/>
      <c r="J138" s="442"/>
      <c r="K138" s="442"/>
      <c r="L138" s="442"/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  <c r="X138" s="442"/>
    </row>
    <row r="139" ht="19.5" customHeight="1">
      <c r="A139" s="442"/>
      <c r="B139" s="442"/>
      <c r="C139" s="442"/>
      <c r="D139" s="442"/>
      <c r="E139" s="442"/>
      <c r="F139" s="442"/>
      <c r="G139" s="442"/>
      <c r="H139" s="442"/>
      <c r="I139" s="442"/>
      <c r="J139" s="442"/>
      <c r="K139" s="442"/>
      <c r="L139" s="442"/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  <c r="X139" s="442"/>
    </row>
    <row r="140" ht="19.5" customHeight="1">
      <c r="A140" s="442"/>
      <c r="B140" s="442"/>
      <c r="C140" s="442"/>
      <c r="D140" s="442"/>
      <c r="E140" s="442"/>
      <c r="F140" s="442"/>
      <c r="G140" s="442"/>
      <c r="H140" s="442"/>
      <c r="I140" s="442"/>
      <c r="J140" s="442"/>
      <c r="K140" s="442"/>
      <c r="L140" s="442"/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  <c r="X140" s="442"/>
    </row>
    <row r="141" ht="19.5" customHeight="1">
      <c r="A141" s="442"/>
      <c r="B141" s="442"/>
      <c r="C141" s="442"/>
      <c r="D141" s="442"/>
      <c r="E141" s="442"/>
      <c r="F141" s="442"/>
      <c r="G141" s="442"/>
      <c r="H141" s="442"/>
      <c r="I141" s="442"/>
      <c r="J141" s="442"/>
      <c r="K141" s="442"/>
      <c r="L141" s="442"/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  <c r="X141" s="442"/>
    </row>
    <row r="142" ht="19.5" customHeight="1">
      <c r="A142" s="442"/>
      <c r="B142" s="442"/>
      <c r="C142" s="442"/>
      <c r="D142" s="442"/>
      <c r="E142" s="442"/>
      <c r="F142" s="442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  <c r="X142" s="442"/>
    </row>
    <row r="143" ht="19.5" customHeight="1">
      <c r="A143" s="442"/>
      <c r="B143" s="442"/>
      <c r="C143" s="442"/>
      <c r="D143" s="442"/>
      <c r="E143" s="442"/>
      <c r="F143" s="442"/>
      <c r="G143" s="442"/>
      <c r="H143" s="442"/>
      <c r="I143" s="442"/>
      <c r="J143" s="442"/>
      <c r="K143" s="442"/>
      <c r="L143" s="442"/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  <c r="X143" s="442"/>
    </row>
    <row r="144" ht="19.5" customHeight="1">
      <c r="A144" s="442"/>
      <c r="B144" s="442"/>
      <c r="C144" s="442"/>
      <c r="D144" s="442"/>
      <c r="E144" s="442"/>
      <c r="F144" s="442"/>
      <c r="G144" s="442"/>
      <c r="H144" s="442"/>
      <c r="I144" s="442"/>
      <c r="J144" s="442"/>
      <c r="K144" s="442"/>
      <c r="L144" s="442"/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  <c r="X144" s="442"/>
    </row>
    <row r="145" ht="19.5" customHeight="1">
      <c r="A145" s="442"/>
      <c r="B145" s="442"/>
      <c r="C145" s="442"/>
      <c r="D145" s="442"/>
      <c r="E145" s="442"/>
      <c r="F145" s="442"/>
      <c r="G145" s="442"/>
      <c r="H145" s="442"/>
      <c r="I145" s="442"/>
      <c r="J145" s="442"/>
      <c r="K145" s="442"/>
      <c r="L145" s="442"/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  <c r="X145" s="442"/>
    </row>
    <row r="146" ht="19.5" customHeight="1">
      <c r="A146" s="442"/>
      <c r="B146" s="442"/>
      <c r="C146" s="442"/>
      <c r="D146" s="442"/>
      <c r="E146" s="442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  <c r="X146" s="442"/>
    </row>
    <row r="147" ht="19.5" customHeight="1">
      <c r="A147" s="442"/>
      <c r="B147" s="442"/>
      <c r="C147" s="442"/>
      <c r="D147" s="442"/>
      <c r="E147" s="442"/>
      <c r="F147" s="442"/>
      <c r="G147" s="442"/>
      <c r="H147" s="442"/>
      <c r="I147" s="442"/>
      <c r="J147" s="442"/>
      <c r="K147" s="442"/>
      <c r="L147" s="442"/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  <c r="X147" s="442"/>
    </row>
    <row r="148" ht="19.5" customHeight="1">
      <c r="A148" s="442"/>
      <c r="B148" s="442"/>
      <c r="C148" s="442"/>
      <c r="D148" s="442"/>
      <c r="E148" s="442"/>
      <c r="F148" s="442"/>
      <c r="G148" s="442"/>
      <c r="H148" s="442"/>
      <c r="I148" s="442"/>
      <c r="J148" s="442"/>
      <c r="K148" s="442"/>
      <c r="L148" s="442"/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  <c r="X148" s="442"/>
    </row>
    <row r="149" ht="19.5" customHeight="1">
      <c r="A149" s="442"/>
      <c r="B149" s="442"/>
      <c r="C149" s="442"/>
      <c r="D149" s="442"/>
      <c r="E149" s="442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</row>
    <row r="150" ht="19.5" customHeight="1">
      <c r="A150" s="442"/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  <c r="X150" s="442"/>
    </row>
    <row r="151" ht="19.5" customHeight="1">
      <c r="A151" s="442"/>
      <c r="B151" s="442"/>
      <c r="C151" s="442"/>
      <c r="D151" s="442"/>
      <c r="E151" s="442"/>
      <c r="F151" s="442"/>
      <c r="G151" s="442"/>
      <c r="H151" s="442"/>
      <c r="I151" s="442"/>
      <c r="J151" s="442"/>
      <c r="K151" s="442"/>
      <c r="L151" s="442"/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  <c r="X151" s="442"/>
    </row>
    <row r="152" ht="19.5" customHeight="1">
      <c r="A152" s="442"/>
      <c r="B152" s="442"/>
      <c r="C152" s="442"/>
      <c r="D152" s="442"/>
      <c r="E152" s="442"/>
      <c r="F152" s="442"/>
      <c r="G152" s="442"/>
      <c r="H152" s="442"/>
      <c r="I152" s="442"/>
      <c r="J152" s="442"/>
      <c r="K152" s="442"/>
      <c r="L152" s="442"/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  <c r="X152" s="442"/>
    </row>
    <row r="153" ht="19.5" customHeight="1">
      <c r="A153" s="442"/>
      <c r="B153" s="442"/>
      <c r="C153" s="442"/>
      <c r="D153" s="442"/>
      <c r="E153" s="442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</row>
    <row r="154" ht="19.5" customHeight="1">
      <c r="A154" s="442"/>
      <c r="B154" s="442"/>
      <c r="C154" s="442"/>
      <c r="D154" s="442"/>
      <c r="E154" s="442"/>
      <c r="F154" s="442"/>
      <c r="G154" s="442"/>
      <c r="H154" s="442"/>
      <c r="I154" s="442"/>
      <c r="J154" s="442"/>
      <c r="K154" s="442"/>
      <c r="L154" s="442"/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</row>
    <row r="155" ht="19.5" customHeight="1">
      <c r="A155" s="442"/>
      <c r="B155" s="442"/>
      <c r="C155" s="442"/>
      <c r="D155" s="442"/>
      <c r="E155" s="442"/>
      <c r="F155" s="442"/>
      <c r="G155" s="442"/>
      <c r="H155" s="442"/>
      <c r="I155" s="442"/>
      <c r="J155" s="442"/>
      <c r="K155" s="442"/>
      <c r="L155" s="442"/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</row>
    <row r="156" ht="19.5" customHeight="1">
      <c r="A156" s="442"/>
      <c r="B156" s="442"/>
      <c r="C156" s="442"/>
      <c r="D156" s="442"/>
      <c r="E156" s="442"/>
      <c r="F156" s="442"/>
      <c r="G156" s="442"/>
      <c r="H156" s="442"/>
      <c r="I156" s="442"/>
      <c r="J156" s="442"/>
      <c r="K156" s="442"/>
      <c r="L156" s="442"/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</row>
    <row r="157" ht="19.5" customHeight="1">
      <c r="A157" s="442"/>
      <c r="B157" s="442"/>
      <c r="C157" s="442"/>
      <c r="D157" s="442"/>
      <c r="E157" s="442"/>
      <c r="F157" s="442"/>
      <c r="G157" s="442"/>
      <c r="H157" s="442"/>
      <c r="I157" s="442"/>
      <c r="J157" s="442"/>
      <c r="K157" s="442"/>
      <c r="L157" s="442"/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  <c r="X157" s="442"/>
    </row>
    <row r="158" ht="19.5" customHeight="1">
      <c r="A158" s="442"/>
      <c r="B158" s="442"/>
      <c r="C158" s="442"/>
      <c r="D158" s="442"/>
      <c r="E158" s="442"/>
      <c r="F158" s="442"/>
      <c r="G158" s="442"/>
      <c r="H158" s="442"/>
      <c r="I158" s="442"/>
      <c r="J158" s="442"/>
      <c r="K158" s="442"/>
      <c r="L158" s="442"/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  <c r="X158" s="442"/>
    </row>
    <row r="159" ht="19.5" customHeight="1">
      <c r="A159" s="442"/>
      <c r="B159" s="442"/>
      <c r="C159" s="442"/>
      <c r="D159" s="442"/>
      <c r="E159" s="442"/>
      <c r="F159" s="442"/>
      <c r="G159" s="442"/>
      <c r="H159" s="442"/>
      <c r="I159" s="442"/>
      <c r="J159" s="442"/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</row>
    <row r="160" ht="19.5" customHeight="1">
      <c r="A160" s="442"/>
      <c r="B160" s="442"/>
      <c r="C160" s="442"/>
      <c r="D160" s="442"/>
      <c r="E160" s="442"/>
      <c r="F160" s="442"/>
      <c r="G160" s="442"/>
      <c r="H160" s="442"/>
      <c r="I160" s="442"/>
      <c r="J160" s="442"/>
      <c r="K160" s="442"/>
      <c r="L160" s="442"/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  <c r="X160" s="442"/>
    </row>
    <row r="161" ht="19.5" customHeight="1">
      <c r="A161" s="442"/>
      <c r="B161" s="442"/>
      <c r="C161" s="442"/>
      <c r="D161" s="442"/>
      <c r="E161" s="442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  <c r="X161" s="442"/>
    </row>
    <row r="162" ht="19.5" customHeight="1">
      <c r="A162" s="442"/>
      <c r="B162" s="442"/>
      <c r="C162" s="442"/>
      <c r="D162" s="442"/>
      <c r="E162" s="442"/>
      <c r="F162" s="442"/>
      <c r="G162" s="442"/>
      <c r="H162" s="442"/>
      <c r="I162" s="442"/>
      <c r="J162" s="442"/>
      <c r="K162" s="442"/>
      <c r="L162" s="442"/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  <c r="X162" s="442"/>
    </row>
    <row r="163" ht="19.5" customHeight="1">
      <c r="A163" s="442"/>
      <c r="B163" s="442"/>
      <c r="C163" s="442"/>
      <c r="D163" s="442"/>
      <c r="E163" s="442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  <c r="X163" s="442"/>
    </row>
    <row r="164" ht="19.5" customHeight="1">
      <c r="A164" s="442"/>
      <c r="B164" s="442"/>
      <c r="C164" s="442"/>
      <c r="D164" s="442"/>
      <c r="E164" s="442"/>
      <c r="F164" s="442"/>
      <c r="G164" s="442"/>
      <c r="H164" s="442"/>
      <c r="I164" s="442"/>
      <c r="J164" s="442"/>
      <c r="K164" s="442"/>
      <c r="L164" s="442"/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  <c r="X164" s="442"/>
    </row>
    <row r="165" ht="19.5" customHeight="1">
      <c r="A165" s="442"/>
      <c r="B165" s="442"/>
      <c r="C165" s="442"/>
      <c r="D165" s="442"/>
      <c r="E165" s="442"/>
      <c r="F165" s="442"/>
      <c r="G165" s="442"/>
      <c r="H165" s="442"/>
      <c r="I165" s="442"/>
      <c r="J165" s="442"/>
      <c r="K165" s="442"/>
      <c r="L165" s="442"/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  <c r="X165" s="442"/>
    </row>
    <row r="166" ht="19.5" customHeight="1">
      <c r="A166" s="442"/>
      <c r="B166" s="442"/>
      <c r="C166" s="442"/>
      <c r="D166" s="442"/>
      <c r="E166" s="442"/>
      <c r="F166" s="442"/>
      <c r="G166" s="442"/>
      <c r="H166" s="442"/>
      <c r="I166" s="442"/>
      <c r="J166" s="442"/>
      <c r="K166" s="442"/>
      <c r="L166" s="442"/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  <c r="X166" s="442"/>
    </row>
    <row r="167" ht="19.5" customHeight="1">
      <c r="A167" s="442"/>
      <c r="B167" s="442"/>
      <c r="C167" s="442"/>
      <c r="D167" s="442"/>
      <c r="E167" s="442"/>
      <c r="F167" s="442"/>
      <c r="G167" s="442"/>
      <c r="H167" s="442"/>
      <c r="I167" s="442"/>
      <c r="J167" s="442"/>
      <c r="K167" s="442"/>
      <c r="L167" s="442"/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  <c r="X167" s="442"/>
    </row>
    <row r="168" ht="19.5" customHeight="1">
      <c r="A168" s="442"/>
      <c r="B168" s="442"/>
      <c r="C168" s="442"/>
      <c r="D168" s="442"/>
      <c r="E168" s="442"/>
      <c r="F168" s="442"/>
      <c r="G168" s="442"/>
      <c r="H168" s="442"/>
      <c r="I168" s="442"/>
      <c r="J168" s="442"/>
      <c r="K168" s="442"/>
      <c r="L168" s="442"/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  <c r="X168" s="442"/>
    </row>
    <row r="169" ht="19.5" customHeight="1">
      <c r="A169" s="442"/>
      <c r="B169" s="442"/>
      <c r="C169" s="442"/>
      <c r="D169" s="442"/>
      <c r="E169" s="442"/>
      <c r="F169" s="442"/>
      <c r="G169" s="442"/>
      <c r="H169" s="442"/>
      <c r="I169" s="442"/>
      <c r="J169" s="442"/>
      <c r="K169" s="442"/>
      <c r="L169" s="442"/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  <c r="X169" s="442"/>
    </row>
    <row r="170" ht="19.5" customHeight="1">
      <c r="A170" s="442"/>
      <c r="B170" s="442"/>
      <c r="C170" s="442"/>
      <c r="D170" s="442"/>
      <c r="E170" s="442"/>
      <c r="F170" s="442"/>
      <c r="G170" s="442"/>
      <c r="H170" s="442"/>
      <c r="I170" s="442"/>
      <c r="J170" s="442"/>
      <c r="K170" s="442"/>
      <c r="L170" s="442"/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  <c r="X170" s="442"/>
    </row>
    <row r="171" ht="19.5" customHeight="1">
      <c r="A171" s="442"/>
      <c r="B171" s="442"/>
      <c r="C171" s="442"/>
      <c r="D171" s="442"/>
      <c r="E171" s="442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  <c r="X171" s="442"/>
    </row>
    <row r="172" ht="19.5" customHeight="1">
      <c r="A172" s="442"/>
      <c r="B172" s="442"/>
      <c r="C172" s="442"/>
      <c r="D172" s="442"/>
      <c r="E172" s="442"/>
      <c r="F172" s="442"/>
      <c r="G172" s="442"/>
      <c r="H172" s="442"/>
      <c r="I172" s="442"/>
      <c r="J172" s="442"/>
      <c r="K172" s="442"/>
      <c r="L172" s="442"/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  <c r="X172" s="442"/>
    </row>
    <row r="173" ht="19.5" customHeight="1">
      <c r="A173" s="442"/>
      <c r="B173" s="442"/>
      <c r="C173" s="442"/>
      <c r="D173" s="442"/>
      <c r="E173" s="442"/>
      <c r="F173" s="442"/>
      <c r="G173" s="442"/>
      <c r="H173" s="442"/>
      <c r="I173" s="442"/>
      <c r="J173" s="442"/>
      <c r="K173" s="442"/>
      <c r="L173" s="442"/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  <c r="X173" s="442"/>
    </row>
    <row r="174" ht="19.5" customHeight="1">
      <c r="A174" s="442"/>
      <c r="B174" s="442"/>
      <c r="C174" s="442"/>
      <c r="D174" s="442"/>
      <c r="E174" s="442"/>
      <c r="F174" s="442"/>
      <c r="G174" s="442"/>
      <c r="H174" s="442"/>
      <c r="I174" s="442"/>
      <c r="J174" s="442"/>
      <c r="K174" s="442"/>
      <c r="L174" s="442"/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  <c r="X174" s="442"/>
    </row>
    <row r="175" ht="19.5" customHeight="1">
      <c r="A175" s="442"/>
      <c r="B175" s="442"/>
      <c r="C175" s="442"/>
      <c r="D175" s="442"/>
      <c r="E175" s="442"/>
      <c r="F175" s="442"/>
      <c r="G175" s="442"/>
      <c r="H175" s="442"/>
      <c r="I175" s="442"/>
      <c r="J175" s="442"/>
      <c r="K175" s="442"/>
      <c r="L175" s="442"/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  <c r="X175" s="442"/>
    </row>
    <row r="176" ht="19.5" customHeight="1">
      <c r="A176" s="442"/>
      <c r="B176" s="442"/>
      <c r="C176" s="442"/>
      <c r="D176" s="442"/>
      <c r="E176" s="442"/>
      <c r="F176" s="442"/>
      <c r="G176" s="442"/>
      <c r="H176" s="442"/>
      <c r="I176" s="442"/>
      <c r="J176" s="442"/>
      <c r="K176" s="442"/>
      <c r="L176" s="442"/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  <c r="X176" s="442"/>
    </row>
    <row r="177" ht="19.5" customHeight="1">
      <c r="A177" s="442"/>
      <c r="B177" s="442"/>
      <c r="C177" s="442"/>
      <c r="D177" s="442"/>
      <c r="E177" s="442"/>
      <c r="F177" s="442"/>
      <c r="G177" s="442"/>
      <c r="H177" s="442"/>
      <c r="I177" s="442"/>
      <c r="J177" s="442"/>
      <c r="K177" s="442"/>
      <c r="L177" s="442"/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  <c r="X177" s="442"/>
    </row>
    <row r="178" ht="19.5" customHeight="1">
      <c r="A178" s="442"/>
      <c r="B178" s="442"/>
      <c r="C178" s="442"/>
      <c r="D178" s="442"/>
      <c r="E178" s="442"/>
      <c r="F178" s="442"/>
      <c r="G178" s="442"/>
      <c r="H178" s="442"/>
      <c r="I178" s="442"/>
      <c r="J178" s="442"/>
      <c r="K178" s="442"/>
      <c r="L178" s="442"/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  <c r="X178" s="442"/>
    </row>
    <row r="179" ht="19.5" customHeight="1">
      <c r="A179" s="442"/>
      <c r="B179" s="442"/>
      <c r="C179" s="442"/>
      <c r="D179" s="442"/>
      <c r="E179" s="442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</row>
    <row r="180" ht="19.5" customHeight="1">
      <c r="A180" s="442"/>
      <c r="B180" s="442"/>
      <c r="C180" s="442"/>
      <c r="D180" s="442"/>
      <c r="E180" s="442"/>
      <c r="F180" s="442"/>
      <c r="G180" s="442"/>
      <c r="H180" s="442"/>
      <c r="I180" s="442"/>
      <c r="J180" s="442"/>
      <c r="K180" s="442"/>
      <c r="L180" s="442"/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  <c r="X180" s="442"/>
    </row>
    <row r="181" ht="19.5" customHeight="1">
      <c r="A181" s="442"/>
      <c r="B181" s="442"/>
      <c r="C181" s="442"/>
      <c r="D181" s="442"/>
      <c r="E181" s="442"/>
      <c r="F181" s="442"/>
      <c r="G181" s="442"/>
      <c r="H181" s="442"/>
      <c r="I181" s="442"/>
      <c r="J181" s="442"/>
      <c r="K181" s="442"/>
      <c r="L181" s="442"/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  <c r="X181" s="442"/>
    </row>
    <row r="182" ht="19.5" customHeight="1">
      <c r="A182" s="442"/>
      <c r="B182" s="442"/>
      <c r="C182" s="442"/>
      <c r="D182" s="442"/>
      <c r="E182" s="442"/>
      <c r="F182" s="442"/>
      <c r="G182" s="442"/>
      <c r="H182" s="442"/>
      <c r="I182" s="442"/>
      <c r="J182" s="442"/>
      <c r="K182" s="442"/>
      <c r="L182" s="442"/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  <c r="X182" s="442"/>
    </row>
    <row r="183" ht="19.5" customHeight="1">
      <c r="A183" s="442"/>
      <c r="B183" s="442"/>
      <c r="C183" s="442"/>
      <c r="D183" s="442"/>
      <c r="E183" s="442"/>
      <c r="F183" s="442"/>
      <c r="G183" s="442"/>
      <c r="H183" s="442"/>
      <c r="I183" s="442"/>
      <c r="J183" s="442"/>
      <c r="K183" s="442"/>
      <c r="L183" s="442"/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  <c r="X183" s="442"/>
    </row>
    <row r="184" ht="19.5" customHeight="1">
      <c r="A184" s="442"/>
      <c r="B184" s="442"/>
      <c r="C184" s="442"/>
      <c r="D184" s="442"/>
      <c r="E184" s="442"/>
      <c r="F184" s="442"/>
      <c r="G184" s="442"/>
      <c r="H184" s="442"/>
      <c r="I184" s="442"/>
      <c r="J184" s="442"/>
      <c r="K184" s="442"/>
      <c r="L184" s="442"/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  <c r="X184" s="442"/>
    </row>
    <row r="185" ht="19.5" customHeight="1">
      <c r="A185" s="442"/>
      <c r="B185" s="442"/>
      <c r="C185" s="442"/>
      <c r="D185" s="442"/>
      <c r="E185" s="442"/>
      <c r="F185" s="442"/>
      <c r="G185" s="442"/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  <c r="X185" s="442"/>
    </row>
    <row r="186" ht="19.5" customHeight="1">
      <c r="A186" s="442"/>
      <c r="B186" s="442"/>
      <c r="C186" s="442"/>
      <c r="D186" s="442"/>
      <c r="E186" s="442"/>
      <c r="F186" s="442"/>
      <c r="G186" s="442"/>
      <c r="H186" s="442"/>
      <c r="I186" s="442"/>
      <c r="J186" s="442"/>
      <c r="K186" s="442"/>
      <c r="L186" s="442"/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  <c r="X186" s="442"/>
    </row>
    <row r="187" ht="19.5" customHeight="1">
      <c r="A187" s="442"/>
      <c r="B187" s="442"/>
      <c r="C187" s="442"/>
      <c r="D187" s="442"/>
      <c r="E187" s="442"/>
      <c r="F187" s="442"/>
      <c r="G187" s="442"/>
      <c r="H187" s="442"/>
      <c r="I187" s="442"/>
      <c r="J187" s="442"/>
      <c r="K187" s="442"/>
      <c r="L187" s="442"/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  <c r="X187" s="442"/>
    </row>
    <row r="188" ht="19.5" customHeight="1">
      <c r="A188" s="442"/>
      <c r="B188" s="442"/>
      <c r="C188" s="442"/>
      <c r="D188" s="442"/>
      <c r="E188" s="442"/>
      <c r="F188" s="442"/>
      <c r="G188" s="442"/>
      <c r="H188" s="442"/>
      <c r="I188" s="442"/>
      <c r="J188" s="442"/>
      <c r="K188" s="442"/>
      <c r="L188" s="442"/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  <c r="X188" s="442"/>
    </row>
    <row r="189" ht="19.5" customHeight="1">
      <c r="A189" s="442"/>
      <c r="B189" s="442"/>
      <c r="C189" s="442"/>
      <c r="D189" s="442"/>
      <c r="E189" s="442"/>
      <c r="F189" s="442"/>
      <c r="G189" s="442"/>
      <c r="H189" s="442"/>
      <c r="I189" s="442"/>
      <c r="J189" s="442"/>
      <c r="K189" s="442"/>
      <c r="L189" s="442"/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  <c r="X189" s="442"/>
    </row>
    <row r="190" ht="19.5" customHeight="1">
      <c r="A190" s="442"/>
      <c r="B190" s="442"/>
      <c r="C190" s="442"/>
      <c r="D190" s="442"/>
      <c r="E190" s="442"/>
      <c r="F190" s="442"/>
      <c r="G190" s="442"/>
      <c r="H190" s="442"/>
      <c r="I190" s="442"/>
      <c r="J190" s="442"/>
      <c r="K190" s="442"/>
      <c r="L190" s="442"/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  <c r="X190" s="442"/>
    </row>
    <row r="191" ht="19.5" customHeight="1">
      <c r="A191" s="442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</row>
    <row r="192" ht="19.5" customHeight="1">
      <c r="A192" s="442"/>
      <c r="B192" s="442"/>
      <c r="C192" s="442"/>
      <c r="D192" s="442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</row>
    <row r="193" ht="19.5" customHeight="1">
      <c r="A193" s="442"/>
      <c r="B193" s="442"/>
      <c r="C193" s="442"/>
      <c r="D193" s="442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</row>
    <row r="194" ht="19.5" customHeight="1">
      <c r="A194" s="442"/>
      <c r="B194" s="442"/>
      <c r="C194" s="442"/>
      <c r="D194" s="442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</row>
    <row r="195" ht="19.5" customHeight="1">
      <c r="A195" s="442"/>
      <c r="B195" s="442"/>
      <c r="C195" s="442"/>
      <c r="D195" s="442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</row>
    <row r="196" ht="19.5" customHeight="1">
      <c r="A196" s="442"/>
      <c r="B196" s="442"/>
      <c r="C196" s="442"/>
      <c r="D196" s="442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</row>
    <row r="197" ht="19.5" customHeight="1">
      <c r="A197" s="442"/>
      <c r="B197" s="442"/>
      <c r="C197" s="442"/>
      <c r="D197" s="442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</row>
    <row r="198" ht="19.5" customHeight="1">
      <c r="A198" s="442"/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</row>
    <row r="199" ht="19.5" customHeight="1">
      <c r="A199" s="442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</row>
    <row r="200" ht="19.5" customHeight="1">
      <c r="A200" s="442"/>
      <c r="B200" s="442"/>
      <c r="C200" s="442"/>
      <c r="D200" s="442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</row>
    <row r="201" ht="19.5" customHeight="1">
      <c r="A201" s="442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</row>
    <row r="202" ht="19.5" customHeight="1">
      <c r="A202" s="442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</row>
    <row r="203" ht="19.5" customHeight="1">
      <c r="A203" s="442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</row>
    <row r="204" ht="19.5" customHeight="1">
      <c r="A204" s="442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</row>
    <row r="205" ht="19.5" customHeight="1">
      <c r="A205" s="442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</row>
    <row r="206" ht="19.5" customHeight="1">
      <c r="A206" s="442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</row>
    <row r="207" ht="19.5" customHeight="1">
      <c r="A207" s="442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</row>
    <row r="208" ht="19.5" customHeight="1">
      <c r="A208" s="442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</row>
    <row r="209" ht="19.5" customHeight="1">
      <c r="A209" s="442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</row>
    <row r="210" ht="19.5" customHeight="1">
      <c r="A210" s="442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</row>
    <row r="211" ht="19.5" customHeight="1">
      <c r="A211" s="442"/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</row>
    <row r="212" ht="19.5" customHeight="1">
      <c r="A212" s="442"/>
      <c r="B212" s="442"/>
      <c r="C212" s="442"/>
      <c r="D212" s="442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</row>
    <row r="213" ht="19.5" customHeight="1">
      <c r="A213" s="442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</row>
    <row r="214" ht="19.5" customHeight="1">
      <c r="A214" s="442"/>
      <c r="B214" s="442"/>
      <c r="C214" s="442"/>
      <c r="D214" s="442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</row>
    <row r="215" ht="19.5" customHeight="1">
      <c r="A215" s="442"/>
      <c r="B215" s="442"/>
      <c r="C215" s="442"/>
      <c r="D215" s="442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</row>
    <row r="216" ht="19.5" customHeight="1">
      <c r="A216" s="442"/>
      <c r="B216" s="442"/>
      <c r="C216" s="442"/>
      <c r="D216" s="442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</row>
    <row r="217" ht="19.5" customHeight="1">
      <c r="A217" s="442"/>
      <c r="B217" s="442"/>
      <c r="C217" s="442"/>
      <c r="D217" s="442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</row>
    <row r="218" ht="19.5" customHeight="1">
      <c r="A218" s="442"/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</row>
    <row r="219" ht="19.5" customHeight="1">
      <c r="A219" s="442"/>
      <c r="B219" s="442"/>
      <c r="C219" s="442"/>
      <c r="D219" s="442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</row>
    <row r="220" ht="19.5" customHeight="1">
      <c r="A220" s="442"/>
      <c r="B220" s="442"/>
      <c r="C220" s="442"/>
      <c r="D220" s="442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</row>
    <row r="221" ht="19.5" customHeight="1">
      <c r="A221" s="442"/>
      <c r="B221" s="442"/>
      <c r="C221" s="442"/>
      <c r="D221" s="442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</row>
    <row r="222" ht="19.5" customHeight="1">
      <c r="A222" s="442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</row>
    <row r="223" ht="19.5" customHeight="1">
      <c r="A223" s="442"/>
      <c r="B223" s="442"/>
      <c r="C223" s="442"/>
      <c r="D223" s="442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</row>
    <row r="224" ht="19.5" customHeight="1">
      <c r="A224" s="442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</row>
    <row r="225" ht="19.5" customHeight="1">
      <c r="A225" s="442"/>
      <c r="B225" s="442"/>
      <c r="C225" s="442"/>
      <c r="D225" s="442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</row>
    <row r="226" ht="19.5" customHeight="1">
      <c r="A226" s="442"/>
      <c r="B226" s="442"/>
      <c r="C226" s="442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</row>
    <row r="227" ht="19.5" customHeight="1">
      <c r="A227" s="442"/>
      <c r="B227" s="442"/>
      <c r="C227" s="442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</row>
    <row r="228" ht="19.5" customHeight="1">
      <c r="A228" s="442"/>
      <c r="B228" s="442"/>
      <c r="C228" s="442"/>
      <c r="D228" s="442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</row>
    <row r="229" ht="19.5" customHeight="1">
      <c r="A229" s="442"/>
      <c r="B229" s="442"/>
      <c r="C229" s="442"/>
      <c r="D229" s="442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</row>
    <row r="230" ht="19.5" customHeight="1">
      <c r="A230" s="442"/>
      <c r="B230" s="442"/>
      <c r="C230" s="442"/>
      <c r="D230" s="442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</row>
    <row r="231" ht="19.5" customHeight="1">
      <c r="A231" s="442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</row>
    <row r="232" ht="19.5" customHeight="1">
      <c r="A232" s="442"/>
      <c r="B232" s="442"/>
      <c r="C232" s="442"/>
      <c r="D232" s="442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</row>
    <row r="233" ht="19.5" customHeight="1">
      <c r="A233" s="442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</row>
    <row r="234" ht="19.5" customHeight="1">
      <c r="A234" s="442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</row>
    <row r="235" ht="19.5" customHeight="1">
      <c r="A235" s="442"/>
      <c r="B235" s="442"/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</row>
    <row r="236" ht="19.5" customHeight="1">
      <c r="A236" s="442"/>
      <c r="B236" s="442"/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</row>
    <row r="237" ht="19.5" customHeight="1">
      <c r="A237" s="442"/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</row>
    <row r="238" ht="19.5" customHeight="1">
      <c r="A238" s="442"/>
      <c r="B238" s="442"/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</row>
    <row r="239" ht="19.5" customHeight="1">
      <c r="A239" s="442"/>
      <c r="B239" s="442"/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</row>
    <row r="240" ht="19.5" customHeight="1">
      <c r="A240" s="442"/>
      <c r="B240" s="442"/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</row>
    <row r="241" ht="19.5" customHeight="1">
      <c r="A241" s="442"/>
      <c r="B241" s="442"/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</row>
    <row r="242" ht="19.5" customHeight="1">
      <c r="A242" s="442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</row>
    <row r="243" ht="19.5" customHeight="1">
      <c r="A243" s="442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</row>
    <row r="244" ht="19.5" customHeight="1">
      <c r="A244" s="442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</row>
    <row r="245" ht="19.5" customHeight="1">
      <c r="A245" s="442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</row>
    <row r="246" ht="19.5" customHeight="1">
      <c r="A246" s="442"/>
      <c r="B246" s="442"/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</row>
    <row r="247" ht="19.5" customHeight="1">
      <c r="A247" s="442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</row>
    <row r="248" ht="19.5" customHeight="1">
      <c r="A248" s="442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</row>
    <row r="249" ht="19.5" customHeight="1">
      <c r="A249" s="442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</row>
    <row r="250" ht="19.5" customHeight="1">
      <c r="A250" s="442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</row>
    <row r="251" ht="19.5" customHeight="1">
      <c r="A251" s="442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</row>
    <row r="252" ht="19.5" customHeight="1">
      <c r="A252" s="442"/>
      <c r="B252" s="442"/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</row>
    <row r="253" ht="19.5" customHeight="1">
      <c r="A253" s="442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</row>
    <row r="254" ht="19.5" customHeight="1">
      <c r="A254" s="442"/>
      <c r="B254" s="442"/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</row>
    <row r="255" ht="19.5" customHeight="1">
      <c r="A255" s="442"/>
      <c r="B255" s="442"/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</row>
    <row r="256" ht="19.5" customHeight="1">
      <c r="A256" s="442"/>
      <c r="B256" s="442"/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</row>
    <row r="257" ht="19.5" customHeight="1">
      <c r="A257" s="442"/>
      <c r="B257" s="442"/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</row>
    <row r="258" ht="19.5" customHeight="1">
      <c r="A258" s="442"/>
      <c r="B258" s="442"/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</row>
    <row r="259" ht="19.5" customHeight="1">
      <c r="A259" s="442"/>
      <c r="B259" s="442"/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</row>
    <row r="260" ht="19.5" customHeight="1">
      <c r="A260" s="442"/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</row>
    <row r="261" ht="19.5" customHeight="1">
      <c r="A261" s="442"/>
      <c r="B261" s="442"/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</row>
    <row r="262" ht="19.5" customHeight="1">
      <c r="A262" s="442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</row>
    <row r="263" ht="19.5" customHeight="1">
      <c r="A263" s="442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</row>
    <row r="264" ht="19.5" customHeight="1">
      <c r="A264" s="442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</row>
    <row r="265" ht="19.5" customHeight="1">
      <c r="A265" s="442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</row>
    <row r="266" ht="19.5" customHeight="1">
      <c r="A266" s="442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</row>
    <row r="267" ht="19.5" customHeight="1">
      <c r="A267" s="442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</row>
    <row r="268" ht="19.5" customHeight="1">
      <c r="A268" s="442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</row>
    <row r="269" ht="19.5" customHeight="1">
      <c r="A269" s="442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</row>
    <row r="270" ht="19.5" customHeight="1">
      <c r="A270" s="442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</row>
    <row r="271" ht="19.5" customHeight="1">
      <c r="A271" s="442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</row>
    <row r="272" ht="19.5" customHeight="1">
      <c r="A272" s="442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</row>
    <row r="273" ht="19.5" customHeight="1">
      <c r="A273" s="442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</row>
    <row r="274" ht="19.5" customHeight="1">
      <c r="A274" s="442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</row>
    <row r="275" ht="19.5" customHeight="1">
      <c r="A275" s="442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</row>
    <row r="276" ht="19.5" customHeight="1">
      <c r="A276" s="442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</row>
    <row r="277" ht="19.5" customHeight="1">
      <c r="A277" s="442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</row>
    <row r="278" ht="19.5" customHeight="1">
      <c r="A278" s="442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</row>
    <row r="279" ht="19.5" customHeight="1">
      <c r="A279" s="442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</row>
    <row r="280" ht="19.5" customHeight="1">
      <c r="A280" s="442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</row>
    <row r="281" ht="19.5" customHeight="1">
      <c r="A281" s="442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</row>
    <row r="282" ht="19.5" customHeight="1">
      <c r="A282" s="442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</row>
    <row r="283" ht="19.5" customHeight="1">
      <c r="A283" s="442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</row>
    <row r="284" ht="19.5" customHeight="1">
      <c r="A284" s="442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</row>
    <row r="285" ht="19.5" customHeight="1">
      <c r="A285" s="442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</row>
    <row r="286" ht="19.5" customHeight="1">
      <c r="A286" s="442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</row>
    <row r="287" ht="19.5" customHeight="1">
      <c r="A287" s="442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</row>
    <row r="288" ht="19.5" customHeight="1">
      <c r="A288" s="442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</row>
    <row r="289" ht="19.5" customHeight="1">
      <c r="A289" s="442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</row>
    <row r="290" ht="19.5" customHeight="1">
      <c r="A290" s="442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</row>
    <row r="291" ht="19.5" customHeight="1">
      <c r="A291" s="442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</row>
    <row r="292" ht="19.5" customHeight="1">
      <c r="A292" s="442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</row>
    <row r="293" ht="19.5" customHeight="1">
      <c r="A293" s="442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</row>
    <row r="294" ht="19.5" customHeight="1">
      <c r="A294" s="442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</row>
    <row r="295" ht="19.5" customHeight="1">
      <c r="A295" s="442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</row>
    <row r="296" ht="19.5" customHeight="1">
      <c r="A296" s="442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</row>
    <row r="297" ht="19.5" customHeight="1">
      <c r="A297" s="442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</row>
    <row r="298" ht="19.5" customHeight="1">
      <c r="A298" s="442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</row>
    <row r="299" ht="19.5" customHeight="1">
      <c r="A299" s="442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</row>
    <row r="300" ht="19.5" customHeight="1">
      <c r="A300" s="442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</row>
    <row r="301" ht="19.5" customHeight="1">
      <c r="A301" s="442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</row>
    <row r="302" ht="19.5" customHeight="1">
      <c r="A302" s="442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</row>
    <row r="303" ht="19.5" customHeight="1">
      <c r="A303" s="442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</row>
    <row r="304" ht="19.5" customHeight="1">
      <c r="A304" s="442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</row>
    <row r="305" ht="19.5" customHeight="1">
      <c r="A305" s="442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</row>
    <row r="306" ht="19.5" customHeight="1">
      <c r="A306" s="442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</row>
    <row r="307" ht="19.5" customHeight="1">
      <c r="A307" s="442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</row>
    <row r="308" ht="19.5" customHeight="1">
      <c r="A308" s="442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</row>
    <row r="309" ht="19.5" customHeight="1">
      <c r="A309" s="442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</row>
    <row r="310" ht="19.5" customHeight="1">
      <c r="A310" s="442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</row>
    <row r="311" ht="19.5" customHeight="1">
      <c r="A311" s="442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</row>
    <row r="312" ht="19.5" customHeight="1">
      <c r="A312" s="442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</row>
    <row r="313" ht="19.5" customHeight="1">
      <c r="A313" s="442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</row>
    <row r="314" ht="19.5" customHeight="1">
      <c r="A314" s="442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</row>
    <row r="315" ht="19.5" customHeight="1">
      <c r="A315" s="442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</row>
    <row r="316" ht="19.5" customHeight="1">
      <c r="A316" s="442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</row>
    <row r="317" ht="19.5" customHeight="1">
      <c r="A317" s="442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</row>
    <row r="318" ht="19.5" customHeight="1">
      <c r="A318" s="442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</row>
    <row r="319" ht="19.5" customHeight="1">
      <c r="A319" s="442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</row>
    <row r="320" ht="19.5" customHeight="1">
      <c r="A320" s="442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</row>
    <row r="321" ht="19.5" customHeight="1">
      <c r="A321" s="442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</row>
    <row r="322" ht="19.5" customHeight="1">
      <c r="A322" s="442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</row>
    <row r="323" ht="19.5" customHeight="1">
      <c r="A323" s="442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</row>
    <row r="324" ht="19.5" customHeight="1">
      <c r="A324" s="442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</row>
    <row r="325" ht="19.5" customHeight="1">
      <c r="A325" s="442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</row>
    <row r="326" ht="19.5" customHeight="1">
      <c r="A326" s="442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</row>
    <row r="327" ht="19.5" customHeight="1">
      <c r="A327" s="442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</row>
    <row r="328" ht="19.5" customHeight="1">
      <c r="A328" s="442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</row>
    <row r="329" ht="19.5" customHeight="1">
      <c r="A329" s="442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</row>
    <row r="330" ht="19.5" customHeight="1">
      <c r="A330" s="442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</row>
    <row r="331" ht="19.5" customHeight="1">
      <c r="A331" s="442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</row>
    <row r="332" ht="19.5" customHeight="1">
      <c r="A332" s="442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</row>
    <row r="333" ht="19.5" customHeight="1">
      <c r="A333" s="442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</row>
    <row r="334" ht="19.5" customHeight="1">
      <c r="A334" s="442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</row>
    <row r="335" ht="19.5" customHeight="1">
      <c r="A335" s="442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</row>
    <row r="336" ht="19.5" customHeight="1">
      <c r="A336" s="442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</row>
    <row r="337" ht="19.5" customHeight="1">
      <c r="A337" s="442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</row>
    <row r="338" ht="19.5" customHeight="1">
      <c r="A338" s="442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</row>
    <row r="339" ht="19.5" customHeight="1">
      <c r="A339" s="442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</row>
    <row r="340" ht="19.5" customHeight="1">
      <c r="A340" s="442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</row>
    <row r="341" ht="19.5" customHeight="1">
      <c r="A341" s="442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</row>
    <row r="342" ht="19.5" customHeight="1">
      <c r="A342" s="442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</row>
    <row r="343" ht="19.5" customHeight="1">
      <c r="A343" s="442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</row>
    <row r="344" ht="19.5" customHeight="1">
      <c r="A344" s="442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</row>
    <row r="345" ht="19.5" customHeight="1">
      <c r="A345" s="442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</row>
    <row r="346" ht="19.5" customHeight="1">
      <c r="A346" s="442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</row>
    <row r="347" ht="19.5" customHeight="1">
      <c r="A347" s="442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</row>
    <row r="348" ht="19.5" customHeight="1">
      <c r="A348" s="442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</row>
    <row r="349" ht="19.5" customHeight="1">
      <c r="A349" s="442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</row>
    <row r="350" ht="19.5" customHeight="1">
      <c r="A350" s="442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</row>
    <row r="351" ht="19.5" customHeight="1">
      <c r="A351" s="442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</row>
    <row r="352" ht="19.5" customHeight="1">
      <c r="A352" s="442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</row>
    <row r="353" ht="19.5" customHeight="1">
      <c r="A353" s="442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</row>
    <row r="354" ht="19.5" customHeight="1">
      <c r="A354" s="442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</row>
    <row r="355" ht="19.5" customHeight="1">
      <c r="A355" s="442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</row>
    <row r="356" ht="19.5" customHeight="1">
      <c r="A356" s="442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</row>
    <row r="357" ht="19.5" customHeight="1">
      <c r="A357" s="442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</row>
    <row r="358" ht="19.5" customHeight="1">
      <c r="A358" s="442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</row>
    <row r="359" ht="19.5" customHeight="1">
      <c r="A359" s="442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</row>
    <row r="360" ht="19.5" customHeight="1">
      <c r="A360" s="442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</row>
    <row r="361" ht="19.5" customHeight="1">
      <c r="A361" s="442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</row>
    <row r="362" ht="19.5" customHeight="1">
      <c r="A362" s="442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</row>
    <row r="363" ht="19.5" customHeight="1">
      <c r="A363" s="442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</row>
    <row r="364" ht="19.5" customHeight="1">
      <c r="A364" s="442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</row>
    <row r="365" ht="19.5" customHeight="1">
      <c r="A365" s="442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</row>
    <row r="366" ht="19.5" customHeight="1">
      <c r="A366" s="442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</row>
    <row r="367" ht="19.5" customHeight="1">
      <c r="A367" s="442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</row>
    <row r="368" ht="19.5" customHeight="1">
      <c r="A368" s="442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</row>
    <row r="369" ht="19.5" customHeight="1">
      <c r="A369" s="442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</row>
    <row r="370" ht="19.5" customHeight="1">
      <c r="A370" s="442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</row>
    <row r="371" ht="19.5" customHeight="1">
      <c r="A371" s="442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</row>
    <row r="372" ht="19.5" customHeight="1">
      <c r="A372" s="442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</row>
    <row r="373" ht="19.5" customHeight="1">
      <c r="A373" s="442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</row>
    <row r="374" ht="19.5" customHeight="1">
      <c r="A374" s="442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</row>
    <row r="375" ht="19.5" customHeight="1">
      <c r="A375" s="442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</row>
    <row r="376" ht="19.5" customHeight="1">
      <c r="A376" s="442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</row>
    <row r="377" ht="19.5" customHeight="1">
      <c r="A377" s="442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</row>
    <row r="378" ht="19.5" customHeight="1">
      <c r="A378" s="442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</row>
    <row r="379" ht="19.5" customHeight="1">
      <c r="A379" s="442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</row>
    <row r="380" ht="19.5" customHeight="1">
      <c r="A380" s="442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</row>
    <row r="381" ht="19.5" customHeight="1">
      <c r="A381" s="442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</row>
    <row r="382" ht="19.5" customHeight="1">
      <c r="A382" s="442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</row>
    <row r="383" ht="19.5" customHeight="1">
      <c r="A383" s="442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</row>
    <row r="384" ht="19.5" customHeight="1">
      <c r="A384" s="442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</row>
    <row r="385" ht="19.5" customHeight="1">
      <c r="A385" s="442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</row>
    <row r="386" ht="19.5" customHeight="1">
      <c r="A386" s="442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</row>
    <row r="387" ht="19.5" customHeight="1">
      <c r="A387" s="442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</row>
    <row r="388" ht="19.5" customHeight="1">
      <c r="A388" s="442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</row>
    <row r="389" ht="19.5" customHeight="1">
      <c r="A389" s="442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</row>
    <row r="390" ht="19.5" customHeight="1">
      <c r="A390" s="442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</row>
    <row r="391" ht="19.5" customHeight="1">
      <c r="A391" s="442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</row>
    <row r="392" ht="19.5" customHeight="1">
      <c r="A392" s="442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</row>
    <row r="393" ht="19.5" customHeight="1">
      <c r="A393" s="442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</row>
    <row r="394" ht="19.5" customHeight="1">
      <c r="A394" s="442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</row>
    <row r="395" ht="19.5" customHeight="1">
      <c r="A395" s="442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</row>
    <row r="396" ht="19.5" customHeight="1">
      <c r="A396" s="442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</row>
    <row r="397" ht="19.5" customHeight="1">
      <c r="A397" s="442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</row>
    <row r="398" ht="19.5" customHeight="1">
      <c r="A398" s="442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</row>
    <row r="399" ht="19.5" customHeight="1">
      <c r="A399" s="442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</row>
    <row r="400" ht="19.5" customHeight="1">
      <c r="A400" s="442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</row>
    <row r="401" ht="19.5" customHeight="1">
      <c r="A401" s="442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</row>
    <row r="402" ht="19.5" customHeight="1">
      <c r="A402" s="442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</row>
    <row r="403" ht="19.5" customHeight="1">
      <c r="A403" s="442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</row>
    <row r="404" ht="19.5" customHeight="1">
      <c r="A404" s="442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</row>
    <row r="405" ht="19.5" customHeight="1">
      <c r="A405" s="442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</row>
    <row r="406" ht="19.5" customHeight="1">
      <c r="A406" s="442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</row>
    <row r="407" ht="19.5" customHeight="1">
      <c r="A407" s="442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</row>
    <row r="408" ht="19.5" customHeight="1">
      <c r="A408" s="442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</row>
    <row r="409" ht="19.5" customHeight="1">
      <c r="A409" s="442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</row>
    <row r="410" ht="19.5" customHeight="1">
      <c r="A410" s="442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</row>
    <row r="411" ht="19.5" customHeight="1">
      <c r="A411" s="442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</row>
    <row r="412" ht="19.5" customHeight="1">
      <c r="A412" s="442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</row>
    <row r="413" ht="19.5" customHeight="1">
      <c r="A413" s="442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</row>
    <row r="414" ht="19.5" customHeight="1">
      <c r="A414" s="442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</row>
    <row r="415" ht="19.5" customHeight="1">
      <c r="A415" s="442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</row>
    <row r="416" ht="19.5" customHeight="1">
      <c r="A416" s="442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</row>
    <row r="417" ht="19.5" customHeight="1">
      <c r="A417" s="442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</row>
    <row r="418" ht="19.5" customHeight="1">
      <c r="A418" s="442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</row>
    <row r="419" ht="19.5" customHeight="1">
      <c r="A419" s="442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</row>
    <row r="420" ht="19.5" customHeight="1">
      <c r="A420" s="442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</row>
    <row r="421" ht="19.5" customHeight="1">
      <c r="A421" s="442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</row>
    <row r="422" ht="19.5" customHeight="1">
      <c r="A422" s="442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</row>
    <row r="423" ht="19.5" customHeight="1">
      <c r="A423" s="442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</row>
    <row r="424" ht="19.5" customHeight="1">
      <c r="A424" s="442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</row>
    <row r="425" ht="19.5" customHeight="1">
      <c r="A425" s="442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</row>
    <row r="426" ht="19.5" customHeight="1">
      <c r="A426" s="442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</row>
    <row r="427" ht="19.5" customHeight="1">
      <c r="A427" s="442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</row>
    <row r="428" ht="19.5" customHeight="1">
      <c r="A428" s="442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</row>
    <row r="429" ht="19.5" customHeight="1">
      <c r="A429" s="442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</row>
    <row r="430" ht="19.5" customHeight="1">
      <c r="A430" s="442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</row>
    <row r="431" ht="19.5" customHeight="1">
      <c r="A431" s="442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</row>
    <row r="432" ht="19.5" customHeight="1">
      <c r="A432" s="442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</row>
    <row r="433" ht="19.5" customHeight="1">
      <c r="A433" s="442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</row>
    <row r="434" ht="19.5" customHeight="1">
      <c r="A434" s="442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</row>
    <row r="435" ht="19.5" customHeight="1">
      <c r="A435" s="442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</row>
    <row r="436" ht="19.5" customHeight="1">
      <c r="A436" s="442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</row>
    <row r="437" ht="19.5" customHeight="1">
      <c r="A437" s="442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</row>
    <row r="438" ht="19.5" customHeight="1">
      <c r="A438" s="442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</row>
    <row r="439" ht="19.5" customHeight="1">
      <c r="A439" s="442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</row>
    <row r="440" ht="19.5" customHeight="1">
      <c r="A440" s="442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</row>
    <row r="441" ht="19.5" customHeight="1">
      <c r="A441" s="442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</row>
    <row r="442" ht="19.5" customHeight="1">
      <c r="A442" s="442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</row>
    <row r="443" ht="19.5" customHeight="1">
      <c r="A443" s="442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</row>
    <row r="444" ht="19.5" customHeight="1">
      <c r="A444" s="442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</row>
    <row r="445" ht="19.5" customHeight="1">
      <c r="A445" s="442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</row>
    <row r="446" ht="19.5" customHeight="1">
      <c r="A446" s="442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</row>
    <row r="447" ht="19.5" customHeight="1">
      <c r="A447" s="442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</row>
    <row r="448" ht="19.5" customHeight="1">
      <c r="A448" s="442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</row>
    <row r="449" ht="19.5" customHeight="1">
      <c r="A449" s="442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</row>
    <row r="450" ht="19.5" customHeight="1">
      <c r="A450" s="442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</row>
    <row r="451" ht="19.5" customHeight="1">
      <c r="A451" s="442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</row>
    <row r="452" ht="19.5" customHeight="1">
      <c r="A452" s="442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</row>
    <row r="453" ht="19.5" customHeight="1">
      <c r="A453" s="442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</row>
    <row r="454" ht="19.5" customHeight="1">
      <c r="A454" s="442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</row>
    <row r="455" ht="19.5" customHeight="1">
      <c r="A455" s="442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</row>
    <row r="456" ht="19.5" customHeight="1">
      <c r="A456" s="442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</row>
    <row r="457" ht="19.5" customHeight="1">
      <c r="A457" s="442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</row>
    <row r="458" ht="19.5" customHeight="1">
      <c r="A458" s="442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</row>
    <row r="459" ht="19.5" customHeight="1">
      <c r="A459" s="442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</row>
    <row r="460" ht="19.5" customHeight="1">
      <c r="A460" s="442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</row>
    <row r="461" ht="19.5" customHeight="1">
      <c r="A461" s="442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</row>
    <row r="462" ht="19.5" customHeight="1">
      <c r="A462" s="442"/>
      <c r="B462" s="442"/>
      <c r="C462" s="442"/>
      <c r="D462" s="442"/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</row>
    <row r="463" ht="19.5" customHeight="1">
      <c r="A463" s="442"/>
      <c r="B463" s="442"/>
      <c r="C463" s="442"/>
      <c r="D463" s="442"/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</row>
    <row r="464" ht="19.5" customHeight="1">
      <c r="A464" s="442"/>
      <c r="B464" s="442"/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</row>
    <row r="465" ht="19.5" customHeight="1">
      <c r="A465" s="442"/>
      <c r="B465" s="442"/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</row>
    <row r="466" ht="19.5" customHeight="1">
      <c r="A466" s="442"/>
      <c r="B466" s="442"/>
      <c r="C466" s="442"/>
      <c r="D466" s="442"/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</row>
    <row r="467" ht="19.5" customHeight="1">
      <c r="A467" s="442"/>
      <c r="B467" s="442"/>
      <c r="C467" s="442"/>
      <c r="D467" s="442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</row>
    <row r="468" ht="19.5" customHeight="1">
      <c r="A468" s="442"/>
      <c r="B468" s="442"/>
      <c r="C468" s="442"/>
      <c r="D468" s="442"/>
      <c r="E468" s="442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</row>
    <row r="469" ht="19.5" customHeight="1">
      <c r="A469" s="442"/>
      <c r="B469" s="442"/>
      <c r="C469" s="442"/>
      <c r="D469" s="442"/>
      <c r="E469" s="442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</row>
    <row r="470" ht="19.5" customHeight="1">
      <c r="A470" s="442"/>
      <c r="B470" s="442"/>
      <c r="C470" s="442"/>
      <c r="D470" s="442"/>
      <c r="E470" s="442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</row>
    <row r="471" ht="19.5" customHeight="1">
      <c r="A471" s="442"/>
      <c r="B471" s="442"/>
      <c r="C471" s="442"/>
      <c r="D471" s="442"/>
      <c r="E471" s="442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</row>
    <row r="472" ht="19.5" customHeight="1">
      <c r="A472" s="442"/>
      <c r="B472" s="442"/>
      <c r="C472" s="442"/>
      <c r="D472" s="442"/>
      <c r="E472" s="442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</row>
    <row r="473" ht="19.5" customHeight="1">
      <c r="A473" s="442"/>
      <c r="B473" s="442"/>
      <c r="C473" s="442"/>
      <c r="D473" s="442"/>
      <c r="E473" s="442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</row>
    <row r="474" ht="19.5" customHeight="1">
      <c r="A474" s="442"/>
      <c r="B474" s="442"/>
      <c r="C474" s="442"/>
      <c r="D474" s="442"/>
      <c r="E474" s="442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</row>
    <row r="475" ht="19.5" customHeight="1">
      <c r="A475" s="442"/>
      <c r="B475" s="442"/>
      <c r="C475" s="442"/>
      <c r="D475" s="442"/>
      <c r="E475" s="442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</row>
    <row r="476" ht="19.5" customHeight="1">
      <c r="A476" s="442"/>
      <c r="B476" s="442"/>
      <c r="C476" s="442"/>
      <c r="D476" s="442"/>
      <c r="E476" s="442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</row>
    <row r="477" ht="19.5" customHeight="1">
      <c r="A477" s="442"/>
      <c r="B477" s="442"/>
      <c r="C477" s="442"/>
      <c r="D477" s="442"/>
      <c r="E477" s="442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</row>
    <row r="478" ht="19.5" customHeight="1">
      <c r="A478" s="442"/>
      <c r="B478" s="442"/>
      <c r="C478" s="442"/>
      <c r="D478" s="442"/>
      <c r="E478" s="442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</row>
    <row r="479" ht="19.5" customHeight="1">
      <c r="A479" s="442"/>
      <c r="B479" s="442"/>
      <c r="C479" s="442"/>
      <c r="D479" s="442"/>
      <c r="E479" s="442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</row>
    <row r="480" ht="19.5" customHeight="1">
      <c r="A480" s="442"/>
      <c r="B480" s="442"/>
      <c r="C480" s="442"/>
      <c r="D480" s="442"/>
      <c r="E480" s="442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</row>
    <row r="481" ht="19.5" customHeight="1">
      <c r="A481" s="442"/>
      <c r="B481" s="442"/>
      <c r="C481" s="442"/>
      <c r="D481" s="442"/>
      <c r="E481" s="442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</row>
    <row r="482" ht="19.5" customHeight="1">
      <c r="A482" s="442"/>
      <c r="B482" s="442"/>
      <c r="C482" s="442"/>
      <c r="D482" s="442"/>
      <c r="E482" s="442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</row>
    <row r="483" ht="19.5" customHeight="1">
      <c r="A483" s="442"/>
      <c r="B483" s="442"/>
      <c r="C483" s="442"/>
      <c r="D483" s="442"/>
      <c r="E483" s="442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</row>
    <row r="484" ht="19.5" customHeight="1">
      <c r="A484" s="442"/>
      <c r="B484" s="442"/>
      <c r="C484" s="442"/>
      <c r="D484" s="442"/>
      <c r="E484" s="442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</row>
    <row r="485" ht="19.5" customHeight="1">
      <c r="A485" s="442"/>
      <c r="B485" s="442"/>
      <c r="C485" s="442"/>
      <c r="D485" s="442"/>
      <c r="E485" s="442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</row>
    <row r="486" ht="19.5" customHeight="1">
      <c r="A486" s="442"/>
      <c r="B486" s="442"/>
      <c r="C486" s="442"/>
      <c r="D486" s="442"/>
      <c r="E486" s="442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</row>
    <row r="487" ht="19.5" customHeight="1">
      <c r="A487" s="442"/>
      <c r="B487" s="442"/>
      <c r="C487" s="442"/>
      <c r="D487" s="442"/>
      <c r="E487" s="442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</row>
    <row r="488" ht="19.5" customHeight="1">
      <c r="A488" s="442"/>
      <c r="B488" s="442"/>
      <c r="C488" s="442"/>
      <c r="D488" s="442"/>
      <c r="E488" s="442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</row>
    <row r="489" ht="19.5" customHeight="1">
      <c r="A489" s="442"/>
      <c r="B489" s="442"/>
      <c r="C489" s="442"/>
      <c r="D489" s="442"/>
      <c r="E489" s="442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</row>
    <row r="490" ht="19.5" customHeight="1">
      <c r="A490" s="442"/>
      <c r="B490" s="442"/>
      <c r="C490" s="442"/>
      <c r="D490" s="442"/>
      <c r="E490" s="442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</row>
    <row r="491" ht="19.5" customHeight="1">
      <c r="A491" s="442"/>
      <c r="B491" s="442"/>
      <c r="C491" s="442"/>
      <c r="D491" s="442"/>
      <c r="E491" s="442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</row>
    <row r="492" ht="19.5" customHeight="1">
      <c r="A492" s="442"/>
      <c r="B492" s="442"/>
      <c r="C492" s="442"/>
      <c r="D492" s="442"/>
      <c r="E492" s="442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</row>
    <row r="493" ht="19.5" customHeight="1">
      <c r="A493" s="442"/>
      <c r="B493" s="442"/>
      <c r="C493" s="442"/>
      <c r="D493" s="442"/>
      <c r="E493" s="442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</row>
    <row r="494" ht="19.5" customHeight="1">
      <c r="A494" s="442"/>
      <c r="B494" s="442"/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</row>
    <row r="495" ht="19.5" customHeight="1">
      <c r="A495" s="442"/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</row>
    <row r="496" ht="19.5" customHeight="1">
      <c r="A496" s="442"/>
      <c r="B496" s="442"/>
      <c r="C496" s="442"/>
      <c r="D496" s="442"/>
      <c r="E496" s="442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</row>
    <row r="497" ht="19.5" customHeight="1">
      <c r="A497" s="442"/>
      <c r="B497" s="442"/>
      <c r="C497" s="442"/>
      <c r="D497" s="442"/>
      <c r="E497" s="442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</row>
    <row r="498" ht="19.5" customHeight="1">
      <c r="A498" s="442"/>
      <c r="B498" s="442"/>
      <c r="C498" s="442"/>
      <c r="D498" s="442"/>
      <c r="E498" s="442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</row>
    <row r="499" ht="19.5" customHeight="1">
      <c r="A499" s="442"/>
      <c r="B499" s="442"/>
      <c r="C499" s="442"/>
      <c r="D499" s="442"/>
      <c r="E499" s="442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</row>
    <row r="500" ht="19.5" customHeight="1">
      <c r="A500" s="442"/>
      <c r="B500" s="442"/>
      <c r="C500" s="442"/>
      <c r="D500" s="442"/>
      <c r="E500" s="442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</row>
    <row r="501" ht="19.5" customHeight="1">
      <c r="A501" s="442"/>
      <c r="B501" s="442"/>
      <c r="C501" s="442"/>
      <c r="D501" s="442"/>
      <c r="E501" s="442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</row>
    <row r="502" ht="19.5" customHeight="1">
      <c r="A502" s="442"/>
      <c r="B502" s="442"/>
      <c r="C502" s="442"/>
      <c r="D502" s="442"/>
      <c r="E502" s="442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</row>
    <row r="503" ht="19.5" customHeight="1">
      <c r="A503" s="442"/>
      <c r="B503" s="442"/>
      <c r="C503" s="442"/>
      <c r="D503" s="442"/>
      <c r="E503" s="442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</row>
    <row r="504" ht="19.5" customHeight="1">
      <c r="A504" s="442"/>
      <c r="B504" s="442"/>
      <c r="C504" s="442"/>
      <c r="D504" s="442"/>
      <c r="E504" s="442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</row>
    <row r="505" ht="19.5" customHeight="1">
      <c r="A505" s="442"/>
      <c r="B505" s="442"/>
      <c r="C505" s="442"/>
      <c r="D505" s="442"/>
      <c r="E505" s="442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</row>
    <row r="506" ht="19.5" customHeight="1">
      <c r="A506" s="442"/>
      <c r="B506" s="442"/>
      <c r="C506" s="442"/>
      <c r="D506" s="442"/>
      <c r="E506" s="442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</row>
    <row r="507" ht="19.5" customHeight="1">
      <c r="A507" s="442"/>
      <c r="B507" s="442"/>
      <c r="C507" s="442"/>
      <c r="D507" s="442"/>
      <c r="E507" s="442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</row>
    <row r="508" ht="19.5" customHeight="1">
      <c r="A508" s="442"/>
      <c r="B508" s="442"/>
      <c r="C508" s="442"/>
      <c r="D508" s="442"/>
      <c r="E508" s="442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</row>
    <row r="509" ht="19.5" customHeight="1">
      <c r="A509" s="442"/>
      <c r="B509" s="442"/>
      <c r="C509" s="442"/>
      <c r="D509" s="442"/>
      <c r="E509" s="442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</row>
    <row r="510" ht="19.5" customHeight="1">
      <c r="A510" s="442"/>
      <c r="B510" s="442"/>
      <c r="C510" s="442"/>
      <c r="D510" s="442"/>
      <c r="E510" s="442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</row>
    <row r="511" ht="19.5" customHeight="1">
      <c r="A511" s="442"/>
      <c r="B511" s="442"/>
      <c r="C511" s="442"/>
      <c r="D511" s="442"/>
      <c r="E511" s="442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</row>
    <row r="512" ht="19.5" customHeight="1">
      <c r="A512" s="442"/>
      <c r="B512" s="442"/>
      <c r="C512" s="442"/>
      <c r="D512" s="442"/>
      <c r="E512" s="442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</row>
    <row r="513" ht="19.5" customHeight="1">
      <c r="A513" s="442"/>
      <c r="B513" s="442"/>
      <c r="C513" s="442"/>
      <c r="D513" s="442"/>
      <c r="E513" s="442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</row>
    <row r="514" ht="19.5" customHeight="1">
      <c r="A514" s="442"/>
      <c r="B514" s="442"/>
      <c r="C514" s="442"/>
      <c r="D514" s="442"/>
      <c r="E514" s="442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</row>
    <row r="515" ht="19.5" customHeight="1">
      <c r="A515" s="442"/>
      <c r="B515" s="442"/>
      <c r="C515" s="442"/>
      <c r="D515" s="442"/>
      <c r="E515" s="442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</row>
    <row r="516" ht="19.5" customHeight="1">
      <c r="A516" s="442"/>
      <c r="B516" s="442"/>
      <c r="C516" s="442"/>
      <c r="D516" s="442"/>
      <c r="E516" s="442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</row>
    <row r="517" ht="19.5" customHeight="1">
      <c r="A517" s="442"/>
      <c r="B517" s="442"/>
      <c r="C517" s="442"/>
      <c r="D517" s="442"/>
      <c r="E517" s="442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</row>
    <row r="518" ht="19.5" customHeight="1">
      <c r="A518" s="442"/>
      <c r="B518" s="442"/>
      <c r="C518" s="442"/>
      <c r="D518" s="442"/>
      <c r="E518" s="442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</row>
    <row r="519" ht="19.5" customHeight="1">
      <c r="A519" s="442"/>
      <c r="B519" s="442"/>
      <c r="C519" s="442"/>
      <c r="D519" s="442"/>
      <c r="E519" s="442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</row>
    <row r="520" ht="19.5" customHeight="1">
      <c r="A520" s="442"/>
      <c r="B520" s="442"/>
      <c r="C520" s="442"/>
      <c r="D520" s="442"/>
      <c r="E520" s="442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</row>
    <row r="521" ht="19.5" customHeight="1">
      <c r="A521" s="442"/>
      <c r="B521" s="442"/>
      <c r="C521" s="442"/>
      <c r="D521" s="442"/>
      <c r="E521" s="442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</row>
    <row r="522" ht="19.5" customHeight="1">
      <c r="A522" s="442"/>
      <c r="B522" s="442"/>
      <c r="C522" s="442"/>
      <c r="D522" s="442"/>
      <c r="E522" s="442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</row>
    <row r="523" ht="19.5" customHeight="1">
      <c r="A523" s="442"/>
      <c r="B523" s="442"/>
      <c r="C523" s="442"/>
      <c r="D523" s="442"/>
      <c r="E523" s="442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</row>
    <row r="524" ht="19.5" customHeight="1">
      <c r="A524" s="442"/>
      <c r="B524" s="442"/>
      <c r="C524" s="442"/>
      <c r="D524" s="442"/>
      <c r="E524" s="442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</row>
    <row r="525" ht="19.5" customHeight="1">
      <c r="A525" s="442"/>
      <c r="B525" s="442"/>
      <c r="C525" s="442"/>
      <c r="D525" s="442"/>
      <c r="E525" s="442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</row>
    <row r="526" ht="19.5" customHeight="1">
      <c r="A526" s="442"/>
      <c r="B526" s="442"/>
      <c r="C526" s="442"/>
      <c r="D526" s="442"/>
      <c r="E526" s="442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</row>
    <row r="527" ht="19.5" customHeight="1">
      <c r="A527" s="442"/>
      <c r="B527" s="442"/>
      <c r="C527" s="442"/>
      <c r="D527" s="442"/>
      <c r="E527" s="442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</row>
    <row r="528" ht="19.5" customHeight="1">
      <c r="A528" s="442"/>
      <c r="B528" s="442"/>
      <c r="C528" s="442"/>
      <c r="D528" s="442"/>
      <c r="E528" s="442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</row>
    <row r="529" ht="19.5" customHeight="1">
      <c r="A529" s="442"/>
      <c r="B529" s="442"/>
      <c r="C529" s="442"/>
      <c r="D529" s="442"/>
      <c r="E529" s="442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</row>
    <row r="530" ht="19.5" customHeight="1">
      <c r="A530" s="442"/>
      <c r="B530" s="442"/>
      <c r="C530" s="442"/>
      <c r="D530" s="442"/>
      <c r="E530" s="442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</row>
    <row r="531" ht="19.5" customHeight="1">
      <c r="A531" s="442"/>
      <c r="B531" s="442"/>
      <c r="C531" s="442"/>
      <c r="D531" s="442"/>
      <c r="E531" s="442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</row>
    <row r="532" ht="19.5" customHeight="1">
      <c r="A532" s="442"/>
      <c r="B532" s="442"/>
      <c r="C532" s="442"/>
      <c r="D532" s="442"/>
      <c r="E532" s="442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</row>
    <row r="533" ht="19.5" customHeight="1">
      <c r="A533" s="442"/>
      <c r="B533" s="442"/>
      <c r="C533" s="442"/>
      <c r="D533" s="442"/>
      <c r="E533" s="442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</row>
    <row r="534" ht="19.5" customHeight="1">
      <c r="A534" s="442"/>
      <c r="B534" s="442"/>
      <c r="C534" s="442"/>
      <c r="D534" s="442"/>
      <c r="E534" s="442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</row>
    <row r="535" ht="19.5" customHeight="1">
      <c r="A535" s="442"/>
      <c r="B535" s="442"/>
      <c r="C535" s="442"/>
      <c r="D535" s="442"/>
      <c r="E535" s="442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</row>
    <row r="536" ht="19.5" customHeight="1">
      <c r="A536" s="442"/>
      <c r="B536" s="442"/>
      <c r="C536" s="442"/>
      <c r="D536" s="442"/>
      <c r="E536" s="442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</row>
    <row r="537" ht="19.5" customHeight="1">
      <c r="A537" s="442"/>
      <c r="B537" s="442"/>
      <c r="C537" s="442"/>
      <c r="D537" s="442"/>
      <c r="E537" s="442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</row>
    <row r="538" ht="19.5" customHeight="1">
      <c r="A538" s="442"/>
      <c r="B538" s="442"/>
      <c r="C538" s="442"/>
      <c r="D538" s="442"/>
      <c r="E538" s="442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</row>
    <row r="539" ht="19.5" customHeight="1">
      <c r="A539" s="442"/>
      <c r="B539" s="442"/>
      <c r="C539" s="442"/>
      <c r="D539" s="442"/>
      <c r="E539" s="442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</row>
    <row r="540" ht="19.5" customHeight="1">
      <c r="A540" s="442"/>
      <c r="B540" s="442"/>
      <c r="C540" s="442"/>
      <c r="D540" s="442"/>
      <c r="E540" s="442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</row>
    <row r="541" ht="19.5" customHeight="1">
      <c r="A541" s="442"/>
      <c r="B541" s="442"/>
      <c r="C541" s="442"/>
      <c r="D541" s="442"/>
      <c r="E541" s="442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</row>
    <row r="542" ht="19.5" customHeight="1">
      <c r="A542" s="442"/>
      <c r="B542" s="442"/>
      <c r="C542" s="442"/>
      <c r="D542" s="442"/>
      <c r="E542" s="442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</row>
    <row r="543" ht="19.5" customHeight="1">
      <c r="A543" s="442"/>
      <c r="B543" s="442"/>
      <c r="C543" s="442"/>
      <c r="D543" s="442"/>
      <c r="E543" s="442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</row>
    <row r="544" ht="19.5" customHeight="1">
      <c r="A544" s="442"/>
      <c r="B544" s="442"/>
      <c r="C544" s="442"/>
      <c r="D544" s="442"/>
      <c r="E544" s="442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</row>
    <row r="545" ht="19.5" customHeight="1">
      <c r="A545" s="442"/>
      <c r="B545" s="442"/>
      <c r="C545" s="442"/>
      <c r="D545" s="442"/>
      <c r="E545" s="442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</row>
    <row r="546" ht="19.5" customHeight="1">
      <c r="A546" s="442"/>
      <c r="B546" s="442"/>
      <c r="C546" s="442"/>
      <c r="D546" s="442"/>
      <c r="E546" s="442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</row>
    <row r="547" ht="19.5" customHeight="1">
      <c r="A547" s="442"/>
      <c r="B547" s="442"/>
      <c r="C547" s="442"/>
      <c r="D547" s="442"/>
      <c r="E547" s="442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</row>
    <row r="548" ht="19.5" customHeight="1">
      <c r="A548" s="442"/>
      <c r="B548" s="442"/>
      <c r="C548" s="442"/>
      <c r="D548" s="442"/>
      <c r="E548" s="442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</row>
    <row r="549" ht="19.5" customHeight="1">
      <c r="A549" s="442"/>
      <c r="B549" s="442"/>
      <c r="C549" s="442"/>
      <c r="D549" s="442"/>
      <c r="E549" s="442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</row>
    <row r="550" ht="19.5" customHeight="1">
      <c r="A550" s="442"/>
      <c r="B550" s="442"/>
      <c r="C550" s="442"/>
      <c r="D550" s="442"/>
      <c r="E550" s="442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</row>
    <row r="551" ht="19.5" customHeight="1">
      <c r="A551" s="442"/>
      <c r="B551" s="442"/>
      <c r="C551" s="442"/>
      <c r="D551" s="442"/>
      <c r="E551" s="442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</row>
    <row r="552" ht="19.5" customHeight="1">
      <c r="A552" s="442"/>
      <c r="B552" s="442"/>
      <c r="C552" s="442"/>
      <c r="D552" s="442"/>
      <c r="E552" s="442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</row>
    <row r="553" ht="19.5" customHeight="1">
      <c r="A553" s="442"/>
      <c r="B553" s="442"/>
      <c r="C553" s="442"/>
      <c r="D553" s="442"/>
      <c r="E553" s="442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</row>
    <row r="554" ht="19.5" customHeight="1">
      <c r="A554" s="442"/>
      <c r="B554" s="442"/>
      <c r="C554" s="442"/>
      <c r="D554" s="442"/>
      <c r="E554" s="442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</row>
    <row r="555" ht="19.5" customHeight="1">
      <c r="A555" s="442"/>
      <c r="B555" s="442"/>
      <c r="C555" s="442"/>
      <c r="D555" s="442"/>
      <c r="E555" s="442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</row>
    <row r="556" ht="19.5" customHeight="1">
      <c r="A556" s="442"/>
      <c r="B556" s="442"/>
      <c r="C556" s="442"/>
      <c r="D556" s="442"/>
      <c r="E556" s="442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</row>
    <row r="557" ht="19.5" customHeight="1">
      <c r="A557" s="442"/>
      <c r="B557" s="442"/>
      <c r="C557" s="442"/>
      <c r="D557" s="442"/>
      <c r="E557" s="442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</row>
    <row r="558" ht="19.5" customHeight="1">
      <c r="A558" s="442"/>
      <c r="B558" s="442"/>
      <c r="C558" s="442"/>
      <c r="D558" s="442"/>
      <c r="E558" s="442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</row>
    <row r="559" ht="19.5" customHeight="1">
      <c r="A559" s="442"/>
      <c r="B559" s="442"/>
      <c r="C559" s="442"/>
      <c r="D559" s="442"/>
      <c r="E559" s="442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</row>
    <row r="560" ht="19.5" customHeight="1">
      <c r="A560" s="442"/>
      <c r="B560" s="442"/>
      <c r="C560" s="442"/>
      <c r="D560" s="442"/>
      <c r="E560" s="442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</row>
    <row r="561" ht="19.5" customHeight="1">
      <c r="A561" s="442"/>
      <c r="B561" s="442"/>
      <c r="C561" s="442"/>
      <c r="D561" s="442"/>
      <c r="E561" s="442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</row>
    <row r="562" ht="19.5" customHeight="1">
      <c r="A562" s="442"/>
      <c r="B562" s="442"/>
      <c r="C562" s="442"/>
      <c r="D562" s="442"/>
      <c r="E562" s="442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</row>
    <row r="563" ht="19.5" customHeight="1">
      <c r="A563" s="442"/>
      <c r="B563" s="442"/>
      <c r="C563" s="442"/>
      <c r="D563" s="442"/>
      <c r="E563" s="442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</row>
    <row r="564" ht="19.5" customHeight="1">
      <c r="A564" s="442"/>
      <c r="B564" s="442"/>
      <c r="C564" s="442"/>
      <c r="D564" s="442"/>
      <c r="E564" s="442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</row>
    <row r="565" ht="19.5" customHeight="1">
      <c r="A565" s="442"/>
      <c r="B565" s="442"/>
      <c r="C565" s="442"/>
      <c r="D565" s="442"/>
      <c r="E565" s="442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</row>
    <row r="566" ht="19.5" customHeight="1">
      <c r="A566" s="442"/>
      <c r="B566" s="442"/>
      <c r="C566" s="442"/>
      <c r="D566" s="442"/>
      <c r="E566" s="442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</row>
    <row r="567" ht="19.5" customHeight="1">
      <c r="A567" s="442"/>
      <c r="B567" s="442"/>
      <c r="C567" s="442"/>
      <c r="D567" s="442"/>
      <c r="E567" s="442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</row>
    <row r="568" ht="19.5" customHeight="1">
      <c r="A568" s="442"/>
      <c r="B568" s="442"/>
      <c r="C568" s="442"/>
      <c r="D568" s="442"/>
      <c r="E568" s="442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</row>
    <row r="569" ht="19.5" customHeight="1">
      <c r="A569" s="442"/>
      <c r="B569" s="442"/>
      <c r="C569" s="442"/>
      <c r="D569" s="442"/>
      <c r="E569" s="442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</row>
    <row r="570" ht="19.5" customHeight="1">
      <c r="A570" s="442"/>
      <c r="B570" s="442"/>
      <c r="C570" s="442"/>
      <c r="D570" s="442"/>
      <c r="E570" s="442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</row>
    <row r="571" ht="19.5" customHeight="1">
      <c r="A571" s="442"/>
      <c r="B571" s="442"/>
      <c r="C571" s="442"/>
      <c r="D571" s="442"/>
      <c r="E571" s="442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</row>
    <row r="572" ht="19.5" customHeight="1">
      <c r="A572" s="442"/>
      <c r="B572" s="442"/>
      <c r="C572" s="442"/>
      <c r="D572" s="442"/>
      <c r="E572" s="442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</row>
    <row r="573" ht="19.5" customHeight="1">
      <c r="A573" s="442"/>
      <c r="B573" s="442"/>
      <c r="C573" s="442"/>
      <c r="D573" s="442"/>
      <c r="E573" s="442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</row>
    <row r="574" ht="19.5" customHeight="1">
      <c r="A574" s="442"/>
      <c r="B574" s="442"/>
      <c r="C574" s="442"/>
      <c r="D574" s="442"/>
      <c r="E574" s="442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</row>
    <row r="575" ht="19.5" customHeight="1">
      <c r="A575" s="442"/>
      <c r="B575" s="442"/>
      <c r="C575" s="442"/>
      <c r="D575" s="442"/>
      <c r="E575" s="442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</row>
    <row r="576" ht="19.5" customHeight="1">
      <c r="A576" s="442"/>
      <c r="B576" s="442"/>
      <c r="C576" s="442"/>
      <c r="D576" s="442"/>
      <c r="E576" s="442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</row>
    <row r="577" ht="19.5" customHeight="1">
      <c r="A577" s="442"/>
      <c r="B577" s="442"/>
      <c r="C577" s="442"/>
      <c r="D577" s="442"/>
      <c r="E577" s="442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</row>
    <row r="578" ht="19.5" customHeight="1">
      <c r="A578" s="442"/>
      <c r="B578" s="442"/>
      <c r="C578" s="442"/>
      <c r="D578" s="442"/>
      <c r="E578" s="442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</row>
    <row r="579" ht="19.5" customHeight="1">
      <c r="A579" s="442"/>
      <c r="B579" s="442"/>
      <c r="C579" s="442"/>
      <c r="D579" s="442"/>
      <c r="E579" s="442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</row>
    <row r="580" ht="19.5" customHeight="1">
      <c r="A580" s="442"/>
      <c r="B580" s="442"/>
      <c r="C580" s="442"/>
      <c r="D580" s="442"/>
      <c r="E580" s="442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</row>
    <row r="581" ht="19.5" customHeight="1">
      <c r="A581" s="442"/>
      <c r="B581" s="442"/>
      <c r="C581" s="442"/>
      <c r="D581" s="442"/>
      <c r="E581" s="442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</row>
    <row r="582" ht="19.5" customHeight="1">
      <c r="A582" s="442"/>
      <c r="B582" s="442"/>
      <c r="C582" s="442"/>
      <c r="D582" s="442"/>
      <c r="E582" s="442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</row>
    <row r="583" ht="19.5" customHeight="1">
      <c r="A583" s="442"/>
      <c r="B583" s="442"/>
      <c r="C583" s="442"/>
      <c r="D583" s="442"/>
      <c r="E583" s="442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</row>
    <row r="584" ht="19.5" customHeight="1">
      <c r="A584" s="442"/>
      <c r="B584" s="442"/>
      <c r="C584" s="442"/>
      <c r="D584" s="442"/>
      <c r="E584" s="442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</row>
    <row r="585" ht="19.5" customHeight="1">
      <c r="A585" s="442"/>
      <c r="B585" s="442"/>
      <c r="C585" s="442"/>
      <c r="D585" s="442"/>
      <c r="E585" s="442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</row>
    <row r="586" ht="19.5" customHeight="1">
      <c r="A586" s="442"/>
      <c r="B586" s="442"/>
      <c r="C586" s="442"/>
      <c r="D586" s="442"/>
      <c r="E586" s="442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</row>
    <row r="587" ht="19.5" customHeight="1">
      <c r="A587" s="442"/>
      <c r="B587" s="442"/>
      <c r="C587" s="442"/>
      <c r="D587" s="442"/>
      <c r="E587" s="442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</row>
    <row r="588" ht="19.5" customHeight="1">
      <c r="A588" s="442"/>
      <c r="B588" s="442"/>
      <c r="C588" s="442"/>
      <c r="D588" s="442"/>
      <c r="E588" s="442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</row>
    <row r="589" ht="19.5" customHeight="1">
      <c r="A589" s="442"/>
      <c r="B589" s="442"/>
      <c r="C589" s="442"/>
      <c r="D589" s="442"/>
      <c r="E589" s="442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</row>
    <row r="590" ht="19.5" customHeight="1">
      <c r="A590" s="442"/>
      <c r="B590" s="442"/>
      <c r="C590" s="442"/>
      <c r="D590" s="442"/>
      <c r="E590" s="442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</row>
    <row r="591" ht="19.5" customHeight="1">
      <c r="A591" s="442"/>
      <c r="B591" s="442"/>
      <c r="C591" s="442"/>
      <c r="D591" s="442"/>
      <c r="E591" s="442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</row>
    <row r="592" ht="19.5" customHeight="1">
      <c r="A592" s="442"/>
      <c r="B592" s="442"/>
      <c r="C592" s="442"/>
      <c r="D592" s="442"/>
      <c r="E592" s="442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</row>
    <row r="593" ht="19.5" customHeight="1">
      <c r="A593" s="442"/>
      <c r="B593" s="442"/>
      <c r="C593" s="442"/>
      <c r="D593" s="442"/>
      <c r="E593" s="442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</row>
    <row r="594" ht="19.5" customHeight="1">
      <c r="A594" s="442"/>
      <c r="B594" s="442"/>
      <c r="C594" s="442"/>
      <c r="D594" s="442"/>
      <c r="E594" s="442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</row>
    <row r="595" ht="19.5" customHeight="1">
      <c r="A595" s="442"/>
      <c r="B595" s="442"/>
      <c r="C595" s="442"/>
      <c r="D595" s="442"/>
      <c r="E595" s="442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</row>
    <row r="596" ht="19.5" customHeight="1">
      <c r="A596" s="442"/>
      <c r="B596" s="442"/>
      <c r="C596" s="442"/>
      <c r="D596" s="442"/>
      <c r="E596" s="442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</row>
    <row r="597" ht="19.5" customHeight="1">
      <c r="A597" s="442"/>
      <c r="B597" s="442"/>
      <c r="C597" s="442"/>
      <c r="D597" s="442"/>
      <c r="E597" s="442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</row>
    <row r="598" ht="19.5" customHeight="1">
      <c r="A598" s="442"/>
      <c r="B598" s="442"/>
      <c r="C598" s="442"/>
      <c r="D598" s="442"/>
      <c r="E598" s="442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</row>
    <row r="599" ht="19.5" customHeight="1">
      <c r="A599" s="442"/>
      <c r="B599" s="442"/>
      <c r="C599" s="442"/>
      <c r="D599" s="442"/>
      <c r="E599" s="442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</row>
    <row r="600" ht="19.5" customHeight="1">
      <c r="A600" s="442"/>
      <c r="B600" s="442"/>
      <c r="C600" s="442"/>
      <c r="D600" s="442"/>
      <c r="E600" s="442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</row>
    <row r="601" ht="19.5" customHeight="1">
      <c r="A601" s="442"/>
      <c r="B601" s="442"/>
      <c r="C601" s="442"/>
      <c r="D601" s="442"/>
      <c r="E601" s="442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</row>
    <row r="602" ht="19.5" customHeight="1">
      <c r="A602" s="442"/>
      <c r="B602" s="442"/>
      <c r="C602" s="442"/>
      <c r="D602" s="442"/>
      <c r="E602" s="442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</row>
    <row r="603" ht="19.5" customHeight="1">
      <c r="A603" s="442"/>
      <c r="B603" s="442"/>
      <c r="C603" s="442"/>
      <c r="D603" s="442"/>
      <c r="E603" s="442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</row>
    <row r="604" ht="19.5" customHeight="1">
      <c r="A604" s="442"/>
      <c r="B604" s="442"/>
      <c r="C604" s="442"/>
      <c r="D604" s="442"/>
      <c r="E604" s="442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</row>
    <row r="605" ht="19.5" customHeight="1">
      <c r="A605" s="442"/>
      <c r="B605" s="442"/>
      <c r="C605" s="442"/>
      <c r="D605" s="442"/>
      <c r="E605" s="442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</row>
    <row r="606" ht="19.5" customHeight="1">
      <c r="A606" s="442"/>
      <c r="B606" s="442"/>
      <c r="C606" s="442"/>
      <c r="D606" s="442"/>
      <c r="E606" s="442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</row>
    <row r="607" ht="19.5" customHeight="1">
      <c r="A607" s="442"/>
      <c r="B607" s="442"/>
      <c r="C607" s="442"/>
      <c r="D607" s="442"/>
      <c r="E607" s="442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</row>
    <row r="608" ht="19.5" customHeight="1">
      <c r="A608" s="442"/>
      <c r="B608" s="442"/>
      <c r="C608" s="442"/>
      <c r="D608" s="442"/>
      <c r="E608" s="442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</row>
    <row r="609" ht="19.5" customHeight="1">
      <c r="A609" s="442"/>
      <c r="B609" s="442"/>
      <c r="C609" s="442"/>
      <c r="D609" s="442"/>
      <c r="E609" s="442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</row>
    <row r="610" ht="19.5" customHeight="1">
      <c r="A610" s="442"/>
      <c r="B610" s="442"/>
      <c r="C610" s="442"/>
      <c r="D610" s="442"/>
      <c r="E610" s="442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</row>
    <row r="611" ht="19.5" customHeight="1">
      <c r="A611" s="442"/>
      <c r="B611" s="442"/>
      <c r="C611" s="442"/>
      <c r="D611" s="442"/>
      <c r="E611" s="442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</row>
    <row r="612" ht="19.5" customHeight="1">
      <c r="A612" s="442"/>
      <c r="B612" s="442"/>
      <c r="C612" s="442"/>
      <c r="D612" s="442"/>
      <c r="E612" s="442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</row>
    <row r="613" ht="19.5" customHeight="1">
      <c r="A613" s="442"/>
      <c r="B613" s="442"/>
      <c r="C613" s="442"/>
      <c r="D613" s="442"/>
      <c r="E613" s="442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</row>
    <row r="614" ht="19.5" customHeight="1">
      <c r="A614" s="442"/>
      <c r="B614" s="442"/>
      <c r="C614" s="442"/>
      <c r="D614" s="442"/>
      <c r="E614" s="442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</row>
    <row r="615" ht="19.5" customHeight="1">
      <c r="A615" s="442"/>
      <c r="B615" s="442"/>
      <c r="C615" s="442"/>
      <c r="D615" s="442"/>
      <c r="E615" s="442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</row>
    <row r="616" ht="19.5" customHeight="1">
      <c r="A616" s="442"/>
      <c r="B616" s="442"/>
      <c r="C616" s="442"/>
      <c r="D616" s="442"/>
      <c r="E616" s="442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</row>
    <row r="617" ht="19.5" customHeight="1">
      <c r="A617" s="442"/>
      <c r="B617" s="442"/>
      <c r="C617" s="442"/>
      <c r="D617" s="442"/>
      <c r="E617" s="442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</row>
    <row r="618" ht="19.5" customHeight="1">
      <c r="A618" s="442"/>
      <c r="B618" s="442"/>
      <c r="C618" s="442"/>
      <c r="D618" s="442"/>
      <c r="E618" s="442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</row>
    <row r="619" ht="19.5" customHeight="1">
      <c r="A619" s="442"/>
      <c r="B619" s="442"/>
      <c r="C619" s="442"/>
      <c r="D619" s="442"/>
      <c r="E619" s="442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</row>
    <row r="620" ht="19.5" customHeight="1">
      <c r="A620" s="442"/>
      <c r="B620" s="442"/>
      <c r="C620" s="442"/>
      <c r="D620" s="442"/>
      <c r="E620" s="442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</row>
    <row r="621" ht="19.5" customHeight="1">
      <c r="A621" s="442"/>
      <c r="B621" s="442"/>
      <c r="C621" s="442"/>
      <c r="D621" s="442"/>
      <c r="E621" s="442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</row>
    <row r="622" ht="19.5" customHeight="1">
      <c r="A622" s="442"/>
      <c r="B622" s="442"/>
      <c r="C622" s="442"/>
      <c r="D622" s="442"/>
      <c r="E622" s="442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</row>
    <row r="623" ht="19.5" customHeight="1">
      <c r="A623" s="442"/>
      <c r="B623" s="442"/>
      <c r="C623" s="442"/>
      <c r="D623" s="442"/>
      <c r="E623" s="442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</row>
    <row r="624" ht="19.5" customHeight="1">
      <c r="A624" s="442"/>
      <c r="B624" s="442"/>
      <c r="C624" s="442"/>
      <c r="D624" s="442"/>
      <c r="E624" s="442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</row>
    <row r="625" ht="19.5" customHeight="1">
      <c r="A625" s="442"/>
      <c r="B625" s="442"/>
      <c r="C625" s="442"/>
      <c r="D625" s="442"/>
      <c r="E625" s="442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</row>
    <row r="626" ht="19.5" customHeight="1">
      <c r="A626" s="442"/>
      <c r="B626" s="442"/>
      <c r="C626" s="442"/>
      <c r="D626" s="442"/>
      <c r="E626" s="442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</row>
    <row r="627" ht="19.5" customHeight="1">
      <c r="A627" s="442"/>
      <c r="B627" s="442"/>
      <c r="C627" s="442"/>
      <c r="D627" s="442"/>
      <c r="E627" s="442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</row>
    <row r="628" ht="19.5" customHeight="1">
      <c r="A628" s="442"/>
      <c r="B628" s="442"/>
      <c r="C628" s="442"/>
      <c r="D628" s="442"/>
      <c r="E628" s="442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</row>
    <row r="629" ht="19.5" customHeight="1">
      <c r="A629" s="442"/>
      <c r="B629" s="442"/>
      <c r="C629" s="442"/>
      <c r="D629" s="442"/>
      <c r="E629" s="442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</row>
    <row r="630" ht="19.5" customHeight="1">
      <c r="A630" s="442"/>
      <c r="B630" s="442"/>
      <c r="C630" s="442"/>
      <c r="D630" s="442"/>
      <c r="E630" s="442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</row>
    <row r="631" ht="19.5" customHeight="1">
      <c r="A631" s="442"/>
      <c r="B631" s="442"/>
      <c r="C631" s="442"/>
      <c r="D631" s="442"/>
      <c r="E631" s="442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</row>
    <row r="632" ht="19.5" customHeight="1">
      <c r="A632" s="442"/>
      <c r="B632" s="442"/>
      <c r="C632" s="442"/>
      <c r="D632" s="442"/>
      <c r="E632" s="442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</row>
    <row r="633" ht="19.5" customHeight="1">
      <c r="A633" s="442"/>
      <c r="B633" s="442"/>
      <c r="C633" s="442"/>
      <c r="D633" s="442"/>
      <c r="E633" s="442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</row>
    <row r="634" ht="19.5" customHeight="1">
      <c r="A634" s="442"/>
      <c r="B634" s="442"/>
      <c r="C634" s="442"/>
      <c r="D634" s="442"/>
      <c r="E634" s="442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</row>
    <row r="635" ht="19.5" customHeight="1">
      <c r="A635" s="442"/>
      <c r="B635" s="442"/>
      <c r="C635" s="442"/>
      <c r="D635" s="442"/>
      <c r="E635" s="442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</row>
    <row r="636" ht="19.5" customHeight="1">
      <c r="A636" s="442"/>
      <c r="B636" s="442"/>
      <c r="C636" s="442"/>
      <c r="D636" s="442"/>
      <c r="E636" s="442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</row>
    <row r="637" ht="19.5" customHeight="1">
      <c r="A637" s="442"/>
      <c r="B637" s="442"/>
      <c r="C637" s="442"/>
      <c r="D637" s="442"/>
      <c r="E637" s="442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</row>
    <row r="638" ht="19.5" customHeight="1">
      <c r="A638" s="442"/>
      <c r="B638" s="442"/>
      <c r="C638" s="442"/>
      <c r="D638" s="442"/>
      <c r="E638" s="442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</row>
    <row r="639" ht="19.5" customHeight="1">
      <c r="A639" s="442"/>
      <c r="B639" s="442"/>
      <c r="C639" s="442"/>
      <c r="D639" s="442"/>
      <c r="E639" s="442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</row>
    <row r="640" ht="19.5" customHeight="1">
      <c r="A640" s="442"/>
      <c r="B640" s="442"/>
      <c r="C640" s="442"/>
      <c r="D640" s="442"/>
      <c r="E640" s="442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</row>
    <row r="641" ht="19.5" customHeight="1">
      <c r="A641" s="442"/>
      <c r="B641" s="442"/>
      <c r="C641" s="442"/>
      <c r="D641" s="442"/>
      <c r="E641" s="442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</row>
    <row r="642" ht="19.5" customHeight="1">
      <c r="A642" s="442"/>
      <c r="B642" s="442"/>
      <c r="C642" s="442"/>
      <c r="D642" s="442"/>
      <c r="E642" s="442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</row>
    <row r="643" ht="19.5" customHeight="1">
      <c r="A643" s="442"/>
      <c r="B643" s="442"/>
      <c r="C643" s="442"/>
      <c r="D643" s="442"/>
      <c r="E643" s="442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</row>
    <row r="644" ht="19.5" customHeight="1">
      <c r="A644" s="442"/>
      <c r="B644" s="442"/>
      <c r="C644" s="442"/>
      <c r="D644" s="442"/>
      <c r="E644" s="442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</row>
    <row r="645" ht="19.5" customHeight="1">
      <c r="A645" s="442"/>
      <c r="B645" s="442"/>
      <c r="C645" s="442"/>
      <c r="D645" s="442"/>
      <c r="E645" s="442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</row>
    <row r="646" ht="19.5" customHeight="1">
      <c r="A646" s="442"/>
      <c r="B646" s="442"/>
      <c r="C646" s="442"/>
      <c r="D646" s="442"/>
      <c r="E646" s="442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</row>
    <row r="647" ht="19.5" customHeight="1">
      <c r="A647" s="442"/>
      <c r="B647" s="442"/>
      <c r="C647" s="442"/>
      <c r="D647" s="442"/>
      <c r="E647" s="442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</row>
    <row r="648" ht="19.5" customHeight="1">
      <c r="A648" s="442"/>
      <c r="B648" s="442"/>
      <c r="C648" s="442"/>
      <c r="D648" s="442"/>
      <c r="E648" s="442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</row>
    <row r="649" ht="19.5" customHeight="1">
      <c r="A649" s="442"/>
      <c r="B649" s="442"/>
      <c r="C649" s="442"/>
      <c r="D649" s="442"/>
      <c r="E649" s="442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</row>
    <row r="650" ht="19.5" customHeight="1">
      <c r="A650" s="442"/>
      <c r="B650" s="442"/>
      <c r="C650" s="442"/>
      <c r="D650" s="442"/>
      <c r="E650" s="442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</row>
    <row r="651" ht="19.5" customHeight="1">
      <c r="A651" s="442"/>
      <c r="B651" s="442"/>
      <c r="C651" s="442"/>
      <c r="D651" s="442"/>
      <c r="E651" s="442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</row>
    <row r="652" ht="19.5" customHeight="1">
      <c r="A652" s="442"/>
      <c r="B652" s="442"/>
      <c r="C652" s="442"/>
      <c r="D652" s="442"/>
      <c r="E652" s="442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</row>
    <row r="653" ht="19.5" customHeight="1">
      <c r="A653" s="442"/>
      <c r="B653" s="442"/>
      <c r="C653" s="442"/>
      <c r="D653" s="442"/>
      <c r="E653" s="442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</row>
    <row r="654" ht="19.5" customHeight="1">
      <c r="A654" s="442"/>
      <c r="B654" s="442"/>
      <c r="C654" s="442"/>
      <c r="D654" s="442"/>
      <c r="E654" s="442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</row>
    <row r="655" ht="19.5" customHeight="1">
      <c r="A655" s="442"/>
      <c r="B655" s="442"/>
      <c r="C655" s="442"/>
      <c r="D655" s="442"/>
      <c r="E655" s="442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</row>
    <row r="656" ht="19.5" customHeight="1">
      <c r="A656" s="442"/>
      <c r="B656" s="442"/>
      <c r="C656" s="442"/>
      <c r="D656" s="442"/>
      <c r="E656" s="442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</row>
    <row r="657" ht="19.5" customHeight="1">
      <c r="A657" s="442"/>
      <c r="B657" s="442"/>
      <c r="C657" s="442"/>
      <c r="D657" s="442"/>
      <c r="E657" s="442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</row>
    <row r="658" ht="19.5" customHeight="1">
      <c r="A658" s="442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</row>
    <row r="659" ht="19.5" customHeight="1">
      <c r="A659" s="442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</row>
    <row r="660" ht="19.5" customHeight="1">
      <c r="A660" s="442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</row>
    <row r="661" ht="19.5" customHeight="1">
      <c r="A661" s="442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</row>
    <row r="662" ht="19.5" customHeight="1">
      <c r="A662" s="442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</row>
    <row r="663" ht="19.5" customHeight="1">
      <c r="A663" s="442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</row>
    <row r="664" ht="19.5" customHeight="1">
      <c r="A664" s="442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</row>
    <row r="665" ht="19.5" customHeight="1">
      <c r="A665" s="442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</row>
    <row r="666" ht="19.5" customHeight="1">
      <c r="A666" s="442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</row>
    <row r="667" ht="19.5" customHeight="1">
      <c r="A667" s="442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</row>
    <row r="668" ht="19.5" customHeight="1">
      <c r="A668" s="442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</row>
    <row r="669" ht="19.5" customHeight="1">
      <c r="A669" s="442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</row>
    <row r="670" ht="19.5" customHeight="1">
      <c r="A670" s="442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</row>
    <row r="671" ht="19.5" customHeight="1">
      <c r="A671" s="442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</row>
    <row r="672" ht="19.5" customHeight="1">
      <c r="A672" s="442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</row>
    <row r="673" ht="19.5" customHeight="1">
      <c r="A673" s="442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</row>
    <row r="674" ht="19.5" customHeight="1">
      <c r="A674" s="442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</row>
    <row r="675" ht="19.5" customHeight="1">
      <c r="A675" s="442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</row>
    <row r="676" ht="19.5" customHeight="1">
      <c r="A676" s="442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</row>
    <row r="677" ht="19.5" customHeight="1">
      <c r="A677" s="442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</row>
    <row r="678" ht="19.5" customHeight="1">
      <c r="A678" s="442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</row>
    <row r="679" ht="19.5" customHeight="1">
      <c r="A679" s="442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</row>
    <row r="680" ht="19.5" customHeight="1">
      <c r="A680" s="442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</row>
    <row r="681" ht="19.5" customHeight="1">
      <c r="A681" s="442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</row>
    <row r="682" ht="19.5" customHeight="1">
      <c r="A682" s="442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</row>
    <row r="683" ht="19.5" customHeight="1">
      <c r="A683" s="442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</row>
    <row r="684" ht="19.5" customHeight="1">
      <c r="A684" s="442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</row>
    <row r="685" ht="19.5" customHeight="1">
      <c r="A685" s="442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</row>
    <row r="686" ht="19.5" customHeight="1">
      <c r="A686" s="442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</row>
    <row r="687" ht="19.5" customHeight="1">
      <c r="A687" s="442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</row>
    <row r="688" ht="19.5" customHeight="1">
      <c r="A688" s="442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</row>
    <row r="689" ht="19.5" customHeight="1">
      <c r="A689" s="442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</row>
    <row r="690" ht="19.5" customHeight="1">
      <c r="A690" s="442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</row>
    <row r="691" ht="19.5" customHeight="1">
      <c r="A691" s="442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</row>
    <row r="692" ht="19.5" customHeight="1">
      <c r="A692" s="442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</row>
    <row r="693" ht="19.5" customHeight="1">
      <c r="A693" s="442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</row>
    <row r="694" ht="19.5" customHeight="1">
      <c r="A694" s="442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</row>
    <row r="695" ht="19.5" customHeight="1">
      <c r="A695" s="442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</row>
    <row r="696" ht="19.5" customHeight="1">
      <c r="A696" s="442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</row>
    <row r="697" ht="19.5" customHeight="1">
      <c r="A697" s="442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</row>
    <row r="698" ht="19.5" customHeight="1">
      <c r="A698" s="442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</row>
    <row r="699" ht="19.5" customHeight="1">
      <c r="A699" s="442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</row>
    <row r="700" ht="19.5" customHeight="1">
      <c r="A700" s="442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</row>
    <row r="701" ht="19.5" customHeight="1">
      <c r="A701" s="442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</row>
    <row r="702" ht="19.5" customHeight="1">
      <c r="A702" s="442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</row>
    <row r="703" ht="19.5" customHeight="1">
      <c r="A703" s="442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</row>
    <row r="704" ht="19.5" customHeight="1">
      <c r="A704" s="442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</row>
    <row r="705" ht="19.5" customHeight="1">
      <c r="A705" s="442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</row>
    <row r="706" ht="19.5" customHeight="1">
      <c r="A706" s="442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</row>
    <row r="707" ht="19.5" customHeight="1">
      <c r="A707" s="442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</row>
    <row r="708" ht="19.5" customHeight="1">
      <c r="A708" s="442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</row>
    <row r="709" ht="19.5" customHeight="1">
      <c r="A709" s="442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</row>
    <row r="710" ht="19.5" customHeight="1">
      <c r="A710" s="442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</row>
    <row r="711" ht="19.5" customHeight="1">
      <c r="A711" s="442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</row>
    <row r="712" ht="19.5" customHeight="1">
      <c r="A712" s="442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</row>
    <row r="713" ht="19.5" customHeight="1">
      <c r="A713" s="442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</row>
    <row r="714" ht="19.5" customHeight="1">
      <c r="A714" s="442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</row>
    <row r="715" ht="19.5" customHeight="1">
      <c r="A715" s="442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</row>
    <row r="716" ht="19.5" customHeight="1">
      <c r="A716" s="442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</row>
    <row r="717" ht="19.5" customHeight="1">
      <c r="A717" s="442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</row>
    <row r="718" ht="19.5" customHeight="1">
      <c r="A718" s="442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</row>
    <row r="719" ht="19.5" customHeight="1">
      <c r="A719" s="442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</row>
    <row r="720" ht="19.5" customHeight="1">
      <c r="A720" s="442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</row>
    <row r="721" ht="19.5" customHeight="1">
      <c r="A721" s="442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</row>
    <row r="722" ht="19.5" customHeight="1">
      <c r="A722" s="442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</row>
    <row r="723" ht="19.5" customHeight="1">
      <c r="A723" s="442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</row>
    <row r="724" ht="19.5" customHeight="1">
      <c r="A724" s="442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</row>
    <row r="725" ht="19.5" customHeight="1">
      <c r="A725" s="442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</row>
    <row r="726" ht="19.5" customHeight="1">
      <c r="A726" s="442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</row>
    <row r="727" ht="19.5" customHeight="1">
      <c r="A727" s="442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</row>
    <row r="728" ht="19.5" customHeight="1">
      <c r="A728" s="442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</row>
    <row r="729" ht="19.5" customHeight="1">
      <c r="A729" s="442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</row>
    <row r="730" ht="19.5" customHeight="1">
      <c r="A730" s="442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</row>
    <row r="731" ht="19.5" customHeight="1">
      <c r="A731" s="442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</row>
    <row r="732" ht="19.5" customHeight="1">
      <c r="A732" s="442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</row>
    <row r="733" ht="19.5" customHeight="1">
      <c r="A733" s="442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</row>
    <row r="734" ht="19.5" customHeight="1">
      <c r="A734" s="442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</row>
    <row r="735" ht="19.5" customHeight="1">
      <c r="A735" s="442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</row>
    <row r="736" ht="19.5" customHeight="1">
      <c r="A736" s="442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</row>
    <row r="737" ht="19.5" customHeight="1">
      <c r="A737" s="442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</row>
    <row r="738" ht="19.5" customHeight="1">
      <c r="A738" s="442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</row>
    <row r="739" ht="19.5" customHeight="1">
      <c r="A739" s="442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</row>
    <row r="740" ht="19.5" customHeight="1">
      <c r="A740" s="442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</row>
    <row r="741" ht="19.5" customHeight="1">
      <c r="A741" s="442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</row>
    <row r="742" ht="19.5" customHeight="1">
      <c r="A742" s="442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</row>
    <row r="743" ht="19.5" customHeight="1">
      <c r="A743" s="442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</row>
    <row r="744" ht="19.5" customHeight="1">
      <c r="A744" s="442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</row>
    <row r="745" ht="19.5" customHeight="1">
      <c r="A745" s="442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</row>
    <row r="746" ht="19.5" customHeight="1">
      <c r="A746" s="442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</row>
    <row r="747" ht="19.5" customHeight="1">
      <c r="A747" s="442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</row>
    <row r="748" ht="19.5" customHeight="1">
      <c r="A748" s="442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</row>
    <row r="749" ht="19.5" customHeight="1">
      <c r="A749" s="442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</row>
    <row r="750" ht="19.5" customHeight="1">
      <c r="A750" s="442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</row>
    <row r="751" ht="19.5" customHeight="1">
      <c r="A751" s="442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</row>
    <row r="752" ht="19.5" customHeight="1">
      <c r="A752" s="442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</row>
    <row r="753" ht="19.5" customHeight="1">
      <c r="A753" s="442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</row>
    <row r="754" ht="19.5" customHeight="1">
      <c r="A754" s="442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</row>
    <row r="755" ht="19.5" customHeight="1">
      <c r="A755" s="442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</row>
    <row r="756" ht="19.5" customHeight="1">
      <c r="A756" s="442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</row>
    <row r="757" ht="19.5" customHeight="1">
      <c r="A757" s="442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</row>
    <row r="758" ht="19.5" customHeight="1">
      <c r="A758" s="442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</row>
    <row r="759" ht="19.5" customHeight="1">
      <c r="A759" s="442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</row>
    <row r="760" ht="19.5" customHeight="1">
      <c r="A760" s="442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</row>
    <row r="761" ht="19.5" customHeight="1">
      <c r="A761" s="442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</row>
    <row r="762" ht="19.5" customHeight="1">
      <c r="A762" s="442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</row>
    <row r="763" ht="19.5" customHeight="1">
      <c r="A763" s="442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</row>
    <row r="764" ht="19.5" customHeight="1">
      <c r="A764" s="442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</row>
    <row r="765" ht="19.5" customHeight="1">
      <c r="A765" s="442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</row>
    <row r="766" ht="19.5" customHeight="1">
      <c r="A766" s="442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</row>
    <row r="767" ht="19.5" customHeight="1">
      <c r="A767" s="442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</row>
    <row r="768" ht="19.5" customHeight="1">
      <c r="A768" s="442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</row>
    <row r="769" ht="19.5" customHeight="1">
      <c r="A769" s="442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</row>
    <row r="770" ht="19.5" customHeight="1">
      <c r="A770" s="442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</row>
    <row r="771" ht="19.5" customHeight="1">
      <c r="A771" s="442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</row>
    <row r="772" ht="19.5" customHeight="1">
      <c r="A772" s="442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</row>
    <row r="773" ht="19.5" customHeight="1">
      <c r="A773" s="442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</row>
    <row r="774" ht="19.5" customHeight="1">
      <c r="A774" s="442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</row>
    <row r="775" ht="19.5" customHeight="1">
      <c r="A775" s="442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</row>
    <row r="776" ht="19.5" customHeight="1">
      <c r="A776" s="442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</row>
    <row r="777" ht="19.5" customHeight="1">
      <c r="A777" s="442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</row>
    <row r="778" ht="19.5" customHeight="1">
      <c r="A778" s="442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</row>
    <row r="779" ht="19.5" customHeight="1">
      <c r="A779" s="442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</row>
    <row r="780" ht="19.5" customHeight="1">
      <c r="A780" s="442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</row>
    <row r="781" ht="19.5" customHeight="1">
      <c r="A781" s="442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</row>
    <row r="782" ht="19.5" customHeight="1">
      <c r="A782" s="442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</row>
    <row r="783" ht="19.5" customHeight="1">
      <c r="A783" s="442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</row>
    <row r="784" ht="19.5" customHeight="1">
      <c r="A784" s="442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</row>
    <row r="785" ht="19.5" customHeight="1">
      <c r="A785" s="442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</row>
    <row r="786" ht="19.5" customHeight="1">
      <c r="A786" s="442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</row>
    <row r="787" ht="19.5" customHeight="1">
      <c r="A787" s="442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</row>
    <row r="788" ht="19.5" customHeight="1">
      <c r="A788" s="442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</row>
    <row r="789" ht="19.5" customHeight="1">
      <c r="A789" s="442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</row>
    <row r="790" ht="19.5" customHeight="1">
      <c r="A790" s="442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</row>
    <row r="791" ht="19.5" customHeight="1">
      <c r="A791" s="442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</row>
    <row r="792" ht="19.5" customHeight="1">
      <c r="A792" s="442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</row>
    <row r="793" ht="19.5" customHeight="1">
      <c r="A793" s="442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</row>
    <row r="794" ht="19.5" customHeight="1">
      <c r="A794" s="442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</row>
    <row r="795" ht="19.5" customHeight="1">
      <c r="A795" s="442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</row>
    <row r="796" ht="19.5" customHeight="1">
      <c r="A796" s="442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</row>
    <row r="797" ht="19.5" customHeight="1">
      <c r="A797" s="442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</row>
    <row r="798" ht="19.5" customHeight="1">
      <c r="A798" s="442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</row>
    <row r="799" ht="19.5" customHeight="1">
      <c r="A799" s="442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</row>
    <row r="800" ht="19.5" customHeight="1">
      <c r="A800" s="442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</row>
    <row r="801" ht="19.5" customHeight="1">
      <c r="A801" s="442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</row>
    <row r="802" ht="19.5" customHeight="1">
      <c r="A802" s="442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</row>
    <row r="803" ht="19.5" customHeight="1">
      <c r="A803" s="442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</row>
    <row r="804" ht="19.5" customHeight="1">
      <c r="A804" s="442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</row>
    <row r="805" ht="19.5" customHeight="1">
      <c r="A805" s="442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</row>
    <row r="806" ht="19.5" customHeight="1">
      <c r="A806" s="442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</row>
    <row r="807" ht="19.5" customHeight="1">
      <c r="A807" s="442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</row>
    <row r="808" ht="19.5" customHeight="1">
      <c r="A808" s="442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</row>
    <row r="809" ht="19.5" customHeight="1">
      <c r="A809" s="442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</row>
    <row r="810" ht="19.5" customHeight="1">
      <c r="A810" s="442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</row>
    <row r="811" ht="19.5" customHeight="1">
      <c r="A811" s="442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</row>
    <row r="812" ht="19.5" customHeight="1">
      <c r="A812" s="442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</row>
    <row r="813" ht="19.5" customHeight="1">
      <c r="A813" s="442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</row>
    <row r="814" ht="19.5" customHeight="1">
      <c r="A814" s="442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</row>
    <row r="815" ht="19.5" customHeight="1">
      <c r="A815" s="442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</row>
    <row r="816" ht="19.5" customHeight="1">
      <c r="A816" s="442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</row>
    <row r="817" ht="19.5" customHeight="1">
      <c r="A817" s="442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</row>
    <row r="818" ht="19.5" customHeight="1">
      <c r="A818" s="442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</row>
    <row r="819" ht="19.5" customHeight="1">
      <c r="A819" s="442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</row>
    <row r="820" ht="19.5" customHeight="1">
      <c r="A820" s="442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</row>
    <row r="821" ht="19.5" customHeight="1">
      <c r="A821" s="442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</row>
    <row r="822" ht="19.5" customHeight="1">
      <c r="A822" s="442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</row>
    <row r="823" ht="19.5" customHeight="1">
      <c r="A823" s="442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</row>
    <row r="824" ht="19.5" customHeight="1">
      <c r="A824" s="442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</row>
    <row r="825" ht="19.5" customHeight="1">
      <c r="A825" s="442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</row>
    <row r="826" ht="19.5" customHeight="1">
      <c r="A826" s="442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</row>
    <row r="827" ht="19.5" customHeight="1">
      <c r="A827" s="442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</row>
    <row r="828" ht="19.5" customHeight="1">
      <c r="A828" s="442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</row>
    <row r="829" ht="19.5" customHeight="1">
      <c r="A829" s="442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</row>
    <row r="830" ht="19.5" customHeight="1">
      <c r="A830" s="442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</row>
    <row r="831" ht="19.5" customHeight="1">
      <c r="A831" s="442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</row>
    <row r="832" ht="19.5" customHeight="1">
      <c r="A832" s="442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</row>
    <row r="833" ht="19.5" customHeight="1">
      <c r="A833" s="442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</row>
    <row r="834" ht="19.5" customHeight="1">
      <c r="A834" s="442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</row>
    <row r="835" ht="19.5" customHeight="1">
      <c r="A835" s="442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</row>
    <row r="836" ht="19.5" customHeight="1">
      <c r="A836" s="442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</row>
    <row r="837" ht="19.5" customHeight="1">
      <c r="A837" s="442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</row>
    <row r="838" ht="19.5" customHeight="1">
      <c r="A838" s="442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</row>
    <row r="839" ht="19.5" customHeight="1">
      <c r="A839" s="442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</row>
    <row r="840" ht="19.5" customHeight="1">
      <c r="A840" s="442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</row>
    <row r="841" ht="19.5" customHeight="1">
      <c r="A841" s="442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</row>
    <row r="842" ht="19.5" customHeight="1">
      <c r="A842" s="442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</row>
    <row r="843" ht="19.5" customHeight="1">
      <c r="A843" s="442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</row>
    <row r="844" ht="19.5" customHeight="1">
      <c r="A844" s="442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</row>
    <row r="845" ht="19.5" customHeight="1">
      <c r="A845" s="442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</row>
    <row r="846" ht="19.5" customHeight="1">
      <c r="A846" s="442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</row>
    <row r="847" ht="19.5" customHeight="1">
      <c r="A847" s="442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</row>
    <row r="848" ht="19.5" customHeight="1">
      <c r="A848" s="442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</row>
    <row r="849" ht="19.5" customHeight="1">
      <c r="A849" s="442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</row>
    <row r="850" ht="19.5" customHeight="1">
      <c r="A850" s="442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</row>
    <row r="851" ht="19.5" customHeight="1">
      <c r="A851" s="442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</row>
    <row r="852" ht="19.5" customHeight="1">
      <c r="A852" s="442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</row>
    <row r="853" ht="19.5" customHeight="1">
      <c r="A853" s="442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</row>
    <row r="854" ht="19.5" customHeight="1">
      <c r="A854" s="442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</row>
    <row r="855" ht="19.5" customHeight="1">
      <c r="A855" s="442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</row>
    <row r="856" ht="19.5" customHeight="1">
      <c r="A856" s="442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</row>
    <row r="857" ht="19.5" customHeight="1">
      <c r="A857" s="442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</row>
    <row r="858" ht="19.5" customHeight="1">
      <c r="A858" s="442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</row>
    <row r="859" ht="19.5" customHeight="1">
      <c r="A859" s="442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</row>
    <row r="860" ht="19.5" customHeight="1">
      <c r="A860" s="442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</row>
    <row r="861" ht="19.5" customHeight="1">
      <c r="A861" s="442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</row>
    <row r="862" ht="19.5" customHeight="1">
      <c r="A862" s="442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</row>
    <row r="863" ht="19.5" customHeight="1">
      <c r="A863" s="442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</row>
    <row r="864" ht="19.5" customHeight="1">
      <c r="A864" s="442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</row>
    <row r="865" ht="19.5" customHeight="1">
      <c r="A865" s="442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</row>
    <row r="866" ht="19.5" customHeight="1">
      <c r="A866" s="442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</row>
    <row r="867" ht="19.5" customHeight="1">
      <c r="A867" s="442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</row>
    <row r="868" ht="19.5" customHeight="1">
      <c r="A868" s="442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</row>
    <row r="869" ht="19.5" customHeight="1">
      <c r="A869" s="442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</row>
    <row r="870" ht="19.5" customHeight="1">
      <c r="A870" s="442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</row>
    <row r="871" ht="19.5" customHeight="1">
      <c r="A871" s="442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</row>
    <row r="872" ht="19.5" customHeight="1">
      <c r="A872" s="442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</row>
    <row r="873" ht="19.5" customHeight="1">
      <c r="A873" s="442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</row>
    <row r="874" ht="19.5" customHeight="1">
      <c r="A874" s="442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</row>
    <row r="875" ht="19.5" customHeight="1">
      <c r="A875" s="442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</row>
    <row r="876" ht="19.5" customHeight="1">
      <c r="A876" s="442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</row>
    <row r="877" ht="19.5" customHeight="1">
      <c r="A877" s="442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</row>
    <row r="878" ht="19.5" customHeight="1">
      <c r="A878" s="442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</row>
    <row r="879" ht="19.5" customHeight="1">
      <c r="A879" s="442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</row>
    <row r="880" ht="19.5" customHeight="1">
      <c r="A880" s="442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</row>
    <row r="881" ht="19.5" customHeight="1">
      <c r="A881" s="442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</row>
    <row r="882" ht="19.5" customHeight="1">
      <c r="A882" s="442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</row>
    <row r="883" ht="19.5" customHeight="1">
      <c r="A883" s="442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</row>
    <row r="884" ht="19.5" customHeight="1">
      <c r="A884" s="442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</row>
    <row r="885" ht="19.5" customHeight="1">
      <c r="A885" s="442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</row>
    <row r="886" ht="19.5" customHeight="1">
      <c r="A886" s="442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</row>
    <row r="887" ht="19.5" customHeight="1">
      <c r="A887" s="442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</row>
    <row r="888" ht="19.5" customHeight="1">
      <c r="A888" s="442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</row>
    <row r="889" ht="19.5" customHeight="1">
      <c r="A889" s="442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</row>
    <row r="890" ht="19.5" customHeight="1">
      <c r="A890" s="442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</row>
    <row r="891" ht="19.5" customHeight="1">
      <c r="A891" s="442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</row>
    <row r="892" ht="19.5" customHeight="1">
      <c r="A892" s="442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</row>
    <row r="893" ht="19.5" customHeight="1">
      <c r="A893" s="442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</row>
    <row r="894" ht="19.5" customHeight="1">
      <c r="A894" s="442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</row>
    <row r="895" ht="19.5" customHeight="1">
      <c r="A895" s="442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</row>
    <row r="896" ht="19.5" customHeight="1">
      <c r="A896" s="442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</row>
    <row r="897" ht="19.5" customHeight="1">
      <c r="A897" s="442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</row>
    <row r="898" ht="19.5" customHeight="1">
      <c r="A898" s="442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</row>
    <row r="899" ht="19.5" customHeight="1">
      <c r="A899" s="442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</row>
    <row r="900" ht="19.5" customHeight="1">
      <c r="A900" s="442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</row>
    <row r="901" ht="19.5" customHeight="1">
      <c r="A901" s="442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</row>
    <row r="902" ht="19.5" customHeight="1">
      <c r="A902" s="442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</row>
    <row r="903" ht="19.5" customHeight="1">
      <c r="A903" s="442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</row>
    <row r="904" ht="19.5" customHeight="1">
      <c r="A904" s="442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</row>
    <row r="905" ht="19.5" customHeight="1">
      <c r="A905" s="442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</row>
    <row r="906" ht="19.5" customHeight="1">
      <c r="A906" s="442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</row>
    <row r="907" ht="19.5" customHeight="1">
      <c r="A907" s="442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</row>
    <row r="908" ht="19.5" customHeight="1">
      <c r="A908" s="442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</row>
    <row r="909" ht="19.5" customHeight="1">
      <c r="A909" s="442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</row>
    <row r="910" ht="19.5" customHeight="1">
      <c r="A910" s="442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</row>
    <row r="911" ht="19.5" customHeight="1">
      <c r="A911" s="442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</row>
    <row r="912" ht="19.5" customHeight="1">
      <c r="A912" s="442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</row>
    <row r="913" ht="19.5" customHeight="1">
      <c r="A913" s="442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</row>
    <row r="914" ht="19.5" customHeight="1">
      <c r="A914" s="442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</row>
    <row r="915" ht="19.5" customHeight="1">
      <c r="A915" s="442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</row>
    <row r="916" ht="19.5" customHeight="1">
      <c r="A916" s="442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</row>
    <row r="917" ht="19.5" customHeight="1">
      <c r="A917" s="442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</row>
    <row r="918" ht="19.5" customHeight="1">
      <c r="A918" s="442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</row>
    <row r="919" ht="19.5" customHeight="1">
      <c r="A919" s="442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</row>
    <row r="920" ht="19.5" customHeight="1">
      <c r="A920" s="442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</row>
    <row r="921" ht="19.5" customHeight="1">
      <c r="A921" s="442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</row>
    <row r="922" ht="19.5" customHeight="1">
      <c r="A922" s="442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</row>
    <row r="923" ht="19.5" customHeight="1">
      <c r="A923" s="442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</row>
    <row r="924" ht="19.5" customHeight="1">
      <c r="A924" s="442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</row>
    <row r="925" ht="19.5" customHeight="1">
      <c r="A925" s="442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</row>
    <row r="926" ht="19.5" customHeight="1">
      <c r="A926" s="442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</row>
    <row r="927" ht="19.5" customHeight="1">
      <c r="A927" s="442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</row>
    <row r="928" ht="19.5" customHeight="1">
      <c r="A928" s="442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</row>
    <row r="929" ht="19.5" customHeight="1">
      <c r="A929" s="442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</row>
    <row r="930" ht="19.5" customHeight="1">
      <c r="A930" s="442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</row>
    <row r="931" ht="19.5" customHeight="1">
      <c r="A931" s="442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</row>
    <row r="932" ht="19.5" customHeight="1">
      <c r="A932" s="442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</row>
    <row r="933" ht="19.5" customHeight="1">
      <c r="A933" s="442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</row>
    <row r="934" ht="19.5" customHeight="1">
      <c r="A934" s="442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</row>
    <row r="935" ht="19.5" customHeight="1">
      <c r="A935" s="442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</row>
    <row r="936" ht="19.5" customHeight="1">
      <c r="A936" s="442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</row>
    <row r="937" ht="19.5" customHeight="1">
      <c r="A937" s="442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</row>
    <row r="938" ht="19.5" customHeight="1">
      <c r="A938" s="442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</row>
    <row r="939" ht="19.5" customHeight="1">
      <c r="A939" s="442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</row>
    <row r="940" ht="19.5" customHeight="1">
      <c r="A940" s="442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</row>
    <row r="941" ht="19.5" customHeight="1">
      <c r="A941" s="442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</row>
    <row r="942" ht="19.5" customHeight="1">
      <c r="A942" s="442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</row>
    <row r="943" ht="19.5" customHeight="1">
      <c r="A943" s="442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</row>
    <row r="944" ht="19.5" customHeight="1">
      <c r="A944" s="442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</row>
    <row r="945" ht="19.5" customHeight="1">
      <c r="A945" s="442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</row>
    <row r="946" ht="19.5" customHeight="1">
      <c r="A946" s="442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</row>
    <row r="947" ht="19.5" customHeight="1">
      <c r="A947" s="442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</row>
    <row r="948" ht="19.5" customHeight="1">
      <c r="A948" s="442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</row>
    <row r="949" ht="19.5" customHeight="1">
      <c r="A949" s="442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</row>
    <row r="950" ht="19.5" customHeight="1">
      <c r="A950" s="442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</row>
    <row r="951" ht="19.5" customHeight="1">
      <c r="A951" s="442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</row>
    <row r="952" ht="19.5" customHeight="1">
      <c r="A952" s="442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</row>
    <row r="953" ht="19.5" customHeight="1">
      <c r="A953" s="442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</row>
    <row r="954" ht="19.5" customHeight="1">
      <c r="A954" s="442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</row>
    <row r="955" ht="19.5" customHeight="1">
      <c r="A955" s="442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</row>
    <row r="956" ht="19.5" customHeight="1">
      <c r="A956" s="442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</row>
    <row r="957" ht="19.5" customHeight="1">
      <c r="A957" s="442"/>
      <c r="B957" s="442"/>
      <c r="C957" s="442"/>
      <c r="D957" s="442"/>
      <c r="E957" s="442"/>
      <c r="F957" s="442"/>
      <c r="G957" s="442"/>
      <c r="H957" s="442"/>
      <c r="I957" s="442"/>
      <c r="J957" s="442"/>
      <c r="K957" s="442"/>
      <c r="L957" s="442"/>
      <c r="M957" s="442"/>
      <c r="N957" s="442"/>
      <c r="O957" s="442"/>
      <c r="P957" s="442"/>
      <c r="Q957" s="442"/>
      <c r="R957" s="442"/>
      <c r="S957" s="442"/>
      <c r="T957" s="442"/>
      <c r="U957" s="442"/>
      <c r="V957" s="442"/>
      <c r="W957" s="442"/>
      <c r="X957" s="442"/>
    </row>
    <row r="958" ht="19.5" customHeight="1">
      <c r="A958" s="442"/>
      <c r="B958" s="442"/>
      <c r="C958" s="442"/>
      <c r="D958" s="442"/>
      <c r="E958" s="442"/>
      <c r="F958" s="442"/>
      <c r="G958" s="442"/>
      <c r="H958" s="442"/>
      <c r="I958" s="442"/>
      <c r="J958" s="442"/>
      <c r="K958" s="442"/>
      <c r="L958" s="442"/>
      <c r="M958" s="442"/>
      <c r="N958" s="442"/>
      <c r="O958" s="442"/>
      <c r="P958" s="442"/>
      <c r="Q958" s="442"/>
      <c r="R958" s="442"/>
      <c r="S958" s="442"/>
      <c r="T958" s="442"/>
      <c r="U958" s="442"/>
      <c r="V958" s="442"/>
      <c r="W958" s="442"/>
      <c r="X958" s="442"/>
    </row>
    <row r="959" ht="19.5" customHeight="1">
      <c r="A959" s="442"/>
      <c r="B959" s="442"/>
      <c r="C959" s="442"/>
      <c r="D959" s="442"/>
      <c r="E959" s="442"/>
      <c r="F959" s="442"/>
      <c r="G959" s="442"/>
      <c r="H959" s="442"/>
      <c r="I959" s="442"/>
      <c r="J959" s="442"/>
      <c r="K959" s="442"/>
      <c r="L959" s="442"/>
      <c r="M959" s="442"/>
      <c r="N959" s="442"/>
      <c r="O959" s="442"/>
      <c r="P959" s="442"/>
      <c r="Q959" s="442"/>
      <c r="R959" s="442"/>
      <c r="S959" s="442"/>
      <c r="T959" s="442"/>
      <c r="U959" s="442"/>
      <c r="V959" s="442"/>
      <c r="W959" s="442"/>
      <c r="X959" s="442"/>
    </row>
    <row r="960" ht="19.5" customHeight="1">
      <c r="A960" s="442"/>
      <c r="B960" s="442"/>
      <c r="C960" s="442"/>
      <c r="D960" s="442"/>
      <c r="E960" s="442"/>
      <c r="F960" s="442"/>
      <c r="G960" s="442"/>
      <c r="H960" s="442"/>
      <c r="I960" s="442"/>
      <c r="J960" s="442"/>
      <c r="K960" s="442"/>
      <c r="L960" s="442"/>
      <c r="M960" s="442"/>
      <c r="N960" s="442"/>
      <c r="O960" s="442"/>
      <c r="P960" s="442"/>
      <c r="Q960" s="442"/>
      <c r="R960" s="442"/>
      <c r="S960" s="442"/>
      <c r="T960" s="442"/>
      <c r="U960" s="442"/>
      <c r="V960" s="442"/>
      <c r="W960" s="442"/>
      <c r="X960" s="442"/>
    </row>
    <row r="961" ht="19.5" customHeight="1">
      <c r="A961" s="442"/>
      <c r="B961" s="442"/>
      <c r="C961" s="442"/>
      <c r="D961" s="442"/>
      <c r="E961" s="442"/>
      <c r="F961" s="442"/>
      <c r="G961" s="442"/>
      <c r="H961" s="442"/>
      <c r="I961" s="442"/>
      <c r="J961" s="442"/>
      <c r="K961" s="442"/>
      <c r="L961" s="442"/>
      <c r="M961" s="442"/>
      <c r="N961" s="442"/>
      <c r="O961" s="442"/>
      <c r="P961" s="442"/>
      <c r="Q961" s="442"/>
      <c r="R961" s="442"/>
      <c r="S961" s="442"/>
      <c r="T961" s="442"/>
      <c r="U961" s="442"/>
      <c r="V961" s="442"/>
      <c r="W961" s="442"/>
      <c r="X961" s="442"/>
    </row>
    <row r="962" ht="19.5" customHeight="1">
      <c r="A962" s="442"/>
      <c r="B962" s="442"/>
      <c r="C962" s="442"/>
      <c r="D962" s="442"/>
      <c r="E962" s="442"/>
      <c r="F962" s="442"/>
      <c r="G962" s="442"/>
      <c r="H962" s="442"/>
      <c r="I962" s="442"/>
      <c r="J962" s="442"/>
      <c r="K962" s="442"/>
      <c r="L962" s="442"/>
      <c r="M962" s="442"/>
      <c r="N962" s="442"/>
      <c r="O962" s="442"/>
      <c r="P962" s="442"/>
      <c r="Q962" s="442"/>
      <c r="R962" s="442"/>
      <c r="S962" s="442"/>
      <c r="T962" s="442"/>
      <c r="U962" s="442"/>
      <c r="V962" s="442"/>
      <c r="W962" s="442"/>
      <c r="X962" s="442"/>
    </row>
    <row r="963" ht="19.5" customHeight="1">
      <c r="A963" s="442"/>
      <c r="B963" s="442"/>
      <c r="C963" s="442"/>
      <c r="D963" s="442"/>
      <c r="E963" s="442"/>
      <c r="F963" s="442"/>
      <c r="G963" s="442"/>
      <c r="H963" s="442"/>
      <c r="I963" s="442"/>
      <c r="J963" s="442"/>
      <c r="K963" s="442"/>
      <c r="L963" s="442"/>
      <c r="M963" s="442"/>
      <c r="N963" s="442"/>
      <c r="O963" s="442"/>
      <c r="P963" s="442"/>
      <c r="Q963" s="442"/>
      <c r="R963" s="442"/>
      <c r="S963" s="442"/>
      <c r="T963" s="442"/>
      <c r="U963" s="442"/>
      <c r="V963" s="442"/>
      <c r="W963" s="442"/>
      <c r="X963" s="442"/>
    </row>
    <row r="964" ht="19.5" customHeight="1">
      <c r="A964" s="442"/>
      <c r="B964" s="442"/>
      <c r="C964" s="442"/>
      <c r="D964" s="442"/>
      <c r="E964" s="442"/>
      <c r="F964" s="442"/>
      <c r="G964" s="442"/>
      <c r="H964" s="442"/>
      <c r="I964" s="442"/>
      <c r="J964" s="442"/>
      <c r="K964" s="442"/>
      <c r="L964" s="442"/>
      <c r="M964" s="442"/>
      <c r="N964" s="442"/>
      <c r="O964" s="442"/>
      <c r="P964" s="442"/>
      <c r="Q964" s="442"/>
      <c r="R964" s="442"/>
      <c r="S964" s="442"/>
      <c r="T964" s="442"/>
      <c r="U964" s="442"/>
      <c r="V964" s="442"/>
      <c r="W964" s="442"/>
      <c r="X964" s="442"/>
    </row>
    <row r="965" ht="19.5" customHeight="1">
      <c r="A965" s="442"/>
      <c r="B965" s="442"/>
      <c r="C965" s="442"/>
      <c r="D965" s="442"/>
      <c r="E965" s="442"/>
      <c r="F965" s="442"/>
      <c r="G965" s="442"/>
      <c r="H965" s="442"/>
      <c r="I965" s="442"/>
      <c r="J965" s="442"/>
      <c r="K965" s="442"/>
      <c r="L965" s="442"/>
      <c r="M965" s="442"/>
      <c r="N965" s="442"/>
      <c r="O965" s="442"/>
      <c r="P965" s="442"/>
      <c r="Q965" s="442"/>
      <c r="R965" s="442"/>
      <c r="S965" s="442"/>
      <c r="T965" s="442"/>
      <c r="U965" s="442"/>
      <c r="V965" s="442"/>
      <c r="W965" s="442"/>
      <c r="X965" s="442"/>
    </row>
    <row r="966" ht="19.5" customHeight="1">
      <c r="A966" s="442"/>
      <c r="B966" s="442"/>
      <c r="C966" s="442"/>
      <c r="D966" s="442"/>
      <c r="E966" s="442"/>
      <c r="F966" s="442"/>
      <c r="G966" s="442"/>
      <c r="H966" s="442"/>
      <c r="I966" s="442"/>
      <c r="J966" s="442"/>
      <c r="K966" s="442"/>
      <c r="L966" s="442"/>
      <c r="M966" s="442"/>
      <c r="N966" s="442"/>
      <c r="O966" s="442"/>
      <c r="P966" s="442"/>
      <c r="Q966" s="442"/>
      <c r="R966" s="442"/>
      <c r="S966" s="442"/>
      <c r="T966" s="442"/>
      <c r="U966" s="442"/>
      <c r="V966" s="442"/>
      <c r="W966" s="442"/>
      <c r="X966" s="442"/>
    </row>
    <row r="967" ht="19.5" customHeight="1">
      <c r="A967" s="442"/>
      <c r="B967" s="442"/>
      <c r="C967" s="442"/>
      <c r="D967" s="442"/>
      <c r="E967" s="442"/>
      <c r="F967" s="442"/>
      <c r="G967" s="442"/>
      <c r="H967" s="442"/>
      <c r="I967" s="442"/>
      <c r="J967" s="442"/>
      <c r="K967" s="442"/>
      <c r="L967" s="442"/>
      <c r="M967" s="442"/>
      <c r="N967" s="442"/>
      <c r="O967" s="442"/>
      <c r="P967" s="442"/>
      <c r="Q967" s="442"/>
      <c r="R967" s="442"/>
      <c r="S967" s="442"/>
      <c r="T967" s="442"/>
      <c r="U967" s="442"/>
      <c r="V967" s="442"/>
      <c r="W967" s="442"/>
      <c r="X967" s="442"/>
    </row>
    <row r="968" ht="19.5" customHeight="1">
      <c r="A968" s="442"/>
      <c r="B968" s="442"/>
      <c r="C968" s="442"/>
      <c r="D968" s="442"/>
      <c r="E968" s="442"/>
      <c r="F968" s="442"/>
      <c r="G968" s="442"/>
      <c r="H968" s="442"/>
      <c r="I968" s="442"/>
      <c r="J968" s="442"/>
      <c r="K968" s="442"/>
      <c r="L968" s="442"/>
      <c r="M968" s="442"/>
      <c r="N968" s="442"/>
      <c r="O968" s="442"/>
      <c r="P968" s="442"/>
      <c r="Q968" s="442"/>
      <c r="R968" s="442"/>
      <c r="S968" s="442"/>
      <c r="T968" s="442"/>
      <c r="U968" s="442"/>
      <c r="V968" s="442"/>
      <c r="W968" s="442"/>
      <c r="X968" s="442"/>
    </row>
    <row r="969" ht="19.5" customHeight="1">
      <c r="A969" s="442"/>
      <c r="B969" s="442"/>
      <c r="C969" s="442"/>
      <c r="D969" s="442"/>
      <c r="E969" s="442"/>
      <c r="F969" s="442"/>
      <c r="G969" s="442"/>
      <c r="H969" s="442"/>
      <c r="I969" s="442"/>
      <c r="J969" s="442"/>
      <c r="K969" s="442"/>
      <c r="L969" s="442"/>
      <c r="M969" s="442"/>
      <c r="N969" s="442"/>
      <c r="O969" s="442"/>
      <c r="P969" s="442"/>
      <c r="Q969" s="442"/>
      <c r="R969" s="442"/>
      <c r="S969" s="442"/>
      <c r="T969" s="442"/>
      <c r="U969" s="442"/>
      <c r="V969" s="442"/>
      <c r="W969" s="442"/>
      <c r="X969" s="442"/>
    </row>
    <row r="970" ht="19.5" customHeight="1">
      <c r="A970" s="442"/>
      <c r="B970" s="442"/>
      <c r="C970" s="442"/>
      <c r="D970" s="442"/>
      <c r="E970" s="442"/>
      <c r="F970" s="442"/>
      <c r="G970" s="442"/>
      <c r="H970" s="442"/>
      <c r="I970" s="442"/>
      <c r="J970" s="442"/>
      <c r="K970" s="442"/>
      <c r="L970" s="442"/>
      <c r="M970" s="442"/>
      <c r="N970" s="442"/>
      <c r="O970" s="442"/>
      <c r="P970" s="442"/>
      <c r="Q970" s="442"/>
      <c r="R970" s="442"/>
      <c r="S970" s="442"/>
      <c r="T970" s="442"/>
      <c r="U970" s="442"/>
      <c r="V970" s="442"/>
      <c r="W970" s="442"/>
      <c r="X970" s="442"/>
    </row>
  </sheetData>
  <mergeCells count="1">
    <mergeCell ref="A1:C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</hyperlinks>
  <drawing r:id="rId3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63"/>
    <col customWidth="1" min="2" max="2" width="61.0"/>
    <col customWidth="1" min="3" max="3" width="42.63"/>
  </cols>
  <sheetData>
    <row r="1" ht="38.25" customHeight="1">
      <c r="A1" s="441" t="s">
        <v>1544</v>
      </c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</row>
    <row r="2" ht="25.5" customHeight="1">
      <c r="A2" s="443" t="s">
        <v>1182</v>
      </c>
      <c r="B2" s="443" t="s">
        <v>985</v>
      </c>
      <c r="C2" s="443" t="s">
        <v>1187</v>
      </c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</row>
    <row r="3" ht="19.5" customHeight="1">
      <c r="A3" s="18">
        <f t="shared" ref="A3:A27" si="1">IF(ISBLANK(B3),"",COUNTA($B$3:B3))</f>
        <v>1</v>
      </c>
      <c r="B3" s="448" t="s">
        <v>1545</v>
      </c>
      <c r="C3" s="450" t="s">
        <v>1546</v>
      </c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</row>
    <row r="4" ht="19.5" customHeight="1">
      <c r="A4" s="18">
        <f t="shared" si="1"/>
        <v>2</v>
      </c>
      <c r="B4" s="448" t="s">
        <v>1547</v>
      </c>
      <c r="C4" s="450" t="s">
        <v>1548</v>
      </c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  <c r="S4" s="451"/>
      <c r="T4" s="451"/>
      <c r="U4" s="451"/>
      <c r="V4" s="451"/>
      <c r="W4" s="451"/>
      <c r="X4" s="451"/>
    </row>
    <row r="5" ht="19.5" customHeight="1">
      <c r="A5" s="18">
        <f t="shared" si="1"/>
        <v>3</v>
      </c>
      <c r="B5" s="448" t="s">
        <v>1549</v>
      </c>
      <c r="C5" s="450" t="s">
        <v>1550</v>
      </c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451"/>
    </row>
    <row r="6" ht="19.5" customHeight="1">
      <c r="A6" s="18">
        <f t="shared" si="1"/>
        <v>4</v>
      </c>
      <c r="B6" s="448" t="s">
        <v>1551</v>
      </c>
      <c r="C6" s="450" t="s">
        <v>1552</v>
      </c>
      <c r="D6" s="451"/>
      <c r="E6" s="451"/>
      <c r="F6" s="451"/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X6" s="451"/>
    </row>
    <row r="7" ht="19.5" customHeight="1">
      <c r="A7" s="18">
        <f t="shared" si="1"/>
        <v>5</v>
      </c>
      <c r="B7" s="448" t="s">
        <v>1553</v>
      </c>
      <c r="C7" s="450" t="s">
        <v>1554</v>
      </c>
      <c r="D7" s="451"/>
      <c r="E7" s="451"/>
      <c r="F7" s="451"/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  <c r="V7" s="451"/>
      <c r="W7" s="451"/>
      <c r="X7" s="451"/>
    </row>
    <row r="8" ht="19.5" customHeight="1">
      <c r="A8" s="18">
        <f t="shared" si="1"/>
        <v>6</v>
      </c>
      <c r="B8" s="448" t="s">
        <v>1555</v>
      </c>
      <c r="C8" s="450" t="s">
        <v>1556</v>
      </c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  <c r="O8" s="451"/>
      <c r="P8" s="451"/>
      <c r="Q8" s="451"/>
      <c r="R8" s="451"/>
      <c r="S8" s="451"/>
      <c r="T8" s="451"/>
      <c r="U8" s="451"/>
      <c r="V8" s="451"/>
      <c r="W8" s="451"/>
      <c r="X8" s="451"/>
    </row>
    <row r="9" ht="19.5" customHeight="1">
      <c r="A9" s="18">
        <f t="shared" si="1"/>
        <v>7</v>
      </c>
      <c r="B9" s="448" t="s">
        <v>1557</v>
      </c>
      <c r="C9" s="450" t="s">
        <v>1558</v>
      </c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  <c r="O9" s="451"/>
      <c r="P9" s="451"/>
      <c r="Q9" s="451"/>
      <c r="R9" s="451"/>
      <c r="S9" s="451"/>
      <c r="T9" s="451"/>
      <c r="U9" s="451"/>
      <c r="V9" s="451"/>
      <c r="W9" s="451"/>
      <c r="X9" s="451"/>
    </row>
    <row r="10" ht="19.5" customHeight="1">
      <c r="A10" s="18">
        <f t="shared" si="1"/>
        <v>8</v>
      </c>
      <c r="B10" s="448" t="s">
        <v>1559</v>
      </c>
      <c r="C10" s="450" t="s">
        <v>1560</v>
      </c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  <c r="V10" s="451"/>
      <c r="W10" s="451"/>
      <c r="X10" s="451"/>
    </row>
    <row r="11" ht="19.5" customHeight="1">
      <c r="A11" s="18">
        <f t="shared" si="1"/>
        <v>9</v>
      </c>
      <c r="B11" s="448" t="s">
        <v>1561</v>
      </c>
      <c r="C11" s="450" t="s">
        <v>1562</v>
      </c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</row>
    <row r="12" ht="19.5" customHeight="1">
      <c r="A12" s="18">
        <f t="shared" si="1"/>
        <v>10</v>
      </c>
      <c r="B12" s="448" t="s">
        <v>1563</v>
      </c>
      <c r="C12" s="450" t="s">
        <v>1564</v>
      </c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</row>
    <row r="13" ht="19.5" customHeight="1">
      <c r="A13" s="18">
        <f t="shared" si="1"/>
        <v>11</v>
      </c>
      <c r="B13" s="448" t="s">
        <v>1565</v>
      </c>
      <c r="C13" s="450" t="s">
        <v>1566</v>
      </c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1"/>
      <c r="X13" s="451"/>
    </row>
    <row r="14" ht="19.5" customHeight="1">
      <c r="A14" s="18">
        <f t="shared" si="1"/>
        <v>12</v>
      </c>
      <c r="B14" s="448" t="s">
        <v>1567</v>
      </c>
      <c r="C14" s="450" t="s">
        <v>1568</v>
      </c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1"/>
      <c r="W14" s="451"/>
      <c r="X14" s="451"/>
    </row>
    <row r="15" ht="19.5" customHeight="1">
      <c r="A15" s="18">
        <f t="shared" si="1"/>
        <v>13</v>
      </c>
      <c r="B15" s="448" t="s">
        <v>1569</v>
      </c>
      <c r="C15" s="450" t="s">
        <v>1570</v>
      </c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  <c r="O15" s="451"/>
      <c r="P15" s="451"/>
      <c r="Q15" s="451"/>
      <c r="R15" s="451"/>
      <c r="S15" s="451"/>
      <c r="T15" s="451"/>
      <c r="U15" s="451"/>
      <c r="V15" s="451"/>
      <c r="W15" s="451"/>
      <c r="X15" s="451"/>
    </row>
    <row r="16" ht="19.5" customHeight="1">
      <c r="A16" s="18">
        <f t="shared" si="1"/>
        <v>14</v>
      </c>
      <c r="B16" s="448" t="s">
        <v>1571</v>
      </c>
      <c r="C16" s="450" t="s">
        <v>1572</v>
      </c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</row>
    <row r="17" ht="19.5" customHeight="1">
      <c r="A17" s="18" t="str">
        <f t="shared" si="1"/>
        <v/>
      </c>
      <c r="B17" s="448"/>
      <c r="C17" s="448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  <c r="O17" s="451"/>
      <c r="P17" s="451"/>
      <c r="Q17" s="451"/>
      <c r="R17" s="451"/>
      <c r="S17" s="451"/>
      <c r="T17" s="451"/>
      <c r="U17" s="451"/>
      <c r="V17" s="451"/>
      <c r="W17" s="451"/>
      <c r="X17" s="451"/>
    </row>
    <row r="18" ht="19.5" customHeight="1">
      <c r="A18" s="18" t="str">
        <f t="shared" si="1"/>
        <v/>
      </c>
      <c r="B18" s="448"/>
      <c r="C18" s="448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  <c r="O18" s="451"/>
      <c r="P18" s="451"/>
      <c r="Q18" s="451"/>
      <c r="R18" s="451"/>
      <c r="S18" s="451"/>
      <c r="T18" s="451"/>
      <c r="U18" s="451"/>
      <c r="V18" s="451"/>
      <c r="W18" s="451"/>
      <c r="X18" s="451"/>
    </row>
    <row r="19" ht="19.5" customHeight="1">
      <c r="A19" s="18" t="str">
        <f t="shared" si="1"/>
        <v/>
      </c>
      <c r="B19" s="448"/>
      <c r="C19" s="448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1"/>
      <c r="X19" s="451"/>
    </row>
    <row r="20" ht="19.5" customHeight="1">
      <c r="A20" s="18" t="str">
        <f t="shared" si="1"/>
        <v/>
      </c>
      <c r="B20" s="448"/>
      <c r="C20" s="448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  <c r="O20" s="451"/>
      <c r="P20" s="451"/>
      <c r="Q20" s="451"/>
      <c r="R20" s="451"/>
      <c r="S20" s="451"/>
      <c r="T20" s="451"/>
      <c r="U20" s="451"/>
      <c r="V20" s="451"/>
      <c r="W20" s="451"/>
      <c r="X20" s="451"/>
    </row>
    <row r="21" ht="19.5" customHeight="1">
      <c r="A21" s="18" t="str">
        <f t="shared" si="1"/>
        <v/>
      </c>
      <c r="B21" s="448"/>
      <c r="C21" s="448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  <c r="O21" s="451"/>
      <c r="P21" s="451"/>
      <c r="Q21" s="451"/>
      <c r="R21" s="451"/>
      <c r="S21" s="451"/>
      <c r="T21" s="451"/>
      <c r="U21" s="451"/>
      <c r="V21" s="451"/>
      <c r="W21" s="451"/>
      <c r="X21" s="451"/>
    </row>
    <row r="22" ht="19.5" customHeight="1">
      <c r="A22" s="18" t="str">
        <f t="shared" si="1"/>
        <v/>
      </c>
      <c r="B22" s="448"/>
      <c r="C22" s="448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</row>
    <row r="23" ht="19.5" customHeight="1">
      <c r="A23" s="18" t="str">
        <f t="shared" si="1"/>
        <v/>
      </c>
      <c r="B23" s="448"/>
      <c r="C23" s="448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  <c r="O23" s="451"/>
      <c r="P23" s="451"/>
      <c r="Q23" s="451"/>
      <c r="R23" s="451"/>
      <c r="S23" s="451"/>
      <c r="T23" s="451"/>
      <c r="U23" s="451"/>
      <c r="V23" s="451"/>
      <c r="W23" s="451"/>
      <c r="X23" s="451"/>
    </row>
    <row r="24" ht="19.5" customHeight="1">
      <c r="A24" s="18" t="str">
        <f t="shared" si="1"/>
        <v/>
      </c>
      <c r="B24" s="448"/>
      <c r="C24" s="448"/>
      <c r="D24" s="451"/>
      <c r="E24" s="451"/>
      <c r="F24" s="451"/>
      <c r="G24" s="451"/>
      <c r="H24" s="451"/>
      <c r="I24" s="451"/>
      <c r="J24" s="451"/>
      <c r="K24" s="451"/>
      <c r="L24" s="451"/>
      <c r="M24" s="451"/>
      <c r="N24" s="451"/>
      <c r="O24" s="451"/>
      <c r="P24" s="451"/>
      <c r="Q24" s="451"/>
      <c r="R24" s="451"/>
      <c r="S24" s="451"/>
      <c r="T24" s="451"/>
      <c r="U24" s="451"/>
      <c r="V24" s="451"/>
      <c r="W24" s="451"/>
      <c r="X24" s="451"/>
    </row>
    <row r="25" ht="19.5" customHeight="1">
      <c r="A25" s="18" t="str">
        <f t="shared" si="1"/>
        <v/>
      </c>
      <c r="B25" s="448"/>
      <c r="C25" s="448"/>
      <c r="D25" s="451"/>
      <c r="E25" s="451"/>
      <c r="F25" s="451"/>
      <c r="G25" s="451"/>
      <c r="H25" s="451"/>
      <c r="I25" s="451"/>
      <c r="J25" s="451"/>
      <c r="K25" s="451"/>
      <c r="L25" s="451"/>
      <c r="M25" s="451"/>
      <c r="N25" s="451"/>
      <c r="O25" s="451"/>
      <c r="P25" s="451"/>
      <c r="Q25" s="451"/>
      <c r="R25" s="451"/>
      <c r="S25" s="451"/>
      <c r="T25" s="451"/>
      <c r="U25" s="451"/>
      <c r="V25" s="451"/>
      <c r="W25" s="451"/>
      <c r="X25" s="451"/>
    </row>
    <row r="26" ht="19.5" customHeight="1">
      <c r="A26" s="18" t="str">
        <f t="shared" si="1"/>
        <v/>
      </c>
      <c r="B26" s="448"/>
      <c r="C26" s="448"/>
      <c r="D26" s="451"/>
      <c r="E26" s="451"/>
      <c r="F26" s="451"/>
      <c r="G26" s="451"/>
      <c r="H26" s="451"/>
      <c r="I26" s="451"/>
      <c r="J26" s="451"/>
      <c r="K26" s="451"/>
      <c r="L26" s="451"/>
      <c r="M26" s="451"/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/>
    </row>
    <row r="27" ht="19.5" customHeight="1">
      <c r="A27" s="18" t="str">
        <f t="shared" si="1"/>
        <v/>
      </c>
      <c r="B27" s="448"/>
      <c r="C27" s="448"/>
      <c r="D27" s="451"/>
      <c r="E27" s="451"/>
      <c r="F27" s="451"/>
      <c r="G27" s="451"/>
      <c r="H27" s="451"/>
      <c r="I27" s="451"/>
      <c r="J27" s="451"/>
      <c r="K27" s="451"/>
      <c r="L27" s="451"/>
      <c r="M27" s="451"/>
      <c r="N27" s="451"/>
      <c r="O27" s="451"/>
      <c r="P27" s="451"/>
      <c r="Q27" s="451"/>
      <c r="R27" s="451"/>
      <c r="S27" s="451"/>
      <c r="T27" s="451"/>
      <c r="U27" s="451"/>
      <c r="V27" s="451"/>
      <c r="W27" s="451"/>
      <c r="X27" s="451"/>
    </row>
    <row r="28" ht="19.5" customHeight="1">
      <c r="A28" s="442"/>
      <c r="B28" s="442"/>
      <c r="C28" s="442"/>
      <c r="D28" s="442"/>
      <c r="E28" s="442"/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</row>
    <row r="29" ht="19.5" customHeight="1">
      <c r="A29" s="442"/>
      <c r="B29" s="442"/>
      <c r="C29" s="442"/>
      <c r="D29" s="442"/>
      <c r="E29" s="442"/>
      <c r="F29" s="442"/>
      <c r="G29" s="442"/>
      <c r="H29" s="442"/>
      <c r="I29" s="442"/>
      <c r="J29" s="442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</row>
    <row r="30" ht="19.5" customHeight="1">
      <c r="A30" s="442"/>
      <c r="B30" s="442"/>
      <c r="C30" s="442"/>
      <c r="D30" s="442"/>
      <c r="E30" s="442"/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</row>
    <row r="31" ht="19.5" customHeight="1">
      <c r="A31" s="442"/>
      <c r="B31" s="442"/>
      <c r="C31" s="442"/>
      <c r="D31" s="442"/>
      <c r="E31" s="442"/>
      <c r="F31" s="442"/>
      <c r="G31" s="442"/>
      <c r="H31" s="442"/>
      <c r="I31" s="442"/>
      <c r="J31" s="442"/>
      <c r="K31" s="442"/>
      <c r="L31" s="442"/>
      <c r="M31" s="442"/>
      <c r="N31" s="442"/>
      <c r="O31" s="442"/>
      <c r="P31" s="442"/>
      <c r="Q31" s="442"/>
      <c r="R31" s="442"/>
      <c r="S31" s="442"/>
      <c r="T31" s="442"/>
      <c r="U31" s="442"/>
      <c r="V31" s="442"/>
      <c r="W31" s="442"/>
      <c r="X31" s="442"/>
    </row>
    <row r="32" ht="19.5" customHeight="1">
      <c r="A32" s="442"/>
      <c r="B32" s="442"/>
      <c r="C32" s="442"/>
      <c r="D32" s="442"/>
      <c r="E32" s="442"/>
      <c r="F32" s="442"/>
      <c r="G32" s="442"/>
      <c r="H32" s="442"/>
      <c r="I32" s="442"/>
      <c r="J32" s="442"/>
      <c r="K32" s="442"/>
      <c r="L32" s="442"/>
      <c r="M32" s="442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442"/>
    </row>
    <row r="33" ht="19.5" customHeight="1">
      <c r="A33" s="442"/>
      <c r="B33" s="442"/>
      <c r="C33" s="442"/>
      <c r="D33" s="442"/>
      <c r="E33" s="442"/>
      <c r="F33" s="442"/>
      <c r="G33" s="442"/>
      <c r="H33" s="442"/>
      <c r="I33" s="442"/>
      <c r="J33" s="442"/>
      <c r="K33" s="442"/>
      <c r="L33" s="442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42"/>
    </row>
    <row r="34" ht="19.5" customHeight="1">
      <c r="A34" s="442"/>
      <c r="B34" s="442"/>
      <c r="C34" s="442"/>
      <c r="D34" s="442"/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</row>
    <row r="35" ht="19.5" customHeight="1">
      <c r="A35" s="442"/>
      <c r="B35" s="442"/>
      <c r="C35" s="442"/>
      <c r="D35" s="442"/>
      <c r="E35" s="442"/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</row>
    <row r="36" ht="19.5" customHeight="1">
      <c r="A36" s="442"/>
      <c r="B36" s="442"/>
      <c r="C36" s="442"/>
      <c r="D36" s="442"/>
      <c r="E36" s="442"/>
      <c r="F36" s="442"/>
      <c r="G36" s="442"/>
      <c r="H36" s="442"/>
      <c r="I36" s="442"/>
      <c r="J36" s="442"/>
      <c r="K36" s="442"/>
      <c r="L36" s="442"/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</row>
    <row r="37" ht="19.5" customHeight="1">
      <c r="A37" s="442"/>
      <c r="B37" s="442"/>
      <c r="C37" s="442"/>
      <c r="D37" s="442"/>
      <c r="E37" s="442"/>
      <c r="F37" s="442"/>
      <c r="G37" s="442"/>
      <c r="H37" s="442"/>
      <c r="I37" s="442"/>
      <c r="J37" s="442"/>
      <c r="K37" s="442"/>
      <c r="L37" s="442"/>
      <c r="M37" s="442"/>
      <c r="N37" s="442"/>
      <c r="O37" s="442"/>
      <c r="P37" s="442"/>
      <c r="Q37" s="442"/>
      <c r="R37" s="442"/>
      <c r="S37" s="442"/>
      <c r="T37" s="442"/>
      <c r="U37" s="442"/>
      <c r="V37" s="442"/>
      <c r="W37" s="442"/>
      <c r="X37" s="442"/>
    </row>
    <row r="38" ht="19.5" customHeight="1">
      <c r="A38" s="442"/>
      <c r="B38" s="442"/>
      <c r="C38" s="442"/>
      <c r="D38" s="442"/>
      <c r="E38" s="442"/>
      <c r="F38" s="442"/>
      <c r="G38" s="442"/>
      <c r="H38" s="442"/>
      <c r="I38" s="442"/>
      <c r="J38" s="442"/>
      <c r="K38" s="442"/>
      <c r="L38" s="442"/>
      <c r="M38" s="442"/>
      <c r="N38" s="442"/>
      <c r="O38" s="442"/>
      <c r="P38" s="442"/>
      <c r="Q38" s="442"/>
      <c r="R38" s="442"/>
      <c r="S38" s="442"/>
      <c r="T38" s="442"/>
      <c r="U38" s="442"/>
      <c r="V38" s="442"/>
      <c r="W38" s="442"/>
      <c r="X38" s="442"/>
    </row>
    <row r="39" ht="19.5" customHeight="1">
      <c r="A39" s="442"/>
      <c r="B39" s="442"/>
      <c r="C39" s="442"/>
      <c r="D39" s="442"/>
      <c r="E39" s="442"/>
      <c r="F39" s="442"/>
      <c r="G39" s="442"/>
      <c r="H39" s="442"/>
      <c r="I39" s="442"/>
      <c r="J39" s="442"/>
      <c r="K39" s="442"/>
      <c r="L39" s="442"/>
      <c r="M39" s="442"/>
      <c r="N39" s="442"/>
      <c r="O39" s="442"/>
      <c r="P39" s="442"/>
      <c r="Q39" s="442"/>
      <c r="R39" s="442"/>
      <c r="S39" s="442"/>
      <c r="T39" s="442"/>
      <c r="U39" s="442"/>
      <c r="V39" s="442"/>
      <c r="W39" s="442"/>
      <c r="X39" s="442"/>
    </row>
    <row r="40" ht="19.5" customHeight="1">
      <c r="A40" s="442"/>
      <c r="B40" s="442"/>
      <c r="C40" s="442"/>
      <c r="D40" s="442"/>
      <c r="E40" s="442"/>
      <c r="F40" s="442"/>
      <c r="G40" s="442"/>
      <c r="H40" s="442"/>
      <c r="I40" s="442"/>
      <c r="J40" s="442"/>
      <c r="K40" s="442"/>
      <c r="L40" s="442"/>
      <c r="M40" s="442"/>
      <c r="N40" s="442"/>
      <c r="O40" s="442"/>
      <c r="P40" s="442"/>
      <c r="Q40" s="442"/>
      <c r="R40" s="442"/>
      <c r="S40" s="442"/>
      <c r="T40" s="442"/>
      <c r="U40" s="442"/>
      <c r="V40" s="442"/>
      <c r="W40" s="442"/>
      <c r="X40" s="442"/>
    </row>
    <row r="41" ht="19.5" customHeight="1">
      <c r="A41" s="442"/>
      <c r="B41" s="442"/>
      <c r="C41" s="442"/>
      <c r="D41" s="442"/>
      <c r="E41" s="442"/>
      <c r="F41" s="442"/>
      <c r="G41" s="442"/>
      <c r="H41" s="442"/>
      <c r="I41" s="442"/>
      <c r="J41" s="442"/>
      <c r="K41" s="442"/>
      <c r="L41" s="442"/>
      <c r="M41" s="442"/>
      <c r="N41" s="442"/>
      <c r="O41" s="442"/>
      <c r="P41" s="442"/>
      <c r="Q41" s="442"/>
      <c r="R41" s="442"/>
      <c r="S41" s="442"/>
      <c r="T41" s="442"/>
      <c r="U41" s="442"/>
      <c r="V41" s="442"/>
      <c r="W41" s="442"/>
      <c r="X41" s="442"/>
    </row>
    <row r="42" ht="19.5" customHeight="1">
      <c r="A42" s="442"/>
      <c r="B42" s="442"/>
      <c r="C42" s="442"/>
      <c r="D42" s="442"/>
      <c r="E42" s="442"/>
      <c r="F42" s="442"/>
      <c r="G42" s="442"/>
      <c r="H42" s="442"/>
      <c r="I42" s="442"/>
      <c r="J42" s="442"/>
      <c r="K42" s="442"/>
      <c r="L42" s="442"/>
      <c r="M42" s="442"/>
      <c r="N42" s="442"/>
      <c r="O42" s="442"/>
      <c r="P42" s="442"/>
      <c r="Q42" s="442"/>
      <c r="R42" s="442"/>
      <c r="S42" s="442"/>
      <c r="T42" s="442"/>
      <c r="U42" s="442"/>
      <c r="V42" s="442"/>
      <c r="W42" s="442"/>
      <c r="X42" s="442"/>
    </row>
    <row r="43" ht="19.5" customHeight="1">
      <c r="A43" s="442"/>
      <c r="B43" s="442"/>
      <c r="C43" s="442"/>
      <c r="D43" s="442"/>
      <c r="E43" s="442"/>
      <c r="F43" s="442"/>
      <c r="G43" s="442"/>
      <c r="H43" s="442"/>
      <c r="I43" s="442"/>
      <c r="J43" s="442"/>
      <c r="K43" s="442"/>
      <c r="L43" s="442"/>
      <c r="M43" s="442"/>
      <c r="N43" s="442"/>
      <c r="O43" s="442"/>
      <c r="P43" s="442"/>
      <c r="Q43" s="442"/>
      <c r="R43" s="442"/>
      <c r="S43" s="442"/>
      <c r="T43" s="442"/>
      <c r="U43" s="442"/>
      <c r="V43" s="442"/>
      <c r="W43" s="442"/>
      <c r="X43" s="442"/>
    </row>
    <row r="44" ht="19.5" customHeight="1">
      <c r="A44" s="442"/>
      <c r="B44" s="442"/>
      <c r="C44" s="442"/>
      <c r="D44" s="442"/>
      <c r="E44" s="442"/>
      <c r="F44" s="442"/>
      <c r="G44" s="442"/>
      <c r="H44" s="442"/>
      <c r="I44" s="442"/>
      <c r="J44" s="442"/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442"/>
    </row>
    <row r="45" ht="19.5" customHeight="1">
      <c r="A45" s="442"/>
      <c r="B45" s="442"/>
      <c r="C45" s="442"/>
      <c r="D45" s="442"/>
      <c r="E45" s="442"/>
      <c r="F45" s="442"/>
      <c r="G45" s="442"/>
      <c r="H45" s="442"/>
      <c r="I45" s="442"/>
      <c r="J45" s="442"/>
      <c r="K45" s="442"/>
      <c r="L45" s="442"/>
      <c r="M45" s="442"/>
      <c r="N45" s="442"/>
      <c r="O45" s="442"/>
      <c r="P45" s="442"/>
      <c r="Q45" s="442"/>
      <c r="R45" s="442"/>
      <c r="S45" s="442"/>
      <c r="T45" s="442"/>
      <c r="U45" s="442"/>
      <c r="V45" s="442"/>
      <c r="W45" s="442"/>
      <c r="X45" s="442"/>
    </row>
    <row r="46" ht="19.5" customHeight="1">
      <c r="A46" s="442"/>
      <c r="B46" s="442"/>
      <c r="C46" s="442"/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</row>
    <row r="47" ht="19.5" customHeight="1">
      <c r="A47" s="442"/>
      <c r="B47" s="442"/>
      <c r="C47" s="442"/>
      <c r="D47" s="442"/>
      <c r="E47" s="442"/>
      <c r="F47" s="442"/>
      <c r="G47" s="442"/>
      <c r="H47" s="442"/>
      <c r="I47" s="442"/>
      <c r="J47" s="442"/>
      <c r="K47" s="442"/>
      <c r="L47" s="442"/>
      <c r="M47" s="442"/>
      <c r="N47" s="442"/>
      <c r="O47" s="442"/>
      <c r="P47" s="442"/>
      <c r="Q47" s="442"/>
      <c r="R47" s="442"/>
      <c r="S47" s="442"/>
      <c r="T47" s="442"/>
      <c r="U47" s="442"/>
      <c r="V47" s="442"/>
      <c r="W47" s="442"/>
      <c r="X47" s="442"/>
    </row>
    <row r="48" ht="19.5" customHeight="1">
      <c r="A48" s="442"/>
      <c r="B48" s="442"/>
      <c r="C48" s="442"/>
      <c r="D48" s="442"/>
      <c r="E48" s="442"/>
      <c r="F48" s="442"/>
      <c r="G48" s="442"/>
      <c r="H48" s="442"/>
      <c r="I48" s="442"/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42"/>
      <c r="U48" s="442"/>
      <c r="V48" s="442"/>
      <c r="W48" s="442"/>
      <c r="X48" s="442"/>
    </row>
    <row r="49" ht="19.5" customHeight="1">
      <c r="A49" s="442"/>
      <c r="B49" s="442"/>
      <c r="C49" s="442"/>
      <c r="D49" s="442"/>
      <c r="E49" s="442"/>
      <c r="F49" s="442"/>
      <c r="G49" s="442"/>
      <c r="H49" s="442"/>
      <c r="I49" s="442"/>
      <c r="J49" s="442"/>
      <c r="K49" s="442"/>
      <c r="L49" s="442"/>
      <c r="M49" s="442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442"/>
    </row>
    <row r="50" ht="19.5" customHeight="1">
      <c r="A50" s="442"/>
      <c r="B50" s="442"/>
      <c r="C50" s="442"/>
      <c r="D50" s="442"/>
      <c r="E50" s="442"/>
      <c r="F50" s="442"/>
      <c r="G50" s="442"/>
      <c r="H50" s="442"/>
      <c r="I50" s="442"/>
      <c r="J50" s="442"/>
      <c r="K50" s="442"/>
      <c r="L50" s="442"/>
      <c r="M50" s="442"/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442"/>
    </row>
    <row r="51" ht="19.5" customHeight="1">
      <c r="A51" s="442"/>
      <c r="B51" s="442"/>
      <c r="C51" s="442"/>
      <c r="D51" s="442"/>
      <c r="E51" s="442"/>
      <c r="F51" s="442"/>
      <c r="G51" s="442"/>
      <c r="H51" s="442"/>
      <c r="I51" s="442"/>
      <c r="J51" s="442"/>
      <c r="K51" s="442"/>
      <c r="L51" s="442"/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442"/>
    </row>
    <row r="52" ht="19.5" customHeight="1">
      <c r="A52" s="442"/>
      <c r="B52" s="442"/>
      <c r="C52" s="442"/>
      <c r="D52" s="442"/>
      <c r="E52" s="442"/>
      <c r="F52" s="442"/>
      <c r="G52" s="442"/>
      <c r="H52" s="442"/>
      <c r="I52" s="442"/>
      <c r="J52" s="442"/>
      <c r="K52" s="442"/>
      <c r="L52" s="442"/>
      <c r="M52" s="442"/>
      <c r="N52" s="442"/>
      <c r="O52" s="442"/>
      <c r="P52" s="442"/>
      <c r="Q52" s="442"/>
      <c r="R52" s="442"/>
      <c r="S52" s="442"/>
      <c r="T52" s="442"/>
      <c r="U52" s="442"/>
      <c r="V52" s="442"/>
      <c r="W52" s="442"/>
      <c r="X52" s="442"/>
    </row>
    <row r="53" ht="19.5" customHeight="1">
      <c r="A53" s="442"/>
      <c r="B53" s="442"/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42"/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442"/>
    </row>
    <row r="54" ht="19.5" customHeight="1">
      <c r="A54" s="442"/>
      <c r="B54" s="442"/>
      <c r="C54" s="442"/>
      <c r="D54" s="442"/>
      <c r="E54" s="442"/>
      <c r="F54" s="442"/>
      <c r="G54" s="442"/>
      <c r="H54" s="442"/>
      <c r="I54" s="442"/>
      <c r="J54" s="442"/>
      <c r="K54" s="442"/>
      <c r="L54" s="442"/>
      <c r="M54" s="442"/>
      <c r="N54" s="442"/>
      <c r="O54" s="442"/>
      <c r="P54" s="442"/>
      <c r="Q54" s="442"/>
      <c r="R54" s="442"/>
      <c r="S54" s="442"/>
      <c r="T54" s="442"/>
      <c r="U54" s="442"/>
      <c r="V54" s="442"/>
      <c r="W54" s="442"/>
      <c r="X54" s="442"/>
    </row>
    <row r="55" ht="19.5" customHeight="1">
      <c r="A55" s="442"/>
      <c r="B55" s="442"/>
      <c r="C55" s="442"/>
      <c r="D55" s="442"/>
      <c r="E55" s="442"/>
      <c r="F55" s="442"/>
      <c r="G55" s="442"/>
      <c r="H55" s="442"/>
      <c r="I55" s="442"/>
      <c r="J55" s="442"/>
      <c r="K55" s="442"/>
      <c r="L55" s="442"/>
      <c r="M55" s="442"/>
      <c r="N55" s="442"/>
      <c r="O55" s="442"/>
      <c r="P55" s="442"/>
      <c r="Q55" s="442"/>
      <c r="R55" s="442"/>
      <c r="S55" s="442"/>
      <c r="T55" s="442"/>
      <c r="U55" s="442"/>
      <c r="V55" s="442"/>
      <c r="W55" s="442"/>
      <c r="X55" s="442"/>
    </row>
    <row r="56" ht="19.5" customHeight="1">
      <c r="A56" s="442"/>
      <c r="B56" s="442"/>
      <c r="C56" s="442"/>
      <c r="D56" s="442"/>
      <c r="E56" s="442"/>
      <c r="F56" s="442"/>
      <c r="G56" s="442"/>
      <c r="H56" s="442"/>
      <c r="I56" s="442"/>
      <c r="J56" s="442"/>
      <c r="K56" s="442"/>
      <c r="L56" s="442"/>
      <c r="M56" s="442"/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</row>
    <row r="57" ht="19.5" customHeight="1">
      <c r="A57" s="442"/>
      <c r="B57" s="442"/>
      <c r="C57" s="442"/>
      <c r="D57" s="442"/>
      <c r="E57" s="442"/>
      <c r="F57" s="442"/>
      <c r="G57" s="442"/>
      <c r="H57" s="442"/>
      <c r="I57" s="442"/>
      <c r="J57" s="442"/>
      <c r="K57" s="442"/>
      <c r="L57" s="442"/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</row>
    <row r="58" ht="19.5" customHeight="1">
      <c r="A58" s="442"/>
      <c r="B58" s="442"/>
      <c r="C58" s="442"/>
      <c r="D58" s="442"/>
      <c r="E58" s="442"/>
      <c r="F58" s="442"/>
      <c r="G58" s="442"/>
      <c r="H58" s="442"/>
      <c r="I58" s="442"/>
      <c r="J58" s="442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</row>
    <row r="59" ht="19.5" customHeight="1">
      <c r="A59" s="442"/>
      <c r="B59" s="442"/>
      <c r="C59" s="442"/>
      <c r="D59" s="442"/>
      <c r="E59" s="442"/>
      <c r="F59" s="442"/>
      <c r="G59" s="442"/>
      <c r="H59" s="442"/>
      <c r="I59" s="442"/>
      <c r="J59" s="442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</row>
    <row r="60" ht="19.5" customHeight="1">
      <c r="A60" s="442"/>
      <c r="B60" s="442"/>
      <c r="C60" s="442"/>
      <c r="D60" s="442"/>
      <c r="E60" s="442"/>
      <c r="F60" s="442"/>
      <c r="G60" s="442"/>
      <c r="H60" s="442"/>
      <c r="I60" s="442"/>
      <c r="J60" s="442"/>
      <c r="K60" s="442"/>
      <c r="L60" s="442"/>
      <c r="M60" s="442"/>
      <c r="N60" s="442"/>
      <c r="O60" s="442"/>
      <c r="P60" s="442"/>
      <c r="Q60" s="442"/>
      <c r="R60" s="442"/>
      <c r="S60" s="442"/>
      <c r="T60" s="442"/>
      <c r="U60" s="442"/>
      <c r="V60" s="442"/>
      <c r="W60" s="442"/>
      <c r="X60" s="442"/>
    </row>
    <row r="61" ht="19.5" customHeight="1">
      <c r="A61" s="442"/>
      <c r="B61" s="442"/>
      <c r="C61" s="442"/>
      <c r="D61" s="442"/>
      <c r="E61" s="442"/>
      <c r="F61" s="442"/>
      <c r="G61" s="442"/>
      <c r="H61" s="442"/>
      <c r="I61" s="442"/>
      <c r="J61" s="442"/>
      <c r="K61" s="442"/>
      <c r="L61" s="442"/>
      <c r="M61" s="442"/>
      <c r="N61" s="442"/>
      <c r="O61" s="442"/>
      <c r="P61" s="442"/>
      <c r="Q61" s="442"/>
      <c r="R61" s="442"/>
      <c r="S61" s="442"/>
      <c r="T61" s="442"/>
      <c r="U61" s="442"/>
      <c r="V61" s="442"/>
      <c r="W61" s="442"/>
      <c r="X61" s="442"/>
    </row>
    <row r="62" ht="19.5" customHeight="1">
      <c r="A62" s="442"/>
      <c r="B62" s="442"/>
      <c r="C62" s="442"/>
      <c r="D62" s="442"/>
      <c r="E62" s="442"/>
      <c r="F62" s="442"/>
      <c r="G62" s="442"/>
      <c r="H62" s="442"/>
      <c r="I62" s="442"/>
      <c r="J62" s="442"/>
      <c r="K62" s="442"/>
      <c r="L62" s="442"/>
      <c r="M62" s="442"/>
      <c r="N62" s="442"/>
      <c r="O62" s="442"/>
      <c r="P62" s="442"/>
      <c r="Q62" s="442"/>
      <c r="R62" s="442"/>
      <c r="S62" s="442"/>
      <c r="T62" s="442"/>
      <c r="U62" s="442"/>
      <c r="V62" s="442"/>
      <c r="W62" s="442"/>
      <c r="X62" s="442"/>
    </row>
    <row r="63" ht="19.5" customHeight="1">
      <c r="A63" s="442"/>
      <c r="B63" s="442"/>
      <c r="C63" s="442"/>
      <c r="D63" s="442"/>
      <c r="E63" s="442"/>
      <c r="F63" s="442"/>
      <c r="G63" s="442"/>
      <c r="H63" s="442"/>
      <c r="I63" s="442"/>
      <c r="J63" s="442"/>
      <c r="K63" s="442"/>
      <c r="L63" s="442"/>
      <c r="M63" s="442"/>
      <c r="N63" s="442"/>
      <c r="O63" s="442"/>
      <c r="P63" s="442"/>
      <c r="Q63" s="442"/>
      <c r="R63" s="442"/>
      <c r="S63" s="442"/>
      <c r="T63" s="442"/>
      <c r="U63" s="442"/>
      <c r="V63" s="442"/>
      <c r="W63" s="442"/>
      <c r="X63" s="442"/>
    </row>
    <row r="64" ht="19.5" customHeight="1">
      <c r="A64" s="442"/>
      <c r="B64" s="442"/>
      <c r="C64" s="442"/>
      <c r="D64" s="442"/>
      <c r="E64" s="442"/>
      <c r="F64" s="442"/>
      <c r="G64" s="442"/>
      <c r="H64" s="442"/>
      <c r="I64" s="442"/>
      <c r="J64" s="442"/>
      <c r="K64" s="442"/>
      <c r="L64" s="442"/>
      <c r="M64" s="442"/>
      <c r="N64" s="442"/>
      <c r="O64" s="442"/>
      <c r="P64" s="442"/>
      <c r="Q64" s="442"/>
      <c r="R64" s="442"/>
      <c r="S64" s="442"/>
      <c r="T64" s="442"/>
      <c r="U64" s="442"/>
      <c r="V64" s="442"/>
      <c r="W64" s="442"/>
      <c r="X64" s="442"/>
    </row>
    <row r="65" ht="19.5" customHeight="1">
      <c r="A65" s="442"/>
      <c r="B65" s="442"/>
      <c r="C65" s="442"/>
      <c r="D65" s="442"/>
      <c r="E65" s="442"/>
      <c r="F65" s="442"/>
      <c r="G65" s="442"/>
      <c r="H65" s="442"/>
      <c r="I65" s="442"/>
      <c r="J65" s="442"/>
      <c r="K65" s="442"/>
      <c r="L65" s="442"/>
      <c r="M65" s="442"/>
      <c r="N65" s="442"/>
      <c r="O65" s="442"/>
      <c r="P65" s="442"/>
      <c r="Q65" s="442"/>
      <c r="R65" s="442"/>
      <c r="S65" s="442"/>
      <c r="T65" s="442"/>
      <c r="U65" s="442"/>
      <c r="V65" s="442"/>
      <c r="W65" s="442"/>
      <c r="X65" s="442"/>
    </row>
    <row r="66" ht="19.5" customHeight="1">
      <c r="A66" s="442"/>
      <c r="B66" s="442"/>
      <c r="C66" s="442"/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</row>
    <row r="67" ht="19.5" customHeight="1">
      <c r="A67" s="442"/>
      <c r="B67" s="442"/>
      <c r="C67" s="442"/>
      <c r="D67" s="442"/>
      <c r="E67" s="442"/>
      <c r="F67" s="442"/>
      <c r="G67" s="442"/>
      <c r="H67" s="442"/>
      <c r="I67" s="442"/>
      <c r="J67" s="442"/>
      <c r="K67" s="442"/>
      <c r="L67" s="442"/>
      <c r="M67" s="442"/>
      <c r="N67" s="442"/>
      <c r="O67" s="442"/>
      <c r="P67" s="442"/>
      <c r="Q67" s="442"/>
      <c r="R67" s="442"/>
      <c r="S67" s="442"/>
      <c r="T67" s="442"/>
      <c r="U67" s="442"/>
      <c r="V67" s="442"/>
      <c r="W67" s="442"/>
      <c r="X67" s="442"/>
    </row>
    <row r="68" ht="19.5" customHeight="1">
      <c r="A68" s="442"/>
      <c r="B68" s="442"/>
      <c r="C68" s="442"/>
      <c r="D68" s="442"/>
      <c r="E68" s="442"/>
      <c r="F68" s="442"/>
      <c r="G68" s="442"/>
      <c r="H68" s="442"/>
      <c r="I68" s="442"/>
      <c r="J68" s="442"/>
      <c r="K68" s="442"/>
      <c r="L68" s="442"/>
      <c r="M68" s="442"/>
      <c r="N68" s="442"/>
      <c r="O68" s="442"/>
      <c r="P68" s="442"/>
      <c r="Q68" s="442"/>
      <c r="R68" s="442"/>
      <c r="S68" s="442"/>
      <c r="T68" s="442"/>
      <c r="U68" s="442"/>
      <c r="V68" s="442"/>
      <c r="W68" s="442"/>
      <c r="X68" s="442"/>
    </row>
    <row r="69" ht="19.5" customHeight="1">
      <c r="A69" s="442"/>
      <c r="B69" s="442"/>
      <c r="C69" s="442"/>
      <c r="D69" s="442"/>
      <c r="E69" s="442"/>
      <c r="F69" s="442"/>
      <c r="G69" s="442"/>
      <c r="H69" s="442"/>
      <c r="I69" s="442"/>
      <c r="J69" s="442"/>
      <c r="K69" s="442"/>
      <c r="L69" s="442"/>
      <c r="M69" s="442"/>
      <c r="N69" s="442"/>
      <c r="O69" s="442"/>
      <c r="P69" s="442"/>
      <c r="Q69" s="442"/>
      <c r="R69" s="442"/>
      <c r="S69" s="442"/>
      <c r="T69" s="442"/>
      <c r="U69" s="442"/>
      <c r="V69" s="442"/>
      <c r="W69" s="442"/>
      <c r="X69" s="442"/>
    </row>
    <row r="70" ht="19.5" customHeight="1">
      <c r="A70" s="442"/>
      <c r="B70" s="442"/>
      <c r="C70" s="442"/>
      <c r="D70" s="442"/>
      <c r="E70" s="442"/>
      <c r="F70" s="442"/>
      <c r="G70" s="442"/>
      <c r="H70" s="442"/>
      <c r="I70" s="442"/>
      <c r="J70" s="442"/>
      <c r="K70" s="442"/>
      <c r="L70" s="442"/>
      <c r="M70" s="442"/>
      <c r="N70" s="442"/>
      <c r="O70" s="442"/>
      <c r="P70" s="442"/>
      <c r="Q70" s="442"/>
      <c r="R70" s="442"/>
      <c r="S70" s="442"/>
      <c r="T70" s="442"/>
      <c r="U70" s="442"/>
      <c r="V70" s="442"/>
      <c r="W70" s="442"/>
      <c r="X70" s="442"/>
    </row>
    <row r="71" ht="19.5" customHeight="1">
      <c r="A71" s="442"/>
      <c r="B71" s="442"/>
      <c r="C71" s="442"/>
      <c r="D71" s="442"/>
      <c r="E71" s="442"/>
      <c r="F71" s="442"/>
      <c r="G71" s="442"/>
      <c r="H71" s="442"/>
      <c r="I71" s="442"/>
      <c r="J71" s="442"/>
      <c r="K71" s="442"/>
      <c r="L71" s="442"/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  <c r="X71" s="442"/>
    </row>
    <row r="72" ht="19.5" customHeight="1">
      <c r="A72" s="442"/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</row>
    <row r="73" ht="19.5" customHeight="1">
      <c r="A73" s="442"/>
      <c r="B73" s="442"/>
      <c r="C73" s="442"/>
      <c r="D73" s="442"/>
      <c r="E73" s="442"/>
      <c r="F73" s="442"/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</row>
    <row r="74" ht="19.5" customHeight="1">
      <c r="A74" s="442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</row>
    <row r="75" ht="19.5" customHeight="1">
      <c r="A75" s="442"/>
      <c r="B75" s="442"/>
      <c r="C75" s="442"/>
      <c r="D75" s="442"/>
      <c r="E75" s="442"/>
      <c r="F75" s="442"/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</row>
    <row r="76" ht="19.5" customHeight="1">
      <c r="A76" s="442"/>
      <c r="B76" s="442"/>
      <c r="C76" s="442"/>
      <c r="D76" s="442"/>
      <c r="E76" s="442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</row>
    <row r="77" ht="19.5" customHeight="1">
      <c r="A77" s="442"/>
      <c r="B77" s="442"/>
      <c r="C77" s="442"/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</row>
    <row r="78" ht="19.5" customHeight="1">
      <c r="A78" s="442"/>
      <c r="B78" s="442"/>
      <c r="C78" s="442"/>
      <c r="D78" s="442"/>
      <c r="E78" s="442"/>
      <c r="F78" s="442"/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</row>
    <row r="79" ht="19.5" customHeight="1">
      <c r="A79" s="442"/>
      <c r="B79" s="442"/>
      <c r="C79" s="442"/>
      <c r="D79" s="442"/>
      <c r="E79" s="442"/>
      <c r="F79" s="442"/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</row>
    <row r="80" ht="19.5" customHeight="1">
      <c r="A80" s="442"/>
      <c r="B80" s="442"/>
      <c r="C80" s="442"/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</row>
    <row r="81" ht="19.5" customHeight="1">
      <c r="A81" s="442"/>
      <c r="B81" s="442"/>
      <c r="C81" s="442"/>
      <c r="D81" s="442"/>
      <c r="E81" s="442"/>
      <c r="F81" s="442"/>
      <c r="G81" s="442"/>
      <c r="H81" s="442"/>
      <c r="I81" s="442"/>
      <c r="J81" s="442"/>
      <c r="K81" s="442"/>
      <c r="L81" s="442"/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  <c r="X81" s="442"/>
    </row>
    <row r="82" ht="19.5" customHeight="1">
      <c r="A82" s="442"/>
      <c r="B82" s="442"/>
      <c r="C82" s="442"/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</row>
    <row r="83" ht="19.5" customHeight="1">
      <c r="A83" s="442"/>
      <c r="B83" s="442"/>
      <c r="C83" s="442"/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</row>
    <row r="84" ht="19.5" customHeight="1">
      <c r="A84" s="442"/>
      <c r="B84" s="442"/>
      <c r="C84" s="442"/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</row>
    <row r="85" ht="19.5" customHeight="1">
      <c r="A85" s="442"/>
      <c r="B85" s="442"/>
      <c r="C85" s="442"/>
      <c r="D85" s="442"/>
      <c r="E85" s="442"/>
      <c r="F85" s="442"/>
      <c r="G85" s="442"/>
      <c r="H85" s="442"/>
      <c r="I85" s="442"/>
      <c r="J85" s="442"/>
      <c r="K85" s="442"/>
      <c r="L85" s="442"/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  <c r="X85" s="442"/>
    </row>
    <row r="86" ht="19.5" customHeight="1">
      <c r="A86" s="442"/>
      <c r="B86" s="442"/>
      <c r="C86" s="442"/>
      <c r="D86" s="442"/>
      <c r="E86" s="442"/>
      <c r="F86" s="442"/>
      <c r="G86" s="442"/>
      <c r="H86" s="442"/>
      <c r="I86" s="442"/>
      <c r="J86" s="442"/>
      <c r="K86" s="442"/>
      <c r="L86" s="442"/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  <c r="X86" s="442"/>
    </row>
    <row r="87" ht="19.5" customHeight="1">
      <c r="A87" s="442"/>
      <c r="B87" s="442"/>
      <c r="C87" s="442"/>
      <c r="D87" s="442"/>
      <c r="E87" s="442"/>
      <c r="F87" s="442"/>
      <c r="G87" s="442"/>
      <c r="H87" s="442"/>
      <c r="I87" s="442"/>
      <c r="J87" s="442"/>
      <c r="K87" s="442"/>
      <c r="L87" s="442"/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  <c r="X87" s="442"/>
    </row>
    <row r="88" ht="19.5" customHeight="1">
      <c r="A88" s="442"/>
      <c r="B88" s="442"/>
      <c r="C88" s="442"/>
      <c r="D88" s="442"/>
      <c r="E88" s="442"/>
      <c r="F88" s="442"/>
      <c r="G88" s="442"/>
      <c r="H88" s="442"/>
      <c r="I88" s="442"/>
      <c r="J88" s="442"/>
      <c r="K88" s="442"/>
      <c r="L88" s="442"/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  <c r="X88" s="442"/>
    </row>
    <row r="89" ht="19.5" customHeight="1">
      <c r="A89" s="442"/>
      <c r="B89" s="442"/>
      <c r="C89" s="442"/>
      <c r="D89" s="442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</row>
    <row r="90" ht="19.5" customHeight="1">
      <c r="A90" s="442"/>
      <c r="B90" s="442"/>
      <c r="C90" s="442"/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</row>
    <row r="91" ht="19.5" customHeight="1">
      <c r="A91" s="442"/>
      <c r="B91" s="442"/>
      <c r="C91" s="442"/>
      <c r="D91" s="442"/>
      <c r="E91" s="442"/>
      <c r="F91" s="442"/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</row>
    <row r="92" ht="19.5" customHeight="1">
      <c r="A92" s="442"/>
      <c r="B92" s="442"/>
      <c r="C92" s="442"/>
      <c r="D92" s="442"/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</row>
    <row r="93" ht="19.5" customHeight="1">
      <c r="A93" s="442"/>
      <c r="B93" s="442"/>
      <c r="C93" s="442"/>
      <c r="D93" s="442"/>
      <c r="E93" s="442"/>
      <c r="F93" s="442"/>
      <c r="G93" s="442"/>
      <c r="H93" s="442"/>
      <c r="I93" s="442"/>
      <c r="J93" s="442"/>
      <c r="K93" s="442"/>
      <c r="L93" s="442"/>
      <c r="M93" s="442"/>
      <c r="N93" s="442"/>
      <c r="O93" s="442"/>
      <c r="P93" s="442"/>
      <c r="Q93" s="442"/>
      <c r="R93" s="442"/>
      <c r="S93" s="442"/>
      <c r="T93" s="442"/>
      <c r="U93" s="442"/>
      <c r="V93" s="442"/>
      <c r="W93" s="442"/>
      <c r="X93" s="442"/>
    </row>
    <row r="94" ht="19.5" customHeight="1">
      <c r="A94" s="442"/>
      <c r="B94" s="442"/>
      <c r="C94" s="442"/>
      <c r="D94" s="442"/>
      <c r="E94" s="442"/>
      <c r="F94" s="442"/>
      <c r="G94" s="442"/>
      <c r="H94" s="442"/>
      <c r="I94" s="442"/>
      <c r="J94" s="442"/>
      <c r="K94" s="442"/>
      <c r="L94" s="442"/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  <c r="X94" s="442"/>
    </row>
    <row r="95" ht="19.5" customHeight="1">
      <c r="A95" s="442"/>
      <c r="B95" s="442"/>
      <c r="C95" s="442"/>
      <c r="D95" s="442"/>
      <c r="E95" s="442"/>
      <c r="F95" s="442"/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</row>
    <row r="96" ht="19.5" customHeight="1">
      <c r="A96" s="442"/>
      <c r="B96" s="442"/>
      <c r="C96" s="442"/>
      <c r="D96" s="442"/>
      <c r="E96" s="442"/>
      <c r="F96" s="442"/>
      <c r="G96" s="442"/>
      <c r="H96" s="442"/>
      <c r="I96" s="442"/>
      <c r="J96" s="442"/>
      <c r="K96" s="442"/>
      <c r="L96" s="442"/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  <c r="X96" s="442"/>
    </row>
    <row r="97" ht="19.5" customHeight="1">
      <c r="A97" s="442"/>
      <c r="B97" s="442"/>
      <c r="C97" s="442"/>
      <c r="D97" s="442"/>
      <c r="E97" s="442"/>
      <c r="F97" s="442"/>
      <c r="G97" s="442"/>
      <c r="H97" s="442"/>
      <c r="I97" s="442"/>
      <c r="J97" s="442"/>
      <c r="K97" s="442"/>
      <c r="L97" s="442"/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  <c r="X97" s="442"/>
    </row>
    <row r="98" ht="19.5" customHeight="1">
      <c r="A98" s="442"/>
      <c r="B98" s="442"/>
      <c r="C98" s="442"/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</row>
    <row r="99" ht="19.5" customHeight="1">
      <c r="A99" s="442"/>
      <c r="B99" s="442"/>
      <c r="C99" s="442"/>
      <c r="D99" s="442"/>
      <c r="E99" s="442"/>
      <c r="F99" s="442"/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</row>
    <row r="100" ht="19.5" customHeight="1">
      <c r="A100" s="442"/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</row>
    <row r="101" ht="19.5" customHeight="1">
      <c r="A101" s="442"/>
      <c r="B101" s="442"/>
      <c r="C101" s="442"/>
      <c r="D101" s="442"/>
      <c r="E101" s="442"/>
      <c r="F101" s="442"/>
      <c r="G101" s="442"/>
      <c r="H101" s="442"/>
      <c r="I101" s="442"/>
      <c r="J101" s="442"/>
      <c r="K101" s="442"/>
      <c r="L101" s="442"/>
      <c r="M101" s="442"/>
      <c r="N101" s="442"/>
      <c r="O101" s="442"/>
      <c r="P101" s="442"/>
      <c r="Q101" s="442"/>
      <c r="R101" s="442"/>
      <c r="S101" s="442"/>
      <c r="T101" s="442"/>
      <c r="U101" s="442"/>
      <c r="V101" s="442"/>
      <c r="W101" s="442"/>
      <c r="X101" s="442"/>
    </row>
    <row r="102" ht="19.5" customHeight="1">
      <c r="A102" s="442"/>
      <c r="B102" s="442"/>
      <c r="C102" s="442"/>
      <c r="D102" s="442"/>
      <c r="E102" s="442"/>
      <c r="F102" s="442"/>
      <c r="G102" s="442"/>
      <c r="H102" s="442"/>
      <c r="I102" s="442"/>
      <c r="J102" s="442"/>
      <c r="K102" s="442"/>
      <c r="L102" s="442"/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  <c r="X102" s="442"/>
    </row>
    <row r="103" ht="19.5" customHeight="1">
      <c r="A103" s="442"/>
      <c r="B103" s="442"/>
      <c r="C103" s="442"/>
      <c r="D103" s="442"/>
      <c r="E103" s="442"/>
      <c r="F103" s="442"/>
      <c r="G103" s="442"/>
      <c r="H103" s="442"/>
      <c r="I103" s="442"/>
      <c r="J103" s="442"/>
      <c r="K103" s="442"/>
      <c r="L103" s="442"/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  <c r="X103" s="442"/>
    </row>
    <row r="104" ht="19.5" customHeight="1">
      <c r="A104" s="442"/>
      <c r="B104" s="442"/>
      <c r="C104" s="442"/>
      <c r="D104" s="442"/>
      <c r="E104" s="442"/>
      <c r="F104" s="442"/>
      <c r="G104" s="442"/>
      <c r="H104" s="442"/>
      <c r="I104" s="442"/>
      <c r="J104" s="442"/>
      <c r="K104" s="442"/>
      <c r="L104" s="442"/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  <c r="X104" s="442"/>
    </row>
    <row r="105" ht="19.5" customHeight="1">
      <c r="A105" s="442"/>
      <c r="B105" s="442"/>
      <c r="C105" s="442"/>
      <c r="D105" s="442"/>
      <c r="E105" s="442"/>
      <c r="F105" s="442"/>
      <c r="G105" s="442"/>
      <c r="H105" s="442"/>
      <c r="I105" s="442"/>
      <c r="J105" s="442"/>
      <c r="K105" s="442"/>
      <c r="L105" s="442"/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  <c r="X105" s="442"/>
    </row>
    <row r="106" ht="19.5" customHeight="1">
      <c r="A106" s="442"/>
      <c r="B106" s="442"/>
      <c r="C106" s="442"/>
      <c r="D106" s="442"/>
      <c r="E106" s="442"/>
      <c r="F106" s="442"/>
      <c r="G106" s="442"/>
      <c r="H106" s="442"/>
      <c r="I106" s="442"/>
      <c r="J106" s="442"/>
      <c r="K106" s="442"/>
      <c r="L106" s="442"/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  <c r="X106" s="442"/>
    </row>
    <row r="107" ht="19.5" customHeight="1">
      <c r="A107" s="442"/>
      <c r="B107" s="442"/>
      <c r="C107" s="442"/>
      <c r="D107" s="442"/>
      <c r="E107" s="442"/>
      <c r="F107" s="442"/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</row>
    <row r="108" ht="19.5" customHeight="1">
      <c r="A108" s="442"/>
      <c r="B108" s="442"/>
      <c r="C108" s="442"/>
      <c r="D108" s="442"/>
      <c r="E108" s="442"/>
      <c r="F108" s="442"/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</row>
    <row r="109" ht="19.5" customHeight="1">
      <c r="A109" s="442"/>
      <c r="B109" s="442"/>
      <c r="C109" s="442"/>
      <c r="D109" s="442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</row>
    <row r="110" ht="19.5" customHeight="1">
      <c r="A110" s="442"/>
      <c r="B110" s="442"/>
      <c r="C110" s="442"/>
      <c r="D110" s="442"/>
      <c r="E110" s="442"/>
      <c r="F110" s="442"/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  <c r="X110" s="442"/>
    </row>
    <row r="111" ht="19.5" customHeight="1">
      <c r="A111" s="442"/>
      <c r="B111" s="442"/>
      <c r="C111" s="442"/>
      <c r="D111" s="442"/>
      <c r="E111" s="442"/>
      <c r="F111" s="442"/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  <c r="X111" s="442"/>
    </row>
    <row r="112" ht="19.5" customHeight="1">
      <c r="A112" s="442"/>
      <c r="B112" s="442"/>
      <c r="C112" s="442"/>
      <c r="D112" s="442"/>
      <c r="E112" s="442"/>
      <c r="F112" s="442"/>
      <c r="G112" s="442"/>
      <c r="H112" s="442"/>
      <c r="I112" s="442"/>
      <c r="J112" s="442"/>
      <c r="K112" s="442"/>
      <c r="L112" s="442"/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  <c r="X112" s="442"/>
    </row>
    <row r="113" ht="19.5" customHeight="1">
      <c r="A113" s="442"/>
      <c r="B113" s="442"/>
      <c r="C113" s="442"/>
      <c r="D113" s="442"/>
      <c r="E113" s="442"/>
      <c r="F113" s="442"/>
      <c r="G113" s="442"/>
      <c r="H113" s="442"/>
      <c r="I113" s="442"/>
      <c r="J113" s="442"/>
      <c r="K113" s="442"/>
      <c r="L113" s="442"/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  <c r="X113" s="442"/>
    </row>
    <row r="114" ht="19.5" customHeight="1">
      <c r="A114" s="442"/>
      <c r="B114" s="442"/>
      <c r="C114" s="442"/>
      <c r="D114" s="442"/>
      <c r="E114" s="442"/>
      <c r="F114" s="442"/>
      <c r="G114" s="442"/>
      <c r="H114" s="442"/>
      <c r="I114" s="442"/>
      <c r="J114" s="442"/>
      <c r="K114" s="442"/>
      <c r="L114" s="442"/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  <c r="X114" s="442"/>
    </row>
    <row r="115" ht="19.5" customHeight="1">
      <c r="A115" s="442"/>
      <c r="B115" s="442"/>
      <c r="C115" s="442"/>
      <c r="D115" s="442"/>
      <c r="E115" s="442"/>
      <c r="F115" s="442"/>
      <c r="G115" s="442"/>
      <c r="H115" s="442"/>
      <c r="I115" s="442"/>
      <c r="J115" s="442"/>
      <c r="K115" s="442"/>
      <c r="L115" s="442"/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  <c r="X115" s="442"/>
    </row>
    <row r="116" ht="19.5" customHeight="1">
      <c r="A116" s="442"/>
      <c r="B116" s="442"/>
      <c r="C116" s="442"/>
      <c r="D116" s="442"/>
      <c r="E116" s="442"/>
      <c r="F116" s="442"/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</row>
    <row r="117" ht="19.5" customHeight="1">
      <c r="A117" s="442"/>
      <c r="B117" s="442"/>
      <c r="C117" s="442"/>
      <c r="D117" s="442"/>
      <c r="E117" s="442"/>
      <c r="F117" s="442"/>
      <c r="G117" s="442"/>
      <c r="H117" s="442"/>
      <c r="I117" s="442"/>
      <c r="J117" s="442"/>
      <c r="K117" s="442"/>
      <c r="L117" s="442"/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  <c r="X117" s="442"/>
    </row>
    <row r="118" ht="19.5" customHeight="1">
      <c r="A118" s="442"/>
      <c r="B118" s="442"/>
      <c r="C118" s="442"/>
      <c r="D118" s="442"/>
      <c r="E118" s="442"/>
      <c r="F118" s="442"/>
      <c r="G118" s="442"/>
      <c r="H118" s="442"/>
      <c r="I118" s="442"/>
      <c r="J118" s="442"/>
      <c r="K118" s="442"/>
      <c r="L118" s="442"/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  <c r="X118" s="442"/>
    </row>
    <row r="119" ht="19.5" customHeight="1">
      <c r="A119" s="442"/>
      <c r="B119" s="442"/>
      <c r="C119" s="442"/>
      <c r="D119" s="442"/>
      <c r="E119" s="442"/>
      <c r="F119" s="442"/>
      <c r="G119" s="442"/>
      <c r="H119" s="442"/>
      <c r="I119" s="442"/>
      <c r="J119" s="442"/>
      <c r="K119" s="442"/>
      <c r="L119" s="442"/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  <c r="X119" s="442"/>
    </row>
    <row r="120" ht="19.5" customHeight="1">
      <c r="A120" s="442"/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  <c r="X120" s="442"/>
    </row>
    <row r="121" ht="19.5" customHeight="1">
      <c r="A121" s="442"/>
      <c r="B121" s="442"/>
      <c r="C121" s="442"/>
      <c r="D121" s="442"/>
      <c r="E121" s="442"/>
      <c r="F121" s="442"/>
      <c r="G121" s="442"/>
      <c r="H121" s="442"/>
      <c r="I121" s="442"/>
      <c r="J121" s="442"/>
      <c r="K121" s="442"/>
      <c r="L121" s="442"/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  <c r="X121" s="442"/>
    </row>
    <row r="122" ht="19.5" customHeight="1">
      <c r="A122" s="442"/>
      <c r="B122" s="442"/>
      <c r="C122" s="442"/>
      <c r="D122" s="442"/>
      <c r="E122" s="442"/>
      <c r="F122" s="442"/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</row>
    <row r="123" ht="19.5" customHeight="1">
      <c r="A123" s="442"/>
      <c r="B123" s="442"/>
      <c r="C123" s="442"/>
      <c r="D123" s="442"/>
      <c r="E123" s="442"/>
      <c r="F123" s="442"/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</row>
    <row r="124" ht="19.5" customHeight="1">
      <c r="A124" s="442"/>
      <c r="B124" s="442"/>
      <c r="C124" s="442"/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</row>
    <row r="125" ht="19.5" customHeight="1">
      <c r="A125" s="442"/>
      <c r="B125" s="442"/>
      <c r="C125" s="442"/>
      <c r="D125" s="442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</row>
    <row r="126" ht="19.5" customHeight="1">
      <c r="A126" s="442"/>
      <c r="B126" s="442"/>
      <c r="C126" s="442"/>
      <c r="D126" s="442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</row>
    <row r="127" ht="19.5" customHeight="1">
      <c r="A127" s="442"/>
      <c r="B127" s="442"/>
      <c r="C127" s="442"/>
      <c r="D127" s="442"/>
      <c r="E127" s="442"/>
      <c r="F127" s="442"/>
      <c r="G127" s="442"/>
      <c r="H127" s="442"/>
      <c r="I127" s="442"/>
      <c r="J127" s="442"/>
      <c r="K127" s="442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  <c r="X127" s="442"/>
    </row>
    <row r="128" ht="19.5" customHeight="1">
      <c r="A128" s="442"/>
      <c r="B128" s="442"/>
      <c r="C128" s="442"/>
      <c r="D128" s="442"/>
      <c r="E128" s="442"/>
      <c r="F128" s="442"/>
      <c r="G128" s="442"/>
      <c r="H128" s="442"/>
      <c r="I128" s="442"/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  <c r="X128" s="442"/>
    </row>
    <row r="129" ht="19.5" customHeight="1">
      <c r="A129" s="442"/>
      <c r="B129" s="442"/>
      <c r="C129" s="442"/>
      <c r="D129" s="442"/>
      <c r="E129" s="442"/>
      <c r="F129" s="442"/>
      <c r="G129" s="442"/>
      <c r="H129" s="442"/>
      <c r="I129" s="442"/>
      <c r="J129" s="442"/>
      <c r="K129" s="442"/>
      <c r="L129" s="442"/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  <c r="X129" s="442"/>
    </row>
    <row r="130" ht="19.5" customHeight="1">
      <c r="A130" s="442"/>
      <c r="B130" s="442"/>
      <c r="C130" s="442"/>
      <c r="D130" s="442"/>
      <c r="E130" s="442"/>
      <c r="F130" s="442"/>
      <c r="G130" s="442"/>
      <c r="H130" s="442"/>
      <c r="I130" s="442"/>
      <c r="J130" s="442"/>
      <c r="K130" s="442"/>
      <c r="L130" s="442"/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  <c r="X130" s="442"/>
    </row>
    <row r="131" ht="19.5" customHeight="1">
      <c r="A131" s="442"/>
      <c r="B131" s="442"/>
      <c r="C131" s="442"/>
      <c r="D131" s="442"/>
      <c r="E131" s="442"/>
      <c r="F131" s="442"/>
      <c r="G131" s="442"/>
      <c r="H131" s="442"/>
      <c r="I131" s="442"/>
      <c r="J131" s="442"/>
      <c r="K131" s="442"/>
      <c r="L131" s="442"/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  <c r="X131" s="442"/>
    </row>
    <row r="132" ht="19.5" customHeight="1">
      <c r="A132" s="442"/>
      <c r="B132" s="442"/>
      <c r="C132" s="442"/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</row>
    <row r="133" ht="19.5" customHeight="1">
      <c r="A133" s="442"/>
      <c r="B133" s="442"/>
      <c r="C133" s="442"/>
      <c r="D133" s="442"/>
      <c r="E133" s="442"/>
      <c r="F133" s="442"/>
      <c r="G133" s="442"/>
      <c r="H133" s="442"/>
      <c r="I133" s="442"/>
      <c r="J133" s="442"/>
      <c r="K133" s="442"/>
      <c r="L133" s="442"/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  <c r="X133" s="442"/>
    </row>
    <row r="134" ht="19.5" customHeight="1">
      <c r="A134" s="442"/>
      <c r="B134" s="442"/>
      <c r="C134" s="442"/>
      <c r="D134" s="442"/>
      <c r="E134" s="442"/>
      <c r="F134" s="442"/>
      <c r="G134" s="442"/>
      <c r="H134" s="442"/>
      <c r="I134" s="442"/>
      <c r="J134" s="442"/>
      <c r="K134" s="442"/>
      <c r="L134" s="442"/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  <c r="X134" s="442"/>
    </row>
    <row r="135" ht="19.5" customHeight="1">
      <c r="A135" s="442"/>
      <c r="B135" s="442"/>
      <c r="C135" s="442"/>
      <c r="D135" s="442"/>
      <c r="E135" s="442"/>
      <c r="F135" s="442"/>
      <c r="G135" s="442"/>
      <c r="H135" s="442"/>
      <c r="I135" s="442"/>
      <c r="J135" s="442"/>
      <c r="K135" s="442"/>
      <c r="L135" s="442"/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  <c r="X135" s="442"/>
    </row>
    <row r="136" ht="19.5" customHeight="1">
      <c r="A136" s="442"/>
      <c r="B136" s="442"/>
      <c r="C136" s="442"/>
      <c r="D136" s="442"/>
      <c r="E136" s="442"/>
      <c r="F136" s="442"/>
      <c r="G136" s="442"/>
      <c r="H136" s="442"/>
      <c r="I136" s="442"/>
      <c r="J136" s="442"/>
      <c r="K136" s="442"/>
      <c r="L136" s="442"/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  <c r="X136" s="442"/>
    </row>
    <row r="137" ht="19.5" customHeight="1">
      <c r="A137" s="442"/>
      <c r="B137" s="442"/>
      <c r="C137" s="442"/>
      <c r="D137" s="442"/>
      <c r="E137" s="442"/>
      <c r="F137" s="442"/>
      <c r="G137" s="442"/>
      <c r="H137" s="442"/>
      <c r="I137" s="442"/>
      <c r="J137" s="442"/>
      <c r="K137" s="442"/>
      <c r="L137" s="442"/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  <c r="X137" s="442"/>
    </row>
    <row r="138" ht="19.5" customHeight="1">
      <c r="A138" s="442"/>
      <c r="B138" s="442"/>
      <c r="C138" s="442"/>
      <c r="D138" s="442"/>
      <c r="E138" s="442"/>
      <c r="F138" s="442"/>
      <c r="G138" s="442"/>
      <c r="H138" s="442"/>
      <c r="I138" s="442"/>
      <c r="J138" s="442"/>
      <c r="K138" s="442"/>
      <c r="L138" s="442"/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  <c r="X138" s="442"/>
    </row>
    <row r="139" ht="19.5" customHeight="1">
      <c r="A139" s="442"/>
      <c r="B139" s="442"/>
      <c r="C139" s="442"/>
      <c r="D139" s="442"/>
      <c r="E139" s="442"/>
      <c r="F139" s="442"/>
      <c r="G139" s="442"/>
      <c r="H139" s="442"/>
      <c r="I139" s="442"/>
      <c r="J139" s="442"/>
      <c r="K139" s="442"/>
      <c r="L139" s="442"/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  <c r="X139" s="442"/>
    </row>
    <row r="140" ht="19.5" customHeight="1">
      <c r="A140" s="442"/>
      <c r="B140" s="442"/>
      <c r="C140" s="442"/>
      <c r="D140" s="442"/>
      <c r="E140" s="442"/>
      <c r="F140" s="442"/>
      <c r="G140" s="442"/>
      <c r="H140" s="442"/>
      <c r="I140" s="442"/>
      <c r="J140" s="442"/>
      <c r="K140" s="442"/>
      <c r="L140" s="442"/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  <c r="X140" s="442"/>
    </row>
    <row r="141" ht="19.5" customHeight="1">
      <c r="A141" s="442"/>
      <c r="B141" s="442"/>
      <c r="C141" s="442"/>
      <c r="D141" s="442"/>
      <c r="E141" s="442"/>
      <c r="F141" s="442"/>
      <c r="G141" s="442"/>
      <c r="H141" s="442"/>
      <c r="I141" s="442"/>
      <c r="J141" s="442"/>
      <c r="K141" s="442"/>
      <c r="L141" s="442"/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  <c r="X141" s="442"/>
    </row>
    <row r="142" ht="19.5" customHeight="1">
      <c r="A142" s="442"/>
      <c r="B142" s="442"/>
      <c r="C142" s="442"/>
      <c r="D142" s="442"/>
      <c r="E142" s="442"/>
      <c r="F142" s="442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  <c r="X142" s="442"/>
    </row>
    <row r="143" ht="19.5" customHeight="1">
      <c r="A143" s="442"/>
      <c r="B143" s="442"/>
      <c r="C143" s="442"/>
      <c r="D143" s="442"/>
      <c r="E143" s="442"/>
      <c r="F143" s="442"/>
      <c r="G143" s="442"/>
      <c r="H143" s="442"/>
      <c r="I143" s="442"/>
      <c r="J143" s="442"/>
      <c r="K143" s="442"/>
      <c r="L143" s="442"/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  <c r="X143" s="442"/>
    </row>
    <row r="144" ht="19.5" customHeight="1">
      <c r="A144" s="442"/>
      <c r="B144" s="442"/>
      <c r="C144" s="442"/>
      <c r="D144" s="442"/>
      <c r="E144" s="442"/>
      <c r="F144" s="442"/>
      <c r="G144" s="442"/>
      <c r="H144" s="442"/>
      <c r="I144" s="442"/>
      <c r="J144" s="442"/>
      <c r="K144" s="442"/>
      <c r="L144" s="442"/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  <c r="X144" s="442"/>
    </row>
    <row r="145" ht="19.5" customHeight="1">
      <c r="A145" s="442"/>
      <c r="B145" s="442"/>
      <c r="C145" s="442"/>
      <c r="D145" s="442"/>
      <c r="E145" s="442"/>
      <c r="F145" s="442"/>
      <c r="G145" s="442"/>
      <c r="H145" s="442"/>
      <c r="I145" s="442"/>
      <c r="J145" s="442"/>
      <c r="K145" s="442"/>
      <c r="L145" s="442"/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  <c r="X145" s="442"/>
    </row>
    <row r="146" ht="19.5" customHeight="1">
      <c r="A146" s="442"/>
      <c r="B146" s="442"/>
      <c r="C146" s="442"/>
      <c r="D146" s="442"/>
      <c r="E146" s="442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  <c r="X146" s="442"/>
    </row>
    <row r="147" ht="19.5" customHeight="1">
      <c r="A147" s="442"/>
      <c r="B147" s="442"/>
      <c r="C147" s="442"/>
      <c r="D147" s="442"/>
      <c r="E147" s="442"/>
      <c r="F147" s="442"/>
      <c r="G147" s="442"/>
      <c r="H147" s="442"/>
      <c r="I147" s="442"/>
      <c r="J147" s="442"/>
      <c r="K147" s="442"/>
      <c r="L147" s="442"/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  <c r="X147" s="442"/>
    </row>
    <row r="148" ht="19.5" customHeight="1">
      <c r="A148" s="442"/>
      <c r="B148" s="442"/>
      <c r="C148" s="442"/>
      <c r="D148" s="442"/>
      <c r="E148" s="442"/>
      <c r="F148" s="442"/>
      <c r="G148" s="442"/>
      <c r="H148" s="442"/>
      <c r="I148" s="442"/>
      <c r="J148" s="442"/>
      <c r="K148" s="442"/>
      <c r="L148" s="442"/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  <c r="X148" s="442"/>
    </row>
    <row r="149" ht="19.5" customHeight="1">
      <c r="A149" s="442"/>
      <c r="B149" s="442"/>
      <c r="C149" s="442"/>
      <c r="D149" s="442"/>
      <c r="E149" s="442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</row>
    <row r="150" ht="19.5" customHeight="1">
      <c r="A150" s="442"/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  <c r="X150" s="442"/>
    </row>
    <row r="151" ht="19.5" customHeight="1">
      <c r="A151" s="442"/>
      <c r="B151" s="442"/>
      <c r="C151" s="442"/>
      <c r="D151" s="442"/>
      <c r="E151" s="442"/>
      <c r="F151" s="442"/>
      <c r="G151" s="442"/>
      <c r="H151" s="442"/>
      <c r="I151" s="442"/>
      <c r="J151" s="442"/>
      <c r="K151" s="442"/>
      <c r="L151" s="442"/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  <c r="X151" s="442"/>
    </row>
    <row r="152" ht="19.5" customHeight="1">
      <c r="A152" s="442"/>
      <c r="B152" s="442"/>
      <c r="C152" s="442"/>
      <c r="D152" s="442"/>
      <c r="E152" s="442"/>
      <c r="F152" s="442"/>
      <c r="G152" s="442"/>
      <c r="H152" s="442"/>
      <c r="I152" s="442"/>
      <c r="J152" s="442"/>
      <c r="K152" s="442"/>
      <c r="L152" s="442"/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  <c r="X152" s="442"/>
    </row>
    <row r="153" ht="19.5" customHeight="1">
      <c r="A153" s="442"/>
      <c r="B153" s="442"/>
      <c r="C153" s="442"/>
      <c r="D153" s="442"/>
      <c r="E153" s="442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</row>
    <row r="154" ht="19.5" customHeight="1">
      <c r="A154" s="442"/>
      <c r="B154" s="442"/>
      <c r="C154" s="442"/>
      <c r="D154" s="442"/>
      <c r="E154" s="442"/>
      <c r="F154" s="442"/>
      <c r="G154" s="442"/>
      <c r="H154" s="442"/>
      <c r="I154" s="442"/>
      <c r="J154" s="442"/>
      <c r="K154" s="442"/>
      <c r="L154" s="442"/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</row>
    <row r="155" ht="19.5" customHeight="1">
      <c r="A155" s="442"/>
      <c r="B155" s="442"/>
      <c r="C155" s="442"/>
      <c r="D155" s="442"/>
      <c r="E155" s="442"/>
      <c r="F155" s="442"/>
      <c r="G155" s="442"/>
      <c r="H155" s="442"/>
      <c r="I155" s="442"/>
      <c r="J155" s="442"/>
      <c r="K155" s="442"/>
      <c r="L155" s="442"/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</row>
    <row r="156" ht="19.5" customHeight="1">
      <c r="A156" s="442"/>
      <c r="B156" s="442"/>
      <c r="C156" s="442"/>
      <c r="D156" s="442"/>
      <c r="E156" s="442"/>
      <c r="F156" s="442"/>
      <c r="G156" s="442"/>
      <c r="H156" s="442"/>
      <c r="I156" s="442"/>
      <c r="J156" s="442"/>
      <c r="K156" s="442"/>
      <c r="L156" s="442"/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</row>
    <row r="157" ht="19.5" customHeight="1">
      <c r="A157" s="442"/>
      <c r="B157" s="442"/>
      <c r="C157" s="442"/>
      <c r="D157" s="442"/>
      <c r="E157" s="442"/>
      <c r="F157" s="442"/>
      <c r="G157" s="442"/>
      <c r="H157" s="442"/>
      <c r="I157" s="442"/>
      <c r="J157" s="442"/>
      <c r="K157" s="442"/>
      <c r="L157" s="442"/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  <c r="X157" s="442"/>
    </row>
    <row r="158" ht="19.5" customHeight="1">
      <c r="A158" s="442"/>
      <c r="B158" s="442"/>
      <c r="C158" s="442"/>
      <c r="D158" s="442"/>
      <c r="E158" s="442"/>
      <c r="F158" s="442"/>
      <c r="G158" s="442"/>
      <c r="H158" s="442"/>
      <c r="I158" s="442"/>
      <c r="J158" s="442"/>
      <c r="K158" s="442"/>
      <c r="L158" s="442"/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  <c r="X158" s="442"/>
    </row>
    <row r="159" ht="19.5" customHeight="1">
      <c r="A159" s="442"/>
      <c r="B159" s="442"/>
      <c r="C159" s="442"/>
      <c r="D159" s="442"/>
      <c r="E159" s="442"/>
      <c r="F159" s="442"/>
      <c r="G159" s="442"/>
      <c r="H159" s="442"/>
      <c r="I159" s="442"/>
      <c r="J159" s="442"/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</row>
    <row r="160" ht="19.5" customHeight="1">
      <c r="A160" s="442"/>
      <c r="B160" s="442"/>
      <c r="C160" s="442"/>
      <c r="D160" s="442"/>
      <c r="E160" s="442"/>
      <c r="F160" s="442"/>
      <c r="G160" s="442"/>
      <c r="H160" s="442"/>
      <c r="I160" s="442"/>
      <c r="J160" s="442"/>
      <c r="K160" s="442"/>
      <c r="L160" s="442"/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  <c r="X160" s="442"/>
    </row>
    <row r="161" ht="19.5" customHeight="1">
      <c r="A161" s="442"/>
      <c r="B161" s="442"/>
      <c r="C161" s="442"/>
      <c r="D161" s="442"/>
      <c r="E161" s="442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  <c r="X161" s="442"/>
    </row>
    <row r="162" ht="19.5" customHeight="1">
      <c r="A162" s="442"/>
      <c r="B162" s="442"/>
      <c r="C162" s="442"/>
      <c r="D162" s="442"/>
      <c r="E162" s="442"/>
      <c r="F162" s="442"/>
      <c r="G162" s="442"/>
      <c r="H162" s="442"/>
      <c r="I162" s="442"/>
      <c r="J162" s="442"/>
      <c r="K162" s="442"/>
      <c r="L162" s="442"/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  <c r="X162" s="442"/>
    </row>
    <row r="163" ht="19.5" customHeight="1">
      <c r="A163" s="442"/>
      <c r="B163" s="442"/>
      <c r="C163" s="442"/>
      <c r="D163" s="442"/>
      <c r="E163" s="442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  <c r="X163" s="442"/>
    </row>
    <row r="164" ht="19.5" customHeight="1">
      <c r="A164" s="442"/>
      <c r="B164" s="442"/>
      <c r="C164" s="442"/>
      <c r="D164" s="442"/>
      <c r="E164" s="442"/>
      <c r="F164" s="442"/>
      <c r="G164" s="442"/>
      <c r="H164" s="442"/>
      <c r="I164" s="442"/>
      <c r="J164" s="442"/>
      <c r="K164" s="442"/>
      <c r="L164" s="442"/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  <c r="X164" s="442"/>
    </row>
    <row r="165" ht="19.5" customHeight="1">
      <c r="A165" s="442"/>
      <c r="B165" s="442"/>
      <c r="C165" s="442"/>
      <c r="D165" s="442"/>
      <c r="E165" s="442"/>
      <c r="F165" s="442"/>
      <c r="G165" s="442"/>
      <c r="H165" s="442"/>
      <c r="I165" s="442"/>
      <c r="J165" s="442"/>
      <c r="K165" s="442"/>
      <c r="L165" s="442"/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  <c r="X165" s="442"/>
    </row>
    <row r="166" ht="19.5" customHeight="1">
      <c r="A166" s="442"/>
      <c r="B166" s="442"/>
      <c r="C166" s="442"/>
      <c r="D166" s="442"/>
      <c r="E166" s="442"/>
      <c r="F166" s="442"/>
      <c r="G166" s="442"/>
      <c r="H166" s="442"/>
      <c r="I166" s="442"/>
      <c r="J166" s="442"/>
      <c r="K166" s="442"/>
      <c r="L166" s="442"/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  <c r="X166" s="442"/>
    </row>
    <row r="167" ht="19.5" customHeight="1">
      <c r="A167" s="442"/>
      <c r="B167" s="442"/>
      <c r="C167" s="442"/>
      <c r="D167" s="442"/>
      <c r="E167" s="442"/>
      <c r="F167" s="442"/>
      <c r="G167" s="442"/>
      <c r="H167" s="442"/>
      <c r="I167" s="442"/>
      <c r="J167" s="442"/>
      <c r="K167" s="442"/>
      <c r="L167" s="442"/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  <c r="X167" s="442"/>
    </row>
    <row r="168" ht="19.5" customHeight="1">
      <c r="A168" s="442"/>
      <c r="B168" s="442"/>
      <c r="C168" s="442"/>
      <c r="D168" s="442"/>
      <c r="E168" s="442"/>
      <c r="F168" s="442"/>
      <c r="G168" s="442"/>
      <c r="H168" s="442"/>
      <c r="I168" s="442"/>
      <c r="J168" s="442"/>
      <c r="K168" s="442"/>
      <c r="L168" s="442"/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  <c r="X168" s="442"/>
    </row>
    <row r="169" ht="19.5" customHeight="1">
      <c r="A169" s="442"/>
      <c r="B169" s="442"/>
      <c r="C169" s="442"/>
      <c r="D169" s="442"/>
      <c r="E169" s="442"/>
      <c r="F169" s="442"/>
      <c r="G169" s="442"/>
      <c r="H169" s="442"/>
      <c r="I169" s="442"/>
      <c r="J169" s="442"/>
      <c r="K169" s="442"/>
      <c r="L169" s="442"/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  <c r="X169" s="442"/>
    </row>
    <row r="170" ht="19.5" customHeight="1">
      <c r="A170" s="442"/>
      <c r="B170" s="442"/>
      <c r="C170" s="442"/>
      <c r="D170" s="442"/>
      <c r="E170" s="442"/>
      <c r="F170" s="442"/>
      <c r="G170" s="442"/>
      <c r="H170" s="442"/>
      <c r="I170" s="442"/>
      <c r="J170" s="442"/>
      <c r="K170" s="442"/>
      <c r="L170" s="442"/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  <c r="X170" s="442"/>
    </row>
    <row r="171" ht="19.5" customHeight="1">
      <c r="A171" s="442"/>
      <c r="B171" s="442"/>
      <c r="C171" s="442"/>
      <c r="D171" s="442"/>
      <c r="E171" s="442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  <c r="X171" s="442"/>
    </row>
    <row r="172" ht="19.5" customHeight="1">
      <c r="A172" s="442"/>
      <c r="B172" s="442"/>
      <c r="C172" s="442"/>
      <c r="D172" s="442"/>
      <c r="E172" s="442"/>
      <c r="F172" s="442"/>
      <c r="G172" s="442"/>
      <c r="H172" s="442"/>
      <c r="I172" s="442"/>
      <c r="J172" s="442"/>
      <c r="K172" s="442"/>
      <c r="L172" s="442"/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  <c r="X172" s="442"/>
    </row>
    <row r="173" ht="19.5" customHeight="1">
      <c r="A173" s="442"/>
      <c r="B173" s="442"/>
      <c r="C173" s="442"/>
      <c r="D173" s="442"/>
      <c r="E173" s="442"/>
      <c r="F173" s="442"/>
      <c r="G173" s="442"/>
      <c r="H173" s="442"/>
      <c r="I173" s="442"/>
      <c r="J173" s="442"/>
      <c r="K173" s="442"/>
      <c r="L173" s="442"/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  <c r="X173" s="442"/>
    </row>
    <row r="174" ht="19.5" customHeight="1">
      <c r="A174" s="442"/>
      <c r="B174" s="442"/>
      <c r="C174" s="442"/>
      <c r="D174" s="442"/>
      <c r="E174" s="442"/>
      <c r="F174" s="442"/>
      <c r="G174" s="442"/>
      <c r="H174" s="442"/>
      <c r="I174" s="442"/>
      <c r="J174" s="442"/>
      <c r="K174" s="442"/>
      <c r="L174" s="442"/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  <c r="X174" s="442"/>
    </row>
    <row r="175" ht="19.5" customHeight="1">
      <c r="A175" s="442"/>
      <c r="B175" s="442"/>
      <c r="C175" s="442"/>
      <c r="D175" s="442"/>
      <c r="E175" s="442"/>
      <c r="F175" s="442"/>
      <c r="G175" s="442"/>
      <c r="H175" s="442"/>
      <c r="I175" s="442"/>
      <c r="J175" s="442"/>
      <c r="K175" s="442"/>
      <c r="L175" s="442"/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  <c r="X175" s="442"/>
    </row>
    <row r="176" ht="19.5" customHeight="1">
      <c r="A176" s="442"/>
      <c r="B176" s="442"/>
      <c r="C176" s="442"/>
      <c r="D176" s="442"/>
      <c r="E176" s="442"/>
      <c r="F176" s="442"/>
      <c r="G176" s="442"/>
      <c r="H176" s="442"/>
      <c r="I176" s="442"/>
      <c r="J176" s="442"/>
      <c r="K176" s="442"/>
      <c r="L176" s="442"/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  <c r="X176" s="442"/>
    </row>
    <row r="177" ht="19.5" customHeight="1">
      <c r="A177" s="442"/>
      <c r="B177" s="442"/>
      <c r="C177" s="442"/>
      <c r="D177" s="442"/>
      <c r="E177" s="442"/>
      <c r="F177" s="442"/>
      <c r="G177" s="442"/>
      <c r="H177" s="442"/>
      <c r="I177" s="442"/>
      <c r="J177" s="442"/>
      <c r="K177" s="442"/>
      <c r="L177" s="442"/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  <c r="X177" s="442"/>
    </row>
    <row r="178" ht="19.5" customHeight="1">
      <c r="A178" s="442"/>
      <c r="B178" s="442"/>
      <c r="C178" s="442"/>
      <c r="D178" s="442"/>
      <c r="E178" s="442"/>
      <c r="F178" s="442"/>
      <c r="G178" s="442"/>
      <c r="H178" s="442"/>
      <c r="I178" s="442"/>
      <c r="J178" s="442"/>
      <c r="K178" s="442"/>
      <c r="L178" s="442"/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  <c r="X178" s="442"/>
    </row>
    <row r="179" ht="19.5" customHeight="1">
      <c r="A179" s="442"/>
      <c r="B179" s="442"/>
      <c r="C179" s="442"/>
      <c r="D179" s="442"/>
      <c r="E179" s="442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</row>
    <row r="180" ht="19.5" customHeight="1">
      <c r="A180" s="442"/>
      <c r="B180" s="442"/>
      <c r="C180" s="442"/>
      <c r="D180" s="442"/>
      <c r="E180" s="442"/>
      <c r="F180" s="442"/>
      <c r="G180" s="442"/>
      <c r="H180" s="442"/>
      <c r="I180" s="442"/>
      <c r="J180" s="442"/>
      <c r="K180" s="442"/>
      <c r="L180" s="442"/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  <c r="X180" s="442"/>
    </row>
    <row r="181" ht="19.5" customHeight="1">
      <c r="A181" s="442"/>
      <c r="B181" s="442"/>
      <c r="C181" s="442"/>
      <c r="D181" s="442"/>
      <c r="E181" s="442"/>
      <c r="F181" s="442"/>
      <c r="G181" s="442"/>
      <c r="H181" s="442"/>
      <c r="I181" s="442"/>
      <c r="J181" s="442"/>
      <c r="K181" s="442"/>
      <c r="L181" s="442"/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  <c r="X181" s="442"/>
    </row>
    <row r="182" ht="19.5" customHeight="1">
      <c r="A182" s="442"/>
      <c r="B182" s="442"/>
      <c r="C182" s="442"/>
      <c r="D182" s="442"/>
      <c r="E182" s="442"/>
      <c r="F182" s="442"/>
      <c r="G182" s="442"/>
      <c r="H182" s="442"/>
      <c r="I182" s="442"/>
      <c r="J182" s="442"/>
      <c r="K182" s="442"/>
      <c r="L182" s="442"/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  <c r="X182" s="442"/>
    </row>
    <row r="183" ht="19.5" customHeight="1">
      <c r="A183" s="442"/>
      <c r="B183" s="442"/>
      <c r="C183" s="442"/>
      <c r="D183" s="442"/>
      <c r="E183" s="442"/>
      <c r="F183" s="442"/>
      <c r="G183" s="442"/>
      <c r="H183" s="442"/>
      <c r="I183" s="442"/>
      <c r="J183" s="442"/>
      <c r="K183" s="442"/>
      <c r="L183" s="442"/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  <c r="X183" s="442"/>
    </row>
    <row r="184" ht="19.5" customHeight="1">
      <c r="A184" s="442"/>
      <c r="B184" s="442"/>
      <c r="C184" s="442"/>
      <c r="D184" s="442"/>
      <c r="E184" s="442"/>
      <c r="F184" s="442"/>
      <c r="G184" s="442"/>
      <c r="H184" s="442"/>
      <c r="I184" s="442"/>
      <c r="J184" s="442"/>
      <c r="K184" s="442"/>
      <c r="L184" s="442"/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  <c r="X184" s="442"/>
    </row>
    <row r="185" ht="19.5" customHeight="1">
      <c r="A185" s="442"/>
      <c r="B185" s="442"/>
      <c r="C185" s="442"/>
      <c r="D185" s="442"/>
      <c r="E185" s="442"/>
      <c r="F185" s="442"/>
      <c r="G185" s="442"/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  <c r="X185" s="442"/>
    </row>
    <row r="186" ht="19.5" customHeight="1">
      <c r="A186" s="442"/>
      <c r="B186" s="442"/>
      <c r="C186" s="442"/>
      <c r="D186" s="442"/>
      <c r="E186" s="442"/>
      <c r="F186" s="442"/>
      <c r="G186" s="442"/>
      <c r="H186" s="442"/>
      <c r="I186" s="442"/>
      <c r="J186" s="442"/>
      <c r="K186" s="442"/>
      <c r="L186" s="442"/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  <c r="X186" s="442"/>
    </row>
    <row r="187" ht="19.5" customHeight="1">
      <c r="A187" s="442"/>
      <c r="B187" s="442"/>
      <c r="C187" s="442"/>
      <c r="D187" s="442"/>
      <c r="E187" s="442"/>
      <c r="F187" s="442"/>
      <c r="G187" s="442"/>
      <c r="H187" s="442"/>
      <c r="I187" s="442"/>
      <c r="J187" s="442"/>
      <c r="K187" s="442"/>
      <c r="L187" s="442"/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  <c r="X187" s="442"/>
    </row>
    <row r="188" ht="19.5" customHeight="1">
      <c r="A188" s="442"/>
      <c r="B188" s="442"/>
      <c r="C188" s="442"/>
      <c r="D188" s="442"/>
      <c r="E188" s="442"/>
      <c r="F188" s="442"/>
      <c r="G188" s="442"/>
      <c r="H188" s="442"/>
      <c r="I188" s="442"/>
      <c r="J188" s="442"/>
      <c r="K188" s="442"/>
      <c r="L188" s="442"/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  <c r="X188" s="442"/>
    </row>
    <row r="189" ht="19.5" customHeight="1">
      <c r="A189" s="442"/>
      <c r="B189" s="442"/>
      <c r="C189" s="442"/>
      <c r="D189" s="442"/>
      <c r="E189" s="442"/>
      <c r="F189" s="442"/>
      <c r="G189" s="442"/>
      <c r="H189" s="442"/>
      <c r="I189" s="442"/>
      <c r="J189" s="442"/>
      <c r="K189" s="442"/>
      <c r="L189" s="442"/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  <c r="X189" s="442"/>
    </row>
    <row r="190" ht="19.5" customHeight="1">
      <c r="A190" s="442"/>
      <c r="B190" s="442"/>
      <c r="C190" s="442"/>
      <c r="D190" s="442"/>
      <c r="E190" s="442"/>
      <c r="F190" s="442"/>
      <c r="G190" s="442"/>
      <c r="H190" s="442"/>
      <c r="I190" s="442"/>
      <c r="J190" s="442"/>
      <c r="K190" s="442"/>
      <c r="L190" s="442"/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  <c r="X190" s="442"/>
    </row>
    <row r="191" ht="19.5" customHeight="1">
      <c r="A191" s="442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</row>
    <row r="192" ht="19.5" customHeight="1">
      <c r="A192" s="442"/>
      <c r="B192" s="442"/>
      <c r="C192" s="442"/>
      <c r="D192" s="442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</row>
    <row r="193" ht="19.5" customHeight="1">
      <c r="A193" s="442"/>
      <c r="B193" s="442"/>
      <c r="C193" s="442"/>
      <c r="D193" s="442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</row>
    <row r="194" ht="19.5" customHeight="1">
      <c r="A194" s="442"/>
      <c r="B194" s="442"/>
      <c r="C194" s="442"/>
      <c r="D194" s="442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</row>
    <row r="195" ht="19.5" customHeight="1">
      <c r="A195" s="442"/>
      <c r="B195" s="442"/>
      <c r="C195" s="442"/>
      <c r="D195" s="442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</row>
    <row r="196" ht="19.5" customHeight="1">
      <c r="A196" s="442"/>
      <c r="B196" s="442"/>
      <c r="C196" s="442"/>
      <c r="D196" s="442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</row>
    <row r="197" ht="19.5" customHeight="1">
      <c r="A197" s="442"/>
      <c r="B197" s="442"/>
      <c r="C197" s="442"/>
      <c r="D197" s="442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</row>
    <row r="198" ht="19.5" customHeight="1">
      <c r="A198" s="442"/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</row>
    <row r="199" ht="19.5" customHeight="1">
      <c r="A199" s="442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</row>
    <row r="200" ht="19.5" customHeight="1">
      <c r="A200" s="442"/>
      <c r="B200" s="442"/>
      <c r="C200" s="442"/>
      <c r="D200" s="442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</row>
    <row r="201" ht="19.5" customHeight="1">
      <c r="A201" s="442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</row>
    <row r="202" ht="19.5" customHeight="1">
      <c r="A202" s="442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</row>
    <row r="203" ht="19.5" customHeight="1">
      <c r="A203" s="442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</row>
    <row r="204" ht="19.5" customHeight="1">
      <c r="A204" s="442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</row>
    <row r="205" ht="19.5" customHeight="1">
      <c r="A205" s="442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</row>
    <row r="206" ht="19.5" customHeight="1">
      <c r="A206" s="442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</row>
    <row r="207" ht="19.5" customHeight="1">
      <c r="A207" s="442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</row>
    <row r="208" ht="19.5" customHeight="1">
      <c r="A208" s="442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</row>
    <row r="209" ht="19.5" customHeight="1">
      <c r="A209" s="442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</row>
    <row r="210" ht="19.5" customHeight="1">
      <c r="A210" s="442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</row>
    <row r="211" ht="19.5" customHeight="1">
      <c r="A211" s="442"/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</row>
    <row r="212" ht="19.5" customHeight="1">
      <c r="A212" s="442"/>
      <c r="B212" s="442"/>
      <c r="C212" s="442"/>
      <c r="D212" s="442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</row>
    <row r="213" ht="19.5" customHeight="1">
      <c r="A213" s="442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</row>
    <row r="214" ht="19.5" customHeight="1">
      <c r="A214" s="442"/>
      <c r="B214" s="442"/>
      <c r="C214" s="442"/>
      <c r="D214" s="442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</row>
    <row r="215" ht="19.5" customHeight="1">
      <c r="A215" s="442"/>
      <c r="B215" s="442"/>
      <c r="C215" s="442"/>
      <c r="D215" s="442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</row>
    <row r="216" ht="19.5" customHeight="1">
      <c r="A216" s="442"/>
      <c r="B216" s="442"/>
      <c r="C216" s="442"/>
      <c r="D216" s="442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</row>
    <row r="217" ht="19.5" customHeight="1">
      <c r="A217" s="442"/>
      <c r="B217" s="442"/>
      <c r="C217" s="442"/>
      <c r="D217" s="442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</row>
    <row r="218" ht="19.5" customHeight="1">
      <c r="A218" s="442"/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</row>
    <row r="219" ht="19.5" customHeight="1">
      <c r="A219" s="442"/>
      <c r="B219" s="442"/>
      <c r="C219" s="442"/>
      <c r="D219" s="442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</row>
    <row r="220" ht="19.5" customHeight="1">
      <c r="A220" s="442"/>
      <c r="B220" s="442"/>
      <c r="C220" s="442"/>
      <c r="D220" s="442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</row>
    <row r="221" ht="19.5" customHeight="1">
      <c r="A221" s="442"/>
      <c r="B221" s="442"/>
      <c r="C221" s="442"/>
      <c r="D221" s="442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</row>
    <row r="222" ht="19.5" customHeight="1">
      <c r="A222" s="442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</row>
    <row r="223" ht="19.5" customHeight="1">
      <c r="A223" s="442"/>
      <c r="B223" s="442"/>
      <c r="C223" s="442"/>
      <c r="D223" s="442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</row>
    <row r="224" ht="19.5" customHeight="1">
      <c r="A224" s="442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</row>
    <row r="225" ht="19.5" customHeight="1">
      <c r="A225" s="442"/>
      <c r="B225" s="442"/>
      <c r="C225" s="442"/>
      <c r="D225" s="442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</row>
    <row r="226" ht="19.5" customHeight="1">
      <c r="A226" s="442"/>
      <c r="B226" s="442"/>
      <c r="C226" s="442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</row>
    <row r="227" ht="19.5" customHeight="1">
      <c r="A227" s="442"/>
      <c r="B227" s="442"/>
      <c r="C227" s="442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</row>
    <row r="228" ht="19.5" customHeight="1">
      <c r="A228" s="442"/>
      <c r="B228" s="442"/>
      <c r="C228" s="442"/>
      <c r="D228" s="442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</row>
    <row r="229" ht="19.5" customHeight="1">
      <c r="A229" s="442"/>
      <c r="B229" s="442"/>
      <c r="C229" s="442"/>
      <c r="D229" s="442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</row>
    <row r="230" ht="19.5" customHeight="1">
      <c r="A230" s="442"/>
      <c r="B230" s="442"/>
      <c r="C230" s="442"/>
      <c r="D230" s="442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</row>
    <row r="231" ht="19.5" customHeight="1">
      <c r="A231" s="442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</row>
    <row r="232" ht="19.5" customHeight="1">
      <c r="A232" s="442"/>
      <c r="B232" s="442"/>
      <c r="C232" s="442"/>
      <c r="D232" s="442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</row>
    <row r="233" ht="19.5" customHeight="1">
      <c r="A233" s="442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</row>
    <row r="234" ht="19.5" customHeight="1">
      <c r="A234" s="442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</row>
    <row r="235" ht="19.5" customHeight="1">
      <c r="A235" s="442"/>
      <c r="B235" s="442"/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</row>
    <row r="236" ht="19.5" customHeight="1">
      <c r="A236" s="442"/>
      <c r="B236" s="442"/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</row>
    <row r="237" ht="19.5" customHeight="1">
      <c r="A237" s="442"/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</row>
    <row r="238" ht="19.5" customHeight="1">
      <c r="A238" s="442"/>
      <c r="B238" s="442"/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</row>
    <row r="239" ht="19.5" customHeight="1">
      <c r="A239" s="442"/>
      <c r="B239" s="442"/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</row>
    <row r="240" ht="19.5" customHeight="1">
      <c r="A240" s="442"/>
      <c r="B240" s="442"/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</row>
    <row r="241" ht="19.5" customHeight="1">
      <c r="A241" s="442"/>
      <c r="B241" s="442"/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</row>
    <row r="242" ht="19.5" customHeight="1">
      <c r="A242" s="442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</row>
    <row r="243" ht="19.5" customHeight="1">
      <c r="A243" s="442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</row>
    <row r="244" ht="19.5" customHeight="1">
      <c r="A244" s="442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</row>
    <row r="245" ht="19.5" customHeight="1">
      <c r="A245" s="442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</row>
    <row r="246" ht="19.5" customHeight="1">
      <c r="A246" s="442"/>
      <c r="B246" s="442"/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</row>
    <row r="247" ht="19.5" customHeight="1">
      <c r="A247" s="442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</row>
    <row r="248" ht="19.5" customHeight="1">
      <c r="A248" s="442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</row>
    <row r="249" ht="19.5" customHeight="1">
      <c r="A249" s="442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</row>
    <row r="250" ht="19.5" customHeight="1">
      <c r="A250" s="442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</row>
    <row r="251" ht="19.5" customHeight="1">
      <c r="A251" s="442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</row>
    <row r="252" ht="19.5" customHeight="1">
      <c r="A252" s="442"/>
      <c r="B252" s="442"/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</row>
    <row r="253" ht="19.5" customHeight="1">
      <c r="A253" s="442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</row>
    <row r="254" ht="19.5" customHeight="1">
      <c r="A254" s="442"/>
      <c r="B254" s="442"/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</row>
    <row r="255" ht="19.5" customHeight="1">
      <c r="A255" s="442"/>
      <c r="B255" s="442"/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</row>
    <row r="256" ht="19.5" customHeight="1">
      <c r="A256" s="442"/>
      <c r="B256" s="442"/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</row>
    <row r="257" ht="19.5" customHeight="1">
      <c r="A257" s="442"/>
      <c r="B257" s="442"/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</row>
    <row r="258" ht="19.5" customHeight="1">
      <c r="A258" s="442"/>
      <c r="B258" s="442"/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</row>
    <row r="259" ht="19.5" customHeight="1">
      <c r="A259" s="442"/>
      <c r="B259" s="442"/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</row>
    <row r="260" ht="19.5" customHeight="1">
      <c r="A260" s="442"/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</row>
    <row r="261" ht="19.5" customHeight="1">
      <c r="A261" s="442"/>
      <c r="B261" s="442"/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</row>
    <row r="262" ht="19.5" customHeight="1">
      <c r="A262" s="442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</row>
    <row r="263" ht="19.5" customHeight="1">
      <c r="A263" s="442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</row>
    <row r="264" ht="19.5" customHeight="1">
      <c r="A264" s="442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</row>
    <row r="265" ht="19.5" customHeight="1">
      <c r="A265" s="442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</row>
    <row r="266" ht="19.5" customHeight="1">
      <c r="A266" s="442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</row>
    <row r="267" ht="19.5" customHeight="1">
      <c r="A267" s="442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</row>
    <row r="268" ht="19.5" customHeight="1">
      <c r="A268" s="442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</row>
    <row r="269" ht="19.5" customHeight="1">
      <c r="A269" s="442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</row>
    <row r="270" ht="19.5" customHeight="1">
      <c r="A270" s="442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</row>
    <row r="271" ht="19.5" customHeight="1">
      <c r="A271" s="442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</row>
    <row r="272" ht="19.5" customHeight="1">
      <c r="A272" s="442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</row>
    <row r="273" ht="19.5" customHeight="1">
      <c r="A273" s="442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</row>
    <row r="274" ht="19.5" customHeight="1">
      <c r="A274" s="442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</row>
    <row r="275" ht="19.5" customHeight="1">
      <c r="A275" s="442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</row>
    <row r="276" ht="19.5" customHeight="1">
      <c r="A276" s="442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</row>
    <row r="277" ht="19.5" customHeight="1">
      <c r="A277" s="442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</row>
    <row r="278" ht="19.5" customHeight="1">
      <c r="A278" s="442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</row>
    <row r="279" ht="19.5" customHeight="1">
      <c r="A279" s="442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</row>
    <row r="280" ht="19.5" customHeight="1">
      <c r="A280" s="442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</row>
    <row r="281" ht="19.5" customHeight="1">
      <c r="A281" s="442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</row>
    <row r="282" ht="19.5" customHeight="1">
      <c r="A282" s="442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</row>
    <row r="283" ht="19.5" customHeight="1">
      <c r="A283" s="442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</row>
    <row r="284" ht="19.5" customHeight="1">
      <c r="A284" s="442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</row>
    <row r="285" ht="19.5" customHeight="1">
      <c r="A285" s="442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</row>
    <row r="286" ht="19.5" customHeight="1">
      <c r="A286" s="442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</row>
    <row r="287" ht="19.5" customHeight="1">
      <c r="A287" s="442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</row>
    <row r="288" ht="19.5" customHeight="1">
      <c r="A288" s="442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</row>
    <row r="289" ht="19.5" customHeight="1">
      <c r="A289" s="442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</row>
    <row r="290" ht="19.5" customHeight="1">
      <c r="A290" s="442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</row>
    <row r="291" ht="19.5" customHeight="1">
      <c r="A291" s="442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</row>
    <row r="292" ht="19.5" customHeight="1">
      <c r="A292" s="442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</row>
    <row r="293" ht="19.5" customHeight="1">
      <c r="A293" s="442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</row>
    <row r="294" ht="19.5" customHeight="1">
      <c r="A294" s="442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</row>
    <row r="295" ht="19.5" customHeight="1">
      <c r="A295" s="442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</row>
    <row r="296" ht="19.5" customHeight="1">
      <c r="A296" s="442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</row>
    <row r="297" ht="19.5" customHeight="1">
      <c r="A297" s="442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</row>
    <row r="298" ht="19.5" customHeight="1">
      <c r="A298" s="442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</row>
    <row r="299" ht="19.5" customHeight="1">
      <c r="A299" s="442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</row>
    <row r="300" ht="19.5" customHeight="1">
      <c r="A300" s="442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</row>
    <row r="301" ht="19.5" customHeight="1">
      <c r="A301" s="442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</row>
    <row r="302" ht="19.5" customHeight="1">
      <c r="A302" s="442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</row>
    <row r="303" ht="19.5" customHeight="1">
      <c r="A303" s="442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</row>
    <row r="304" ht="19.5" customHeight="1">
      <c r="A304" s="442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</row>
    <row r="305" ht="19.5" customHeight="1">
      <c r="A305" s="442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</row>
    <row r="306" ht="19.5" customHeight="1">
      <c r="A306" s="442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</row>
    <row r="307" ht="19.5" customHeight="1">
      <c r="A307" s="442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</row>
    <row r="308" ht="19.5" customHeight="1">
      <c r="A308" s="442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</row>
    <row r="309" ht="19.5" customHeight="1">
      <c r="A309" s="442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</row>
    <row r="310" ht="19.5" customHeight="1">
      <c r="A310" s="442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</row>
    <row r="311" ht="19.5" customHeight="1">
      <c r="A311" s="442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</row>
    <row r="312" ht="19.5" customHeight="1">
      <c r="A312" s="442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</row>
    <row r="313" ht="19.5" customHeight="1">
      <c r="A313" s="442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</row>
    <row r="314" ht="19.5" customHeight="1">
      <c r="A314" s="442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</row>
    <row r="315" ht="19.5" customHeight="1">
      <c r="A315" s="442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</row>
    <row r="316" ht="19.5" customHeight="1">
      <c r="A316" s="442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</row>
    <row r="317" ht="19.5" customHeight="1">
      <c r="A317" s="442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</row>
    <row r="318" ht="19.5" customHeight="1">
      <c r="A318" s="442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</row>
    <row r="319" ht="19.5" customHeight="1">
      <c r="A319" s="442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</row>
    <row r="320" ht="19.5" customHeight="1">
      <c r="A320" s="442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</row>
    <row r="321" ht="19.5" customHeight="1">
      <c r="A321" s="442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</row>
    <row r="322" ht="19.5" customHeight="1">
      <c r="A322" s="442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</row>
    <row r="323" ht="19.5" customHeight="1">
      <c r="A323" s="442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</row>
    <row r="324" ht="19.5" customHeight="1">
      <c r="A324" s="442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</row>
    <row r="325" ht="19.5" customHeight="1">
      <c r="A325" s="442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</row>
    <row r="326" ht="19.5" customHeight="1">
      <c r="A326" s="442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</row>
    <row r="327" ht="19.5" customHeight="1">
      <c r="A327" s="442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</row>
    <row r="328" ht="19.5" customHeight="1">
      <c r="A328" s="442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</row>
    <row r="329" ht="19.5" customHeight="1">
      <c r="A329" s="442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</row>
    <row r="330" ht="19.5" customHeight="1">
      <c r="A330" s="442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</row>
    <row r="331" ht="19.5" customHeight="1">
      <c r="A331" s="442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</row>
    <row r="332" ht="19.5" customHeight="1">
      <c r="A332" s="442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</row>
    <row r="333" ht="19.5" customHeight="1">
      <c r="A333" s="442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</row>
    <row r="334" ht="19.5" customHeight="1">
      <c r="A334" s="442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</row>
    <row r="335" ht="19.5" customHeight="1">
      <c r="A335" s="442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</row>
    <row r="336" ht="19.5" customHeight="1">
      <c r="A336" s="442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</row>
    <row r="337" ht="19.5" customHeight="1">
      <c r="A337" s="442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</row>
    <row r="338" ht="19.5" customHeight="1">
      <c r="A338" s="442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</row>
    <row r="339" ht="19.5" customHeight="1">
      <c r="A339" s="442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</row>
    <row r="340" ht="19.5" customHeight="1">
      <c r="A340" s="442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</row>
    <row r="341" ht="19.5" customHeight="1">
      <c r="A341" s="442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</row>
    <row r="342" ht="19.5" customHeight="1">
      <c r="A342" s="442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</row>
    <row r="343" ht="19.5" customHeight="1">
      <c r="A343" s="442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</row>
    <row r="344" ht="19.5" customHeight="1">
      <c r="A344" s="442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</row>
    <row r="345" ht="19.5" customHeight="1">
      <c r="A345" s="442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</row>
    <row r="346" ht="19.5" customHeight="1">
      <c r="A346" s="442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</row>
    <row r="347" ht="19.5" customHeight="1">
      <c r="A347" s="442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</row>
    <row r="348" ht="19.5" customHeight="1">
      <c r="A348" s="442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</row>
    <row r="349" ht="19.5" customHeight="1">
      <c r="A349" s="442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</row>
    <row r="350" ht="19.5" customHeight="1">
      <c r="A350" s="442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</row>
    <row r="351" ht="19.5" customHeight="1">
      <c r="A351" s="442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</row>
    <row r="352" ht="19.5" customHeight="1">
      <c r="A352" s="442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</row>
    <row r="353" ht="19.5" customHeight="1">
      <c r="A353" s="442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</row>
    <row r="354" ht="19.5" customHeight="1">
      <c r="A354" s="442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</row>
    <row r="355" ht="19.5" customHeight="1">
      <c r="A355" s="442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</row>
    <row r="356" ht="19.5" customHeight="1">
      <c r="A356" s="442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</row>
    <row r="357" ht="19.5" customHeight="1">
      <c r="A357" s="442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</row>
    <row r="358" ht="19.5" customHeight="1">
      <c r="A358" s="442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</row>
    <row r="359" ht="19.5" customHeight="1">
      <c r="A359" s="442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</row>
    <row r="360" ht="19.5" customHeight="1">
      <c r="A360" s="442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</row>
    <row r="361" ht="19.5" customHeight="1">
      <c r="A361" s="442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</row>
    <row r="362" ht="19.5" customHeight="1">
      <c r="A362" s="442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</row>
    <row r="363" ht="19.5" customHeight="1">
      <c r="A363" s="442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</row>
    <row r="364" ht="19.5" customHeight="1">
      <c r="A364" s="442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</row>
    <row r="365" ht="19.5" customHeight="1">
      <c r="A365" s="442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</row>
    <row r="366" ht="19.5" customHeight="1">
      <c r="A366" s="442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</row>
    <row r="367" ht="19.5" customHeight="1">
      <c r="A367" s="442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</row>
    <row r="368" ht="19.5" customHeight="1">
      <c r="A368" s="442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</row>
    <row r="369" ht="19.5" customHeight="1">
      <c r="A369" s="442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</row>
    <row r="370" ht="19.5" customHeight="1">
      <c r="A370" s="442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</row>
    <row r="371" ht="19.5" customHeight="1">
      <c r="A371" s="442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</row>
    <row r="372" ht="19.5" customHeight="1">
      <c r="A372" s="442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</row>
    <row r="373" ht="19.5" customHeight="1">
      <c r="A373" s="442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</row>
    <row r="374" ht="19.5" customHeight="1">
      <c r="A374" s="442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</row>
    <row r="375" ht="19.5" customHeight="1">
      <c r="A375" s="442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</row>
    <row r="376" ht="19.5" customHeight="1">
      <c r="A376" s="442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</row>
    <row r="377" ht="19.5" customHeight="1">
      <c r="A377" s="442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</row>
    <row r="378" ht="19.5" customHeight="1">
      <c r="A378" s="442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</row>
    <row r="379" ht="19.5" customHeight="1">
      <c r="A379" s="442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</row>
    <row r="380" ht="19.5" customHeight="1">
      <c r="A380" s="442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</row>
    <row r="381" ht="19.5" customHeight="1">
      <c r="A381" s="442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</row>
    <row r="382" ht="19.5" customHeight="1">
      <c r="A382" s="442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</row>
    <row r="383" ht="19.5" customHeight="1">
      <c r="A383" s="442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</row>
    <row r="384" ht="19.5" customHeight="1">
      <c r="A384" s="442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</row>
    <row r="385" ht="19.5" customHeight="1">
      <c r="A385" s="442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</row>
    <row r="386" ht="19.5" customHeight="1">
      <c r="A386" s="442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</row>
    <row r="387" ht="19.5" customHeight="1">
      <c r="A387" s="442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</row>
    <row r="388" ht="19.5" customHeight="1">
      <c r="A388" s="442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</row>
    <row r="389" ht="19.5" customHeight="1">
      <c r="A389" s="442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</row>
    <row r="390" ht="19.5" customHeight="1">
      <c r="A390" s="442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</row>
    <row r="391" ht="19.5" customHeight="1">
      <c r="A391" s="442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</row>
    <row r="392" ht="19.5" customHeight="1">
      <c r="A392" s="442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</row>
    <row r="393" ht="19.5" customHeight="1">
      <c r="A393" s="442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</row>
    <row r="394" ht="19.5" customHeight="1">
      <c r="A394" s="442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</row>
    <row r="395" ht="19.5" customHeight="1">
      <c r="A395" s="442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</row>
    <row r="396" ht="19.5" customHeight="1">
      <c r="A396" s="442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</row>
    <row r="397" ht="19.5" customHeight="1">
      <c r="A397" s="442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</row>
    <row r="398" ht="19.5" customHeight="1">
      <c r="A398" s="442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</row>
    <row r="399" ht="19.5" customHeight="1">
      <c r="A399" s="442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</row>
    <row r="400" ht="19.5" customHeight="1">
      <c r="A400" s="442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</row>
    <row r="401" ht="19.5" customHeight="1">
      <c r="A401" s="442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</row>
    <row r="402" ht="19.5" customHeight="1">
      <c r="A402" s="442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</row>
    <row r="403" ht="19.5" customHeight="1">
      <c r="A403" s="442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</row>
    <row r="404" ht="19.5" customHeight="1">
      <c r="A404" s="442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</row>
    <row r="405" ht="19.5" customHeight="1">
      <c r="A405" s="442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</row>
    <row r="406" ht="19.5" customHeight="1">
      <c r="A406" s="442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</row>
    <row r="407" ht="19.5" customHeight="1">
      <c r="A407" s="442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</row>
    <row r="408" ht="19.5" customHeight="1">
      <c r="A408" s="442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</row>
    <row r="409" ht="19.5" customHeight="1">
      <c r="A409" s="442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</row>
    <row r="410" ht="19.5" customHeight="1">
      <c r="A410" s="442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</row>
    <row r="411" ht="19.5" customHeight="1">
      <c r="A411" s="442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</row>
    <row r="412" ht="19.5" customHeight="1">
      <c r="A412" s="442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</row>
    <row r="413" ht="19.5" customHeight="1">
      <c r="A413" s="442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</row>
    <row r="414" ht="19.5" customHeight="1">
      <c r="A414" s="442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</row>
    <row r="415" ht="19.5" customHeight="1">
      <c r="A415" s="442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</row>
    <row r="416" ht="19.5" customHeight="1">
      <c r="A416" s="442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</row>
    <row r="417" ht="19.5" customHeight="1">
      <c r="A417" s="442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</row>
    <row r="418" ht="19.5" customHeight="1">
      <c r="A418" s="442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</row>
    <row r="419" ht="19.5" customHeight="1">
      <c r="A419" s="442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</row>
    <row r="420" ht="19.5" customHeight="1">
      <c r="A420" s="442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</row>
    <row r="421" ht="19.5" customHeight="1">
      <c r="A421" s="442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</row>
    <row r="422" ht="19.5" customHeight="1">
      <c r="A422" s="442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</row>
    <row r="423" ht="19.5" customHeight="1">
      <c r="A423" s="442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</row>
    <row r="424" ht="19.5" customHeight="1">
      <c r="A424" s="442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</row>
    <row r="425" ht="19.5" customHeight="1">
      <c r="A425" s="442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</row>
    <row r="426" ht="19.5" customHeight="1">
      <c r="A426" s="442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</row>
    <row r="427" ht="19.5" customHeight="1">
      <c r="A427" s="442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</row>
    <row r="428" ht="19.5" customHeight="1">
      <c r="A428" s="442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</row>
    <row r="429" ht="19.5" customHeight="1">
      <c r="A429" s="442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</row>
    <row r="430" ht="19.5" customHeight="1">
      <c r="A430" s="442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</row>
    <row r="431" ht="19.5" customHeight="1">
      <c r="A431" s="442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</row>
    <row r="432" ht="19.5" customHeight="1">
      <c r="A432" s="442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</row>
    <row r="433" ht="19.5" customHeight="1">
      <c r="A433" s="442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</row>
    <row r="434" ht="19.5" customHeight="1">
      <c r="A434" s="442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</row>
    <row r="435" ht="19.5" customHeight="1">
      <c r="A435" s="442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</row>
    <row r="436" ht="19.5" customHeight="1">
      <c r="A436" s="442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</row>
    <row r="437" ht="19.5" customHeight="1">
      <c r="A437" s="442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</row>
    <row r="438" ht="19.5" customHeight="1">
      <c r="A438" s="442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</row>
    <row r="439" ht="19.5" customHeight="1">
      <c r="A439" s="442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</row>
    <row r="440" ht="19.5" customHeight="1">
      <c r="A440" s="442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</row>
    <row r="441" ht="19.5" customHeight="1">
      <c r="A441" s="442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</row>
    <row r="442" ht="19.5" customHeight="1">
      <c r="A442" s="442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</row>
    <row r="443" ht="19.5" customHeight="1">
      <c r="A443" s="442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</row>
    <row r="444" ht="19.5" customHeight="1">
      <c r="A444" s="442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</row>
    <row r="445" ht="19.5" customHeight="1">
      <c r="A445" s="442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</row>
    <row r="446" ht="19.5" customHeight="1">
      <c r="A446" s="442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</row>
    <row r="447" ht="19.5" customHeight="1">
      <c r="A447" s="442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</row>
    <row r="448" ht="19.5" customHeight="1">
      <c r="A448" s="442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</row>
    <row r="449" ht="19.5" customHeight="1">
      <c r="A449" s="442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</row>
    <row r="450" ht="19.5" customHeight="1">
      <c r="A450" s="442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</row>
    <row r="451" ht="19.5" customHeight="1">
      <c r="A451" s="442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</row>
    <row r="452" ht="19.5" customHeight="1">
      <c r="A452" s="442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</row>
    <row r="453" ht="19.5" customHeight="1">
      <c r="A453" s="442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</row>
    <row r="454" ht="19.5" customHeight="1">
      <c r="A454" s="442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</row>
    <row r="455" ht="19.5" customHeight="1">
      <c r="A455" s="442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</row>
    <row r="456" ht="19.5" customHeight="1">
      <c r="A456" s="442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</row>
    <row r="457" ht="19.5" customHeight="1">
      <c r="A457" s="442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</row>
    <row r="458" ht="19.5" customHeight="1">
      <c r="A458" s="442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</row>
    <row r="459" ht="19.5" customHeight="1">
      <c r="A459" s="442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</row>
    <row r="460" ht="19.5" customHeight="1">
      <c r="A460" s="442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</row>
    <row r="461" ht="19.5" customHeight="1">
      <c r="A461" s="442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</row>
    <row r="462" ht="19.5" customHeight="1">
      <c r="A462" s="442"/>
      <c r="B462" s="442"/>
      <c r="C462" s="442"/>
      <c r="D462" s="442"/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</row>
    <row r="463" ht="19.5" customHeight="1">
      <c r="A463" s="442"/>
      <c r="B463" s="442"/>
      <c r="C463" s="442"/>
      <c r="D463" s="442"/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</row>
    <row r="464" ht="19.5" customHeight="1">
      <c r="A464" s="442"/>
      <c r="B464" s="442"/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</row>
    <row r="465" ht="19.5" customHeight="1">
      <c r="A465" s="442"/>
      <c r="B465" s="442"/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</row>
    <row r="466" ht="19.5" customHeight="1">
      <c r="A466" s="442"/>
      <c r="B466" s="442"/>
      <c r="C466" s="442"/>
      <c r="D466" s="442"/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</row>
    <row r="467" ht="19.5" customHeight="1">
      <c r="A467" s="442"/>
      <c r="B467" s="442"/>
      <c r="C467" s="442"/>
      <c r="D467" s="442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</row>
    <row r="468" ht="19.5" customHeight="1">
      <c r="A468" s="442"/>
      <c r="B468" s="442"/>
      <c r="C468" s="442"/>
      <c r="D468" s="442"/>
      <c r="E468" s="442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</row>
    <row r="469" ht="19.5" customHeight="1">
      <c r="A469" s="442"/>
      <c r="B469" s="442"/>
      <c r="C469" s="442"/>
      <c r="D469" s="442"/>
      <c r="E469" s="442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</row>
    <row r="470" ht="19.5" customHeight="1">
      <c r="A470" s="442"/>
      <c r="B470" s="442"/>
      <c r="C470" s="442"/>
      <c r="D470" s="442"/>
      <c r="E470" s="442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</row>
    <row r="471" ht="19.5" customHeight="1">
      <c r="A471" s="442"/>
      <c r="B471" s="442"/>
      <c r="C471" s="442"/>
      <c r="D471" s="442"/>
      <c r="E471" s="442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</row>
    <row r="472" ht="19.5" customHeight="1">
      <c r="A472" s="442"/>
      <c r="B472" s="442"/>
      <c r="C472" s="442"/>
      <c r="D472" s="442"/>
      <c r="E472" s="442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</row>
    <row r="473" ht="19.5" customHeight="1">
      <c r="A473" s="442"/>
      <c r="B473" s="442"/>
      <c r="C473" s="442"/>
      <c r="D473" s="442"/>
      <c r="E473" s="442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</row>
    <row r="474" ht="19.5" customHeight="1">
      <c r="A474" s="442"/>
      <c r="B474" s="442"/>
      <c r="C474" s="442"/>
      <c r="D474" s="442"/>
      <c r="E474" s="442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</row>
    <row r="475" ht="19.5" customHeight="1">
      <c r="A475" s="442"/>
      <c r="B475" s="442"/>
      <c r="C475" s="442"/>
      <c r="D475" s="442"/>
      <c r="E475" s="442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</row>
    <row r="476" ht="19.5" customHeight="1">
      <c r="A476" s="442"/>
      <c r="B476" s="442"/>
      <c r="C476" s="442"/>
      <c r="D476" s="442"/>
      <c r="E476" s="442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</row>
    <row r="477" ht="19.5" customHeight="1">
      <c r="A477" s="442"/>
      <c r="B477" s="442"/>
      <c r="C477" s="442"/>
      <c r="D477" s="442"/>
      <c r="E477" s="442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</row>
    <row r="478" ht="19.5" customHeight="1">
      <c r="A478" s="442"/>
      <c r="B478" s="442"/>
      <c r="C478" s="442"/>
      <c r="D478" s="442"/>
      <c r="E478" s="442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</row>
    <row r="479" ht="19.5" customHeight="1">
      <c r="A479" s="442"/>
      <c r="B479" s="442"/>
      <c r="C479" s="442"/>
      <c r="D479" s="442"/>
      <c r="E479" s="442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</row>
    <row r="480" ht="19.5" customHeight="1">
      <c r="A480" s="442"/>
      <c r="B480" s="442"/>
      <c r="C480" s="442"/>
      <c r="D480" s="442"/>
      <c r="E480" s="442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</row>
    <row r="481" ht="19.5" customHeight="1">
      <c r="A481" s="442"/>
      <c r="B481" s="442"/>
      <c r="C481" s="442"/>
      <c r="D481" s="442"/>
      <c r="E481" s="442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</row>
    <row r="482" ht="19.5" customHeight="1">
      <c r="A482" s="442"/>
      <c r="B482" s="442"/>
      <c r="C482" s="442"/>
      <c r="D482" s="442"/>
      <c r="E482" s="442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</row>
    <row r="483" ht="19.5" customHeight="1">
      <c r="A483" s="442"/>
      <c r="B483" s="442"/>
      <c r="C483" s="442"/>
      <c r="D483" s="442"/>
      <c r="E483" s="442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</row>
    <row r="484" ht="19.5" customHeight="1">
      <c r="A484" s="442"/>
      <c r="B484" s="442"/>
      <c r="C484" s="442"/>
      <c r="D484" s="442"/>
      <c r="E484" s="442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</row>
    <row r="485" ht="19.5" customHeight="1">
      <c r="A485" s="442"/>
      <c r="B485" s="442"/>
      <c r="C485" s="442"/>
      <c r="D485" s="442"/>
      <c r="E485" s="442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</row>
    <row r="486" ht="19.5" customHeight="1">
      <c r="A486" s="442"/>
      <c r="B486" s="442"/>
      <c r="C486" s="442"/>
      <c r="D486" s="442"/>
      <c r="E486" s="442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</row>
    <row r="487" ht="19.5" customHeight="1">
      <c r="A487" s="442"/>
      <c r="B487" s="442"/>
      <c r="C487" s="442"/>
      <c r="D487" s="442"/>
      <c r="E487" s="442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</row>
    <row r="488" ht="19.5" customHeight="1">
      <c r="A488" s="442"/>
      <c r="B488" s="442"/>
      <c r="C488" s="442"/>
      <c r="D488" s="442"/>
      <c r="E488" s="442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</row>
    <row r="489" ht="19.5" customHeight="1">
      <c r="A489" s="442"/>
      <c r="B489" s="442"/>
      <c r="C489" s="442"/>
      <c r="D489" s="442"/>
      <c r="E489" s="442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</row>
    <row r="490" ht="19.5" customHeight="1">
      <c r="A490" s="442"/>
      <c r="B490" s="442"/>
      <c r="C490" s="442"/>
      <c r="D490" s="442"/>
      <c r="E490" s="442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</row>
    <row r="491" ht="19.5" customHeight="1">
      <c r="A491" s="442"/>
      <c r="B491" s="442"/>
      <c r="C491" s="442"/>
      <c r="D491" s="442"/>
      <c r="E491" s="442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</row>
    <row r="492" ht="19.5" customHeight="1">
      <c r="A492" s="442"/>
      <c r="B492" s="442"/>
      <c r="C492" s="442"/>
      <c r="D492" s="442"/>
      <c r="E492" s="442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</row>
    <row r="493" ht="19.5" customHeight="1">
      <c r="A493" s="442"/>
      <c r="B493" s="442"/>
      <c r="C493" s="442"/>
      <c r="D493" s="442"/>
      <c r="E493" s="442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</row>
    <row r="494" ht="19.5" customHeight="1">
      <c r="A494" s="442"/>
      <c r="B494" s="442"/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</row>
    <row r="495" ht="19.5" customHeight="1">
      <c r="A495" s="442"/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</row>
    <row r="496" ht="19.5" customHeight="1">
      <c r="A496" s="442"/>
      <c r="B496" s="442"/>
      <c r="C496" s="442"/>
      <c r="D496" s="442"/>
      <c r="E496" s="442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</row>
    <row r="497" ht="19.5" customHeight="1">
      <c r="A497" s="442"/>
      <c r="B497" s="442"/>
      <c r="C497" s="442"/>
      <c r="D497" s="442"/>
      <c r="E497" s="442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</row>
    <row r="498" ht="19.5" customHeight="1">
      <c r="A498" s="442"/>
      <c r="B498" s="442"/>
      <c r="C498" s="442"/>
      <c r="D498" s="442"/>
      <c r="E498" s="442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</row>
    <row r="499" ht="19.5" customHeight="1">
      <c r="A499" s="442"/>
      <c r="B499" s="442"/>
      <c r="C499" s="442"/>
      <c r="D499" s="442"/>
      <c r="E499" s="442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</row>
    <row r="500" ht="19.5" customHeight="1">
      <c r="A500" s="442"/>
      <c r="B500" s="442"/>
      <c r="C500" s="442"/>
      <c r="D500" s="442"/>
      <c r="E500" s="442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</row>
    <row r="501" ht="19.5" customHeight="1">
      <c r="A501" s="442"/>
      <c r="B501" s="442"/>
      <c r="C501" s="442"/>
      <c r="D501" s="442"/>
      <c r="E501" s="442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</row>
    <row r="502" ht="19.5" customHeight="1">
      <c r="A502" s="442"/>
      <c r="B502" s="442"/>
      <c r="C502" s="442"/>
      <c r="D502" s="442"/>
      <c r="E502" s="442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</row>
    <row r="503" ht="19.5" customHeight="1">
      <c r="A503" s="442"/>
      <c r="B503" s="442"/>
      <c r="C503" s="442"/>
      <c r="D503" s="442"/>
      <c r="E503" s="442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</row>
    <row r="504" ht="19.5" customHeight="1">
      <c r="A504" s="442"/>
      <c r="B504" s="442"/>
      <c r="C504" s="442"/>
      <c r="D504" s="442"/>
      <c r="E504" s="442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</row>
    <row r="505" ht="19.5" customHeight="1">
      <c r="A505" s="442"/>
      <c r="B505" s="442"/>
      <c r="C505" s="442"/>
      <c r="D505" s="442"/>
      <c r="E505" s="442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</row>
    <row r="506" ht="19.5" customHeight="1">
      <c r="A506" s="442"/>
      <c r="B506" s="442"/>
      <c r="C506" s="442"/>
      <c r="D506" s="442"/>
      <c r="E506" s="442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</row>
    <row r="507" ht="19.5" customHeight="1">
      <c r="A507" s="442"/>
      <c r="B507" s="442"/>
      <c r="C507" s="442"/>
      <c r="D507" s="442"/>
      <c r="E507" s="442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</row>
    <row r="508" ht="19.5" customHeight="1">
      <c r="A508" s="442"/>
      <c r="B508" s="442"/>
      <c r="C508" s="442"/>
      <c r="D508" s="442"/>
      <c r="E508" s="442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</row>
    <row r="509" ht="19.5" customHeight="1">
      <c r="A509" s="442"/>
      <c r="B509" s="442"/>
      <c r="C509" s="442"/>
      <c r="D509" s="442"/>
      <c r="E509" s="442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</row>
    <row r="510" ht="19.5" customHeight="1">
      <c r="A510" s="442"/>
      <c r="B510" s="442"/>
      <c r="C510" s="442"/>
      <c r="D510" s="442"/>
      <c r="E510" s="442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</row>
    <row r="511" ht="19.5" customHeight="1">
      <c r="A511" s="442"/>
      <c r="B511" s="442"/>
      <c r="C511" s="442"/>
      <c r="D511" s="442"/>
      <c r="E511" s="442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</row>
    <row r="512" ht="19.5" customHeight="1">
      <c r="A512" s="442"/>
      <c r="B512" s="442"/>
      <c r="C512" s="442"/>
      <c r="D512" s="442"/>
      <c r="E512" s="442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</row>
    <row r="513" ht="19.5" customHeight="1">
      <c r="A513" s="442"/>
      <c r="B513" s="442"/>
      <c r="C513" s="442"/>
      <c r="D513" s="442"/>
      <c r="E513" s="442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</row>
    <row r="514" ht="19.5" customHeight="1">
      <c r="A514" s="442"/>
      <c r="B514" s="442"/>
      <c r="C514" s="442"/>
      <c r="D514" s="442"/>
      <c r="E514" s="442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</row>
    <row r="515" ht="19.5" customHeight="1">
      <c r="A515" s="442"/>
      <c r="B515" s="442"/>
      <c r="C515" s="442"/>
      <c r="D515" s="442"/>
      <c r="E515" s="442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</row>
    <row r="516" ht="19.5" customHeight="1">
      <c r="A516" s="442"/>
      <c r="B516" s="442"/>
      <c r="C516" s="442"/>
      <c r="D516" s="442"/>
      <c r="E516" s="442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</row>
    <row r="517" ht="19.5" customHeight="1">
      <c r="A517" s="442"/>
      <c r="B517" s="442"/>
      <c r="C517" s="442"/>
      <c r="D517" s="442"/>
      <c r="E517" s="442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</row>
    <row r="518" ht="19.5" customHeight="1">
      <c r="A518" s="442"/>
      <c r="B518" s="442"/>
      <c r="C518" s="442"/>
      <c r="D518" s="442"/>
      <c r="E518" s="442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</row>
    <row r="519" ht="19.5" customHeight="1">
      <c r="A519" s="442"/>
      <c r="B519" s="442"/>
      <c r="C519" s="442"/>
      <c r="D519" s="442"/>
      <c r="E519" s="442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</row>
    <row r="520" ht="19.5" customHeight="1">
      <c r="A520" s="442"/>
      <c r="B520" s="442"/>
      <c r="C520" s="442"/>
      <c r="D520" s="442"/>
      <c r="E520" s="442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</row>
    <row r="521" ht="19.5" customHeight="1">
      <c r="A521" s="442"/>
      <c r="B521" s="442"/>
      <c r="C521" s="442"/>
      <c r="D521" s="442"/>
      <c r="E521" s="442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</row>
    <row r="522" ht="19.5" customHeight="1">
      <c r="A522" s="442"/>
      <c r="B522" s="442"/>
      <c r="C522" s="442"/>
      <c r="D522" s="442"/>
      <c r="E522" s="442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</row>
    <row r="523" ht="19.5" customHeight="1">
      <c r="A523" s="442"/>
      <c r="B523" s="442"/>
      <c r="C523" s="442"/>
      <c r="D523" s="442"/>
      <c r="E523" s="442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</row>
    <row r="524" ht="19.5" customHeight="1">
      <c r="A524" s="442"/>
      <c r="B524" s="442"/>
      <c r="C524" s="442"/>
      <c r="D524" s="442"/>
      <c r="E524" s="442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</row>
    <row r="525" ht="19.5" customHeight="1">
      <c r="A525" s="442"/>
      <c r="B525" s="442"/>
      <c r="C525" s="442"/>
      <c r="D525" s="442"/>
      <c r="E525" s="442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</row>
    <row r="526" ht="19.5" customHeight="1">
      <c r="A526" s="442"/>
      <c r="B526" s="442"/>
      <c r="C526" s="442"/>
      <c r="D526" s="442"/>
      <c r="E526" s="442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</row>
    <row r="527" ht="19.5" customHeight="1">
      <c r="A527" s="442"/>
      <c r="B527" s="442"/>
      <c r="C527" s="442"/>
      <c r="D527" s="442"/>
      <c r="E527" s="442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</row>
    <row r="528" ht="19.5" customHeight="1">
      <c r="A528" s="442"/>
      <c r="B528" s="442"/>
      <c r="C528" s="442"/>
      <c r="D528" s="442"/>
      <c r="E528" s="442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</row>
    <row r="529" ht="19.5" customHeight="1">
      <c r="A529" s="442"/>
      <c r="B529" s="442"/>
      <c r="C529" s="442"/>
      <c r="D529" s="442"/>
      <c r="E529" s="442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</row>
    <row r="530" ht="19.5" customHeight="1">
      <c r="A530" s="442"/>
      <c r="B530" s="442"/>
      <c r="C530" s="442"/>
      <c r="D530" s="442"/>
      <c r="E530" s="442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</row>
    <row r="531" ht="19.5" customHeight="1">
      <c r="A531" s="442"/>
      <c r="B531" s="442"/>
      <c r="C531" s="442"/>
      <c r="D531" s="442"/>
      <c r="E531" s="442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</row>
    <row r="532" ht="19.5" customHeight="1">
      <c r="A532" s="442"/>
      <c r="B532" s="442"/>
      <c r="C532" s="442"/>
      <c r="D532" s="442"/>
      <c r="E532" s="442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</row>
    <row r="533" ht="19.5" customHeight="1">
      <c r="A533" s="442"/>
      <c r="B533" s="442"/>
      <c r="C533" s="442"/>
      <c r="D533" s="442"/>
      <c r="E533" s="442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</row>
    <row r="534" ht="19.5" customHeight="1">
      <c r="A534" s="442"/>
      <c r="B534" s="442"/>
      <c r="C534" s="442"/>
      <c r="D534" s="442"/>
      <c r="E534" s="442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</row>
    <row r="535" ht="19.5" customHeight="1">
      <c r="A535" s="442"/>
      <c r="B535" s="442"/>
      <c r="C535" s="442"/>
      <c r="D535" s="442"/>
      <c r="E535" s="442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</row>
    <row r="536" ht="19.5" customHeight="1">
      <c r="A536" s="442"/>
      <c r="B536" s="442"/>
      <c r="C536" s="442"/>
      <c r="D536" s="442"/>
      <c r="E536" s="442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</row>
    <row r="537" ht="19.5" customHeight="1">
      <c r="A537" s="442"/>
      <c r="B537" s="442"/>
      <c r="C537" s="442"/>
      <c r="D537" s="442"/>
      <c r="E537" s="442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</row>
    <row r="538" ht="19.5" customHeight="1">
      <c r="A538" s="442"/>
      <c r="B538" s="442"/>
      <c r="C538" s="442"/>
      <c r="D538" s="442"/>
      <c r="E538" s="442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</row>
    <row r="539" ht="19.5" customHeight="1">
      <c r="A539" s="442"/>
      <c r="B539" s="442"/>
      <c r="C539" s="442"/>
      <c r="D539" s="442"/>
      <c r="E539" s="442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</row>
    <row r="540" ht="19.5" customHeight="1">
      <c r="A540" s="442"/>
      <c r="B540" s="442"/>
      <c r="C540" s="442"/>
      <c r="D540" s="442"/>
      <c r="E540" s="442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</row>
    <row r="541" ht="19.5" customHeight="1">
      <c r="A541" s="442"/>
      <c r="B541" s="442"/>
      <c r="C541" s="442"/>
      <c r="D541" s="442"/>
      <c r="E541" s="442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</row>
    <row r="542" ht="19.5" customHeight="1">
      <c r="A542" s="442"/>
      <c r="B542" s="442"/>
      <c r="C542" s="442"/>
      <c r="D542" s="442"/>
      <c r="E542" s="442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</row>
    <row r="543" ht="19.5" customHeight="1">
      <c r="A543" s="442"/>
      <c r="B543" s="442"/>
      <c r="C543" s="442"/>
      <c r="D543" s="442"/>
      <c r="E543" s="442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</row>
    <row r="544" ht="19.5" customHeight="1">
      <c r="A544" s="442"/>
      <c r="B544" s="442"/>
      <c r="C544" s="442"/>
      <c r="D544" s="442"/>
      <c r="E544" s="442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</row>
    <row r="545" ht="19.5" customHeight="1">
      <c r="A545" s="442"/>
      <c r="B545" s="442"/>
      <c r="C545" s="442"/>
      <c r="D545" s="442"/>
      <c r="E545" s="442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</row>
    <row r="546" ht="19.5" customHeight="1">
      <c r="A546" s="442"/>
      <c r="B546" s="442"/>
      <c r="C546" s="442"/>
      <c r="D546" s="442"/>
      <c r="E546" s="442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</row>
    <row r="547" ht="19.5" customHeight="1">
      <c r="A547" s="442"/>
      <c r="B547" s="442"/>
      <c r="C547" s="442"/>
      <c r="D547" s="442"/>
      <c r="E547" s="442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</row>
    <row r="548" ht="19.5" customHeight="1">
      <c r="A548" s="442"/>
      <c r="B548" s="442"/>
      <c r="C548" s="442"/>
      <c r="D548" s="442"/>
      <c r="E548" s="442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</row>
    <row r="549" ht="19.5" customHeight="1">
      <c r="A549" s="442"/>
      <c r="B549" s="442"/>
      <c r="C549" s="442"/>
      <c r="D549" s="442"/>
      <c r="E549" s="442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</row>
    <row r="550" ht="19.5" customHeight="1">
      <c r="A550" s="442"/>
      <c r="B550" s="442"/>
      <c r="C550" s="442"/>
      <c r="D550" s="442"/>
      <c r="E550" s="442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</row>
    <row r="551" ht="19.5" customHeight="1">
      <c r="A551" s="442"/>
      <c r="B551" s="442"/>
      <c r="C551" s="442"/>
      <c r="D551" s="442"/>
      <c r="E551" s="442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</row>
    <row r="552" ht="19.5" customHeight="1">
      <c r="A552" s="442"/>
      <c r="B552" s="442"/>
      <c r="C552" s="442"/>
      <c r="D552" s="442"/>
      <c r="E552" s="442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</row>
    <row r="553" ht="19.5" customHeight="1">
      <c r="A553" s="442"/>
      <c r="B553" s="442"/>
      <c r="C553" s="442"/>
      <c r="D553" s="442"/>
      <c r="E553" s="442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</row>
    <row r="554" ht="19.5" customHeight="1">
      <c r="A554" s="442"/>
      <c r="B554" s="442"/>
      <c r="C554" s="442"/>
      <c r="D554" s="442"/>
      <c r="E554" s="442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</row>
    <row r="555" ht="19.5" customHeight="1">
      <c r="A555" s="442"/>
      <c r="B555" s="442"/>
      <c r="C555" s="442"/>
      <c r="D555" s="442"/>
      <c r="E555" s="442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</row>
    <row r="556" ht="19.5" customHeight="1">
      <c r="A556" s="442"/>
      <c r="B556" s="442"/>
      <c r="C556" s="442"/>
      <c r="D556" s="442"/>
      <c r="E556" s="442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</row>
    <row r="557" ht="19.5" customHeight="1">
      <c r="A557" s="442"/>
      <c r="B557" s="442"/>
      <c r="C557" s="442"/>
      <c r="D557" s="442"/>
      <c r="E557" s="442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</row>
    <row r="558" ht="19.5" customHeight="1">
      <c r="A558" s="442"/>
      <c r="B558" s="442"/>
      <c r="C558" s="442"/>
      <c r="D558" s="442"/>
      <c r="E558" s="442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</row>
    <row r="559" ht="19.5" customHeight="1">
      <c r="A559" s="442"/>
      <c r="B559" s="442"/>
      <c r="C559" s="442"/>
      <c r="D559" s="442"/>
      <c r="E559" s="442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</row>
    <row r="560" ht="19.5" customHeight="1">
      <c r="A560" s="442"/>
      <c r="B560" s="442"/>
      <c r="C560" s="442"/>
      <c r="D560" s="442"/>
      <c r="E560" s="442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</row>
    <row r="561" ht="19.5" customHeight="1">
      <c r="A561" s="442"/>
      <c r="B561" s="442"/>
      <c r="C561" s="442"/>
      <c r="D561" s="442"/>
      <c r="E561" s="442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</row>
    <row r="562" ht="19.5" customHeight="1">
      <c r="A562" s="442"/>
      <c r="B562" s="442"/>
      <c r="C562" s="442"/>
      <c r="D562" s="442"/>
      <c r="E562" s="442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</row>
    <row r="563" ht="19.5" customHeight="1">
      <c r="A563" s="442"/>
      <c r="B563" s="442"/>
      <c r="C563" s="442"/>
      <c r="D563" s="442"/>
      <c r="E563" s="442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</row>
    <row r="564" ht="19.5" customHeight="1">
      <c r="A564" s="442"/>
      <c r="B564" s="442"/>
      <c r="C564" s="442"/>
      <c r="D564" s="442"/>
      <c r="E564" s="442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</row>
    <row r="565" ht="19.5" customHeight="1">
      <c r="A565" s="442"/>
      <c r="B565" s="442"/>
      <c r="C565" s="442"/>
      <c r="D565" s="442"/>
      <c r="E565" s="442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</row>
    <row r="566" ht="19.5" customHeight="1">
      <c r="A566" s="442"/>
      <c r="B566" s="442"/>
      <c r="C566" s="442"/>
      <c r="D566" s="442"/>
      <c r="E566" s="442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</row>
    <row r="567" ht="19.5" customHeight="1">
      <c r="A567" s="442"/>
      <c r="B567" s="442"/>
      <c r="C567" s="442"/>
      <c r="D567" s="442"/>
      <c r="E567" s="442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</row>
    <row r="568" ht="19.5" customHeight="1">
      <c r="A568" s="442"/>
      <c r="B568" s="442"/>
      <c r="C568" s="442"/>
      <c r="D568" s="442"/>
      <c r="E568" s="442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</row>
    <row r="569" ht="19.5" customHeight="1">
      <c r="A569" s="442"/>
      <c r="B569" s="442"/>
      <c r="C569" s="442"/>
      <c r="D569" s="442"/>
      <c r="E569" s="442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</row>
    <row r="570" ht="19.5" customHeight="1">
      <c r="A570" s="442"/>
      <c r="B570" s="442"/>
      <c r="C570" s="442"/>
      <c r="D570" s="442"/>
      <c r="E570" s="442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</row>
    <row r="571" ht="19.5" customHeight="1">
      <c r="A571" s="442"/>
      <c r="B571" s="442"/>
      <c r="C571" s="442"/>
      <c r="D571" s="442"/>
      <c r="E571" s="442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</row>
    <row r="572" ht="19.5" customHeight="1">
      <c r="A572" s="442"/>
      <c r="B572" s="442"/>
      <c r="C572" s="442"/>
      <c r="D572" s="442"/>
      <c r="E572" s="442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</row>
    <row r="573" ht="19.5" customHeight="1">
      <c r="A573" s="442"/>
      <c r="B573" s="442"/>
      <c r="C573" s="442"/>
      <c r="D573" s="442"/>
      <c r="E573" s="442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</row>
    <row r="574" ht="19.5" customHeight="1">
      <c r="A574" s="442"/>
      <c r="B574" s="442"/>
      <c r="C574" s="442"/>
      <c r="D574" s="442"/>
      <c r="E574" s="442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</row>
    <row r="575" ht="19.5" customHeight="1">
      <c r="A575" s="442"/>
      <c r="B575" s="442"/>
      <c r="C575" s="442"/>
      <c r="D575" s="442"/>
      <c r="E575" s="442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</row>
    <row r="576" ht="19.5" customHeight="1">
      <c r="A576" s="442"/>
      <c r="B576" s="442"/>
      <c r="C576" s="442"/>
      <c r="D576" s="442"/>
      <c r="E576" s="442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</row>
    <row r="577" ht="19.5" customHeight="1">
      <c r="A577" s="442"/>
      <c r="B577" s="442"/>
      <c r="C577" s="442"/>
      <c r="D577" s="442"/>
      <c r="E577" s="442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</row>
    <row r="578" ht="19.5" customHeight="1">
      <c r="A578" s="442"/>
      <c r="B578" s="442"/>
      <c r="C578" s="442"/>
      <c r="D578" s="442"/>
      <c r="E578" s="442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</row>
    <row r="579" ht="19.5" customHeight="1">
      <c r="A579" s="442"/>
      <c r="B579" s="442"/>
      <c r="C579" s="442"/>
      <c r="D579" s="442"/>
      <c r="E579" s="442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</row>
    <row r="580" ht="19.5" customHeight="1">
      <c r="A580" s="442"/>
      <c r="B580" s="442"/>
      <c r="C580" s="442"/>
      <c r="D580" s="442"/>
      <c r="E580" s="442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</row>
    <row r="581" ht="19.5" customHeight="1">
      <c r="A581" s="442"/>
      <c r="B581" s="442"/>
      <c r="C581" s="442"/>
      <c r="D581" s="442"/>
      <c r="E581" s="442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</row>
    <row r="582" ht="19.5" customHeight="1">
      <c r="A582" s="442"/>
      <c r="B582" s="442"/>
      <c r="C582" s="442"/>
      <c r="D582" s="442"/>
      <c r="E582" s="442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</row>
    <row r="583" ht="19.5" customHeight="1">
      <c r="A583" s="442"/>
      <c r="B583" s="442"/>
      <c r="C583" s="442"/>
      <c r="D583" s="442"/>
      <c r="E583" s="442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</row>
    <row r="584" ht="19.5" customHeight="1">
      <c r="A584" s="442"/>
      <c r="B584" s="442"/>
      <c r="C584" s="442"/>
      <c r="D584" s="442"/>
      <c r="E584" s="442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</row>
    <row r="585" ht="19.5" customHeight="1">
      <c r="A585" s="442"/>
      <c r="B585" s="442"/>
      <c r="C585" s="442"/>
      <c r="D585" s="442"/>
      <c r="E585" s="442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</row>
    <row r="586" ht="19.5" customHeight="1">
      <c r="A586" s="442"/>
      <c r="B586" s="442"/>
      <c r="C586" s="442"/>
      <c r="D586" s="442"/>
      <c r="E586" s="442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</row>
    <row r="587" ht="19.5" customHeight="1">
      <c r="A587" s="442"/>
      <c r="B587" s="442"/>
      <c r="C587" s="442"/>
      <c r="D587" s="442"/>
      <c r="E587" s="442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</row>
    <row r="588" ht="19.5" customHeight="1">
      <c r="A588" s="442"/>
      <c r="B588" s="442"/>
      <c r="C588" s="442"/>
      <c r="D588" s="442"/>
      <c r="E588" s="442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</row>
    <row r="589" ht="19.5" customHeight="1">
      <c r="A589" s="442"/>
      <c r="B589" s="442"/>
      <c r="C589" s="442"/>
      <c r="D589" s="442"/>
      <c r="E589" s="442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</row>
    <row r="590" ht="19.5" customHeight="1">
      <c r="A590" s="442"/>
      <c r="B590" s="442"/>
      <c r="C590" s="442"/>
      <c r="D590" s="442"/>
      <c r="E590" s="442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</row>
    <row r="591" ht="19.5" customHeight="1">
      <c r="A591" s="442"/>
      <c r="B591" s="442"/>
      <c r="C591" s="442"/>
      <c r="D591" s="442"/>
      <c r="E591" s="442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</row>
    <row r="592" ht="19.5" customHeight="1">
      <c r="A592" s="442"/>
      <c r="B592" s="442"/>
      <c r="C592" s="442"/>
      <c r="D592" s="442"/>
      <c r="E592" s="442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</row>
    <row r="593" ht="19.5" customHeight="1">
      <c r="A593" s="442"/>
      <c r="B593" s="442"/>
      <c r="C593" s="442"/>
      <c r="D593" s="442"/>
      <c r="E593" s="442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</row>
    <row r="594" ht="19.5" customHeight="1">
      <c r="A594" s="442"/>
      <c r="B594" s="442"/>
      <c r="C594" s="442"/>
      <c r="D594" s="442"/>
      <c r="E594" s="442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</row>
    <row r="595" ht="19.5" customHeight="1">
      <c r="A595" s="442"/>
      <c r="B595" s="442"/>
      <c r="C595" s="442"/>
      <c r="D595" s="442"/>
      <c r="E595" s="442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</row>
    <row r="596" ht="19.5" customHeight="1">
      <c r="A596" s="442"/>
      <c r="B596" s="442"/>
      <c r="C596" s="442"/>
      <c r="D596" s="442"/>
      <c r="E596" s="442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</row>
    <row r="597" ht="19.5" customHeight="1">
      <c r="A597" s="442"/>
      <c r="B597" s="442"/>
      <c r="C597" s="442"/>
      <c r="D597" s="442"/>
      <c r="E597" s="442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</row>
    <row r="598" ht="19.5" customHeight="1">
      <c r="A598" s="442"/>
      <c r="B598" s="442"/>
      <c r="C598" s="442"/>
      <c r="D598" s="442"/>
      <c r="E598" s="442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</row>
    <row r="599" ht="19.5" customHeight="1">
      <c r="A599" s="442"/>
      <c r="B599" s="442"/>
      <c r="C599" s="442"/>
      <c r="D599" s="442"/>
      <c r="E599" s="442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</row>
    <row r="600" ht="19.5" customHeight="1">
      <c r="A600" s="442"/>
      <c r="B600" s="442"/>
      <c r="C600" s="442"/>
      <c r="D600" s="442"/>
      <c r="E600" s="442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</row>
    <row r="601" ht="19.5" customHeight="1">
      <c r="A601" s="442"/>
      <c r="B601" s="442"/>
      <c r="C601" s="442"/>
      <c r="D601" s="442"/>
      <c r="E601" s="442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</row>
    <row r="602" ht="19.5" customHeight="1">
      <c r="A602" s="442"/>
      <c r="B602" s="442"/>
      <c r="C602" s="442"/>
      <c r="D602" s="442"/>
      <c r="E602" s="442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</row>
    <row r="603" ht="19.5" customHeight="1">
      <c r="A603" s="442"/>
      <c r="B603" s="442"/>
      <c r="C603" s="442"/>
      <c r="D603" s="442"/>
      <c r="E603" s="442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</row>
    <row r="604" ht="19.5" customHeight="1">
      <c r="A604" s="442"/>
      <c r="B604" s="442"/>
      <c r="C604" s="442"/>
      <c r="D604" s="442"/>
      <c r="E604" s="442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</row>
    <row r="605" ht="19.5" customHeight="1">
      <c r="A605" s="442"/>
      <c r="B605" s="442"/>
      <c r="C605" s="442"/>
      <c r="D605" s="442"/>
      <c r="E605" s="442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</row>
    <row r="606" ht="19.5" customHeight="1">
      <c r="A606" s="442"/>
      <c r="B606" s="442"/>
      <c r="C606" s="442"/>
      <c r="D606" s="442"/>
      <c r="E606" s="442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</row>
    <row r="607" ht="19.5" customHeight="1">
      <c r="A607" s="442"/>
      <c r="B607" s="442"/>
      <c r="C607" s="442"/>
      <c r="D607" s="442"/>
      <c r="E607" s="442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</row>
    <row r="608" ht="19.5" customHeight="1">
      <c r="A608" s="442"/>
      <c r="B608" s="442"/>
      <c r="C608" s="442"/>
      <c r="D608" s="442"/>
      <c r="E608" s="442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</row>
    <row r="609" ht="19.5" customHeight="1">
      <c r="A609" s="442"/>
      <c r="B609" s="442"/>
      <c r="C609" s="442"/>
      <c r="D609" s="442"/>
      <c r="E609" s="442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</row>
    <row r="610" ht="19.5" customHeight="1">
      <c r="A610" s="442"/>
      <c r="B610" s="442"/>
      <c r="C610" s="442"/>
      <c r="D610" s="442"/>
      <c r="E610" s="442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</row>
    <row r="611" ht="19.5" customHeight="1">
      <c r="A611" s="442"/>
      <c r="B611" s="442"/>
      <c r="C611" s="442"/>
      <c r="D611" s="442"/>
      <c r="E611" s="442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</row>
    <row r="612" ht="19.5" customHeight="1">
      <c r="A612" s="442"/>
      <c r="B612" s="442"/>
      <c r="C612" s="442"/>
      <c r="D612" s="442"/>
      <c r="E612" s="442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</row>
    <row r="613" ht="19.5" customHeight="1">
      <c r="A613" s="442"/>
      <c r="B613" s="442"/>
      <c r="C613" s="442"/>
      <c r="D613" s="442"/>
      <c r="E613" s="442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</row>
    <row r="614" ht="19.5" customHeight="1">
      <c r="A614" s="442"/>
      <c r="B614" s="442"/>
      <c r="C614" s="442"/>
      <c r="D614" s="442"/>
      <c r="E614" s="442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</row>
    <row r="615" ht="19.5" customHeight="1">
      <c r="A615" s="442"/>
      <c r="B615" s="442"/>
      <c r="C615" s="442"/>
      <c r="D615" s="442"/>
      <c r="E615" s="442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</row>
    <row r="616" ht="19.5" customHeight="1">
      <c r="A616" s="442"/>
      <c r="B616" s="442"/>
      <c r="C616" s="442"/>
      <c r="D616" s="442"/>
      <c r="E616" s="442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</row>
    <row r="617" ht="19.5" customHeight="1">
      <c r="A617" s="442"/>
      <c r="B617" s="442"/>
      <c r="C617" s="442"/>
      <c r="D617" s="442"/>
      <c r="E617" s="442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</row>
    <row r="618" ht="19.5" customHeight="1">
      <c r="A618" s="442"/>
      <c r="B618" s="442"/>
      <c r="C618" s="442"/>
      <c r="D618" s="442"/>
      <c r="E618" s="442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</row>
    <row r="619" ht="19.5" customHeight="1">
      <c r="A619" s="442"/>
      <c r="B619" s="442"/>
      <c r="C619" s="442"/>
      <c r="D619" s="442"/>
      <c r="E619" s="442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</row>
    <row r="620" ht="19.5" customHeight="1">
      <c r="A620" s="442"/>
      <c r="B620" s="442"/>
      <c r="C620" s="442"/>
      <c r="D620" s="442"/>
      <c r="E620" s="442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</row>
    <row r="621" ht="19.5" customHeight="1">
      <c r="A621" s="442"/>
      <c r="B621" s="442"/>
      <c r="C621" s="442"/>
      <c r="D621" s="442"/>
      <c r="E621" s="442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</row>
    <row r="622" ht="19.5" customHeight="1">
      <c r="A622" s="442"/>
      <c r="B622" s="442"/>
      <c r="C622" s="442"/>
      <c r="D622" s="442"/>
      <c r="E622" s="442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</row>
    <row r="623" ht="19.5" customHeight="1">
      <c r="A623" s="442"/>
      <c r="B623" s="442"/>
      <c r="C623" s="442"/>
      <c r="D623" s="442"/>
      <c r="E623" s="442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</row>
    <row r="624" ht="19.5" customHeight="1">
      <c r="A624" s="442"/>
      <c r="B624" s="442"/>
      <c r="C624" s="442"/>
      <c r="D624" s="442"/>
      <c r="E624" s="442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</row>
    <row r="625" ht="19.5" customHeight="1">
      <c r="A625" s="442"/>
      <c r="B625" s="442"/>
      <c r="C625" s="442"/>
      <c r="D625" s="442"/>
      <c r="E625" s="442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</row>
    <row r="626" ht="19.5" customHeight="1">
      <c r="A626" s="442"/>
      <c r="B626" s="442"/>
      <c r="C626" s="442"/>
      <c r="D626" s="442"/>
      <c r="E626" s="442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</row>
    <row r="627" ht="19.5" customHeight="1">
      <c r="A627" s="442"/>
      <c r="B627" s="442"/>
      <c r="C627" s="442"/>
      <c r="D627" s="442"/>
      <c r="E627" s="442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</row>
    <row r="628" ht="19.5" customHeight="1">
      <c r="A628" s="442"/>
      <c r="B628" s="442"/>
      <c r="C628" s="442"/>
      <c r="D628" s="442"/>
      <c r="E628" s="442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</row>
    <row r="629" ht="19.5" customHeight="1">
      <c r="A629" s="442"/>
      <c r="B629" s="442"/>
      <c r="C629" s="442"/>
      <c r="D629" s="442"/>
      <c r="E629" s="442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</row>
    <row r="630" ht="19.5" customHeight="1">
      <c r="A630" s="442"/>
      <c r="B630" s="442"/>
      <c r="C630" s="442"/>
      <c r="D630" s="442"/>
      <c r="E630" s="442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</row>
    <row r="631" ht="19.5" customHeight="1">
      <c r="A631" s="442"/>
      <c r="B631" s="442"/>
      <c r="C631" s="442"/>
      <c r="D631" s="442"/>
      <c r="E631" s="442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</row>
    <row r="632" ht="19.5" customHeight="1">
      <c r="A632" s="442"/>
      <c r="B632" s="442"/>
      <c r="C632" s="442"/>
      <c r="D632" s="442"/>
      <c r="E632" s="442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</row>
    <row r="633" ht="19.5" customHeight="1">
      <c r="A633" s="442"/>
      <c r="B633" s="442"/>
      <c r="C633" s="442"/>
      <c r="D633" s="442"/>
      <c r="E633" s="442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</row>
    <row r="634" ht="19.5" customHeight="1">
      <c r="A634" s="442"/>
      <c r="B634" s="442"/>
      <c r="C634" s="442"/>
      <c r="D634" s="442"/>
      <c r="E634" s="442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</row>
    <row r="635" ht="19.5" customHeight="1">
      <c r="A635" s="442"/>
      <c r="B635" s="442"/>
      <c r="C635" s="442"/>
      <c r="D635" s="442"/>
      <c r="E635" s="442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</row>
    <row r="636" ht="19.5" customHeight="1">
      <c r="A636" s="442"/>
      <c r="B636" s="442"/>
      <c r="C636" s="442"/>
      <c r="D636" s="442"/>
      <c r="E636" s="442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</row>
    <row r="637" ht="19.5" customHeight="1">
      <c r="A637" s="442"/>
      <c r="B637" s="442"/>
      <c r="C637" s="442"/>
      <c r="D637" s="442"/>
      <c r="E637" s="442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</row>
    <row r="638" ht="19.5" customHeight="1">
      <c r="A638" s="442"/>
      <c r="B638" s="442"/>
      <c r="C638" s="442"/>
      <c r="D638" s="442"/>
      <c r="E638" s="442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</row>
    <row r="639" ht="19.5" customHeight="1">
      <c r="A639" s="442"/>
      <c r="B639" s="442"/>
      <c r="C639" s="442"/>
      <c r="D639" s="442"/>
      <c r="E639" s="442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</row>
    <row r="640" ht="19.5" customHeight="1">
      <c r="A640" s="442"/>
      <c r="B640" s="442"/>
      <c r="C640" s="442"/>
      <c r="D640" s="442"/>
      <c r="E640" s="442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</row>
    <row r="641" ht="19.5" customHeight="1">
      <c r="A641" s="442"/>
      <c r="B641" s="442"/>
      <c r="C641" s="442"/>
      <c r="D641" s="442"/>
      <c r="E641" s="442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</row>
    <row r="642" ht="19.5" customHeight="1">
      <c r="A642" s="442"/>
      <c r="B642" s="442"/>
      <c r="C642" s="442"/>
      <c r="D642" s="442"/>
      <c r="E642" s="442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</row>
    <row r="643" ht="19.5" customHeight="1">
      <c r="A643" s="442"/>
      <c r="B643" s="442"/>
      <c r="C643" s="442"/>
      <c r="D643" s="442"/>
      <c r="E643" s="442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</row>
    <row r="644" ht="19.5" customHeight="1">
      <c r="A644" s="442"/>
      <c r="B644" s="442"/>
      <c r="C644" s="442"/>
      <c r="D644" s="442"/>
      <c r="E644" s="442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</row>
    <row r="645" ht="19.5" customHeight="1">
      <c r="A645" s="442"/>
      <c r="B645" s="442"/>
      <c r="C645" s="442"/>
      <c r="D645" s="442"/>
      <c r="E645" s="442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</row>
    <row r="646" ht="19.5" customHeight="1">
      <c r="A646" s="442"/>
      <c r="B646" s="442"/>
      <c r="C646" s="442"/>
      <c r="D646" s="442"/>
      <c r="E646" s="442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</row>
    <row r="647" ht="19.5" customHeight="1">
      <c r="A647" s="442"/>
      <c r="B647" s="442"/>
      <c r="C647" s="442"/>
      <c r="D647" s="442"/>
      <c r="E647" s="442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</row>
    <row r="648" ht="19.5" customHeight="1">
      <c r="A648" s="442"/>
      <c r="B648" s="442"/>
      <c r="C648" s="442"/>
      <c r="D648" s="442"/>
      <c r="E648" s="442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</row>
    <row r="649" ht="19.5" customHeight="1">
      <c r="A649" s="442"/>
      <c r="B649" s="442"/>
      <c r="C649" s="442"/>
      <c r="D649" s="442"/>
      <c r="E649" s="442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</row>
    <row r="650" ht="19.5" customHeight="1">
      <c r="A650" s="442"/>
      <c r="B650" s="442"/>
      <c r="C650" s="442"/>
      <c r="D650" s="442"/>
      <c r="E650" s="442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</row>
    <row r="651" ht="19.5" customHeight="1">
      <c r="A651" s="442"/>
      <c r="B651" s="442"/>
      <c r="C651" s="442"/>
      <c r="D651" s="442"/>
      <c r="E651" s="442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</row>
    <row r="652" ht="19.5" customHeight="1">
      <c r="A652" s="442"/>
      <c r="B652" s="442"/>
      <c r="C652" s="442"/>
      <c r="D652" s="442"/>
      <c r="E652" s="442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</row>
    <row r="653" ht="19.5" customHeight="1">
      <c r="A653" s="442"/>
      <c r="B653" s="442"/>
      <c r="C653" s="442"/>
      <c r="D653" s="442"/>
      <c r="E653" s="442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</row>
    <row r="654" ht="19.5" customHeight="1">
      <c r="A654" s="442"/>
      <c r="B654" s="442"/>
      <c r="C654" s="442"/>
      <c r="D654" s="442"/>
      <c r="E654" s="442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</row>
    <row r="655" ht="19.5" customHeight="1">
      <c r="A655" s="442"/>
      <c r="B655" s="442"/>
      <c r="C655" s="442"/>
      <c r="D655" s="442"/>
      <c r="E655" s="442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</row>
    <row r="656" ht="19.5" customHeight="1">
      <c r="A656" s="442"/>
      <c r="B656" s="442"/>
      <c r="C656" s="442"/>
      <c r="D656" s="442"/>
      <c r="E656" s="442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</row>
    <row r="657" ht="19.5" customHeight="1">
      <c r="A657" s="442"/>
      <c r="B657" s="442"/>
      <c r="C657" s="442"/>
      <c r="D657" s="442"/>
      <c r="E657" s="442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</row>
    <row r="658" ht="19.5" customHeight="1">
      <c r="A658" s="442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</row>
    <row r="659" ht="19.5" customHeight="1">
      <c r="A659" s="442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</row>
    <row r="660" ht="19.5" customHeight="1">
      <c r="A660" s="442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</row>
    <row r="661" ht="19.5" customHeight="1">
      <c r="A661" s="442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</row>
    <row r="662" ht="19.5" customHeight="1">
      <c r="A662" s="442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</row>
    <row r="663" ht="19.5" customHeight="1">
      <c r="A663" s="442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</row>
    <row r="664" ht="19.5" customHeight="1">
      <c r="A664" s="442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</row>
    <row r="665" ht="19.5" customHeight="1">
      <c r="A665" s="442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</row>
    <row r="666" ht="19.5" customHeight="1">
      <c r="A666" s="442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</row>
    <row r="667" ht="19.5" customHeight="1">
      <c r="A667" s="442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</row>
    <row r="668" ht="19.5" customHeight="1">
      <c r="A668" s="442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</row>
    <row r="669" ht="19.5" customHeight="1">
      <c r="A669" s="442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</row>
    <row r="670" ht="19.5" customHeight="1">
      <c r="A670" s="442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</row>
    <row r="671" ht="19.5" customHeight="1">
      <c r="A671" s="442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</row>
    <row r="672" ht="19.5" customHeight="1">
      <c r="A672" s="442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</row>
    <row r="673" ht="19.5" customHeight="1">
      <c r="A673" s="442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</row>
    <row r="674" ht="19.5" customHeight="1">
      <c r="A674" s="442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</row>
    <row r="675" ht="19.5" customHeight="1">
      <c r="A675" s="442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</row>
    <row r="676" ht="19.5" customHeight="1">
      <c r="A676" s="442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</row>
    <row r="677" ht="19.5" customHeight="1">
      <c r="A677" s="442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</row>
    <row r="678" ht="19.5" customHeight="1">
      <c r="A678" s="442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</row>
    <row r="679" ht="19.5" customHeight="1">
      <c r="A679" s="442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</row>
    <row r="680" ht="19.5" customHeight="1">
      <c r="A680" s="442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</row>
    <row r="681" ht="19.5" customHeight="1">
      <c r="A681" s="442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</row>
    <row r="682" ht="19.5" customHeight="1">
      <c r="A682" s="442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</row>
    <row r="683" ht="19.5" customHeight="1">
      <c r="A683" s="442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</row>
    <row r="684" ht="19.5" customHeight="1">
      <c r="A684" s="442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</row>
    <row r="685" ht="19.5" customHeight="1">
      <c r="A685" s="442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</row>
    <row r="686" ht="19.5" customHeight="1">
      <c r="A686" s="442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</row>
    <row r="687" ht="19.5" customHeight="1">
      <c r="A687" s="442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</row>
    <row r="688" ht="19.5" customHeight="1">
      <c r="A688" s="442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</row>
    <row r="689" ht="19.5" customHeight="1">
      <c r="A689" s="442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</row>
    <row r="690" ht="19.5" customHeight="1">
      <c r="A690" s="442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</row>
    <row r="691" ht="19.5" customHeight="1">
      <c r="A691" s="442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</row>
    <row r="692" ht="19.5" customHeight="1">
      <c r="A692" s="442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</row>
    <row r="693" ht="19.5" customHeight="1">
      <c r="A693" s="442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</row>
    <row r="694" ht="19.5" customHeight="1">
      <c r="A694" s="442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</row>
    <row r="695" ht="19.5" customHeight="1">
      <c r="A695" s="442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</row>
    <row r="696" ht="19.5" customHeight="1">
      <c r="A696" s="442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</row>
    <row r="697" ht="19.5" customHeight="1">
      <c r="A697" s="442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</row>
    <row r="698" ht="19.5" customHeight="1">
      <c r="A698" s="442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</row>
    <row r="699" ht="19.5" customHeight="1">
      <c r="A699" s="442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</row>
    <row r="700" ht="19.5" customHeight="1">
      <c r="A700" s="442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</row>
    <row r="701" ht="19.5" customHeight="1">
      <c r="A701" s="442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</row>
    <row r="702" ht="19.5" customHeight="1">
      <c r="A702" s="442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</row>
    <row r="703" ht="19.5" customHeight="1">
      <c r="A703" s="442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</row>
    <row r="704" ht="19.5" customHeight="1">
      <c r="A704" s="442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</row>
    <row r="705" ht="19.5" customHeight="1">
      <c r="A705" s="442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</row>
    <row r="706" ht="19.5" customHeight="1">
      <c r="A706" s="442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</row>
    <row r="707" ht="19.5" customHeight="1">
      <c r="A707" s="442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</row>
    <row r="708" ht="19.5" customHeight="1">
      <c r="A708" s="442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</row>
    <row r="709" ht="19.5" customHeight="1">
      <c r="A709" s="442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</row>
    <row r="710" ht="19.5" customHeight="1">
      <c r="A710" s="442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</row>
    <row r="711" ht="19.5" customHeight="1">
      <c r="A711" s="442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</row>
    <row r="712" ht="19.5" customHeight="1">
      <c r="A712" s="442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</row>
    <row r="713" ht="19.5" customHeight="1">
      <c r="A713" s="442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</row>
    <row r="714" ht="19.5" customHeight="1">
      <c r="A714" s="442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</row>
    <row r="715" ht="19.5" customHeight="1">
      <c r="A715" s="442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</row>
    <row r="716" ht="19.5" customHeight="1">
      <c r="A716" s="442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</row>
    <row r="717" ht="19.5" customHeight="1">
      <c r="A717" s="442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</row>
    <row r="718" ht="19.5" customHeight="1">
      <c r="A718" s="442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</row>
    <row r="719" ht="19.5" customHeight="1">
      <c r="A719" s="442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</row>
    <row r="720" ht="19.5" customHeight="1">
      <c r="A720" s="442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</row>
    <row r="721" ht="19.5" customHeight="1">
      <c r="A721" s="442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</row>
    <row r="722" ht="19.5" customHeight="1">
      <c r="A722" s="442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</row>
    <row r="723" ht="19.5" customHeight="1">
      <c r="A723" s="442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</row>
    <row r="724" ht="19.5" customHeight="1">
      <c r="A724" s="442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</row>
    <row r="725" ht="19.5" customHeight="1">
      <c r="A725" s="442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</row>
    <row r="726" ht="19.5" customHeight="1">
      <c r="A726" s="442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</row>
    <row r="727" ht="19.5" customHeight="1">
      <c r="A727" s="442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</row>
    <row r="728" ht="19.5" customHeight="1">
      <c r="A728" s="442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</row>
    <row r="729" ht="19.5" customHeight="1">
      <c r="A729" s="442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</row>
    <row r="730" ht="19.5" customHeight="1">
      <c r="A730" s="442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</row>
    <row r="731" ht="19.5" customHeight="1">
      <c r="A731" s="442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</row>
    <row r="732" ht="19.5" customHeight="1">
      <c r="A732" s="442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</row>
    <row r="733" ht="19.5" customHeight="1">
      <c r="A733" s="442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</row>
    <row r="734" ht="19.5" customHeight="1">
      <c r="A734" s="442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</row>
    <row r="735" ht="19.5" customHeight="1">
      <c r="A735" s="442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</row>
    <row r="736" ht="19.5" customHeight="1">
      <c r="A736" s="442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</row>
    <row r="737" ht="19.5" customHeight="1">
      <c r="A737" s="442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</row>
    <row r="738" ht="19.5" customHeight="1">
      <c r="A738" s="442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</row>
    <row r="739" ht="19.5" customHeight="1">
      <c r="A739" s="442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</row>
    <row r="740" ht="19.5" customHeight="1">
      <c r="A740" s="442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</row>
    <row r="741" ht="19.5" customHeight="1">
      <c r="A741" s="442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</row>
    <row r="742" ht="19.5" customHeight="1">
      <c r="A742" s="442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</row>
    <row r="743" ht="19.5" customHeight="1">
      <c r="A743" s="442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</row>
    <row r="744" ht="19.5" customHeight="1">
      <c r="A744" s="442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</row>
    <row r="745" ht="19.5" customHeight="1">
      <c r="A745" s="442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</row>
    <row r="746" ht="19.5" customHeight="1">
      <c r="A746" s="442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</row>
    <row r="747" ht="19.5" customHeight="1">
      <c r="A747" s="442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</row>
    <row r="748" ht="19.5" customHeight="1">
      <c r="A748" s="442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</row>
    <row r="749" ht="19.5" customHeight="1">
      <c r="A749" s="442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</row>
    <row r="750" ht="19.5" customHeight="1">
      <c r="A750" s="442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</row>
    <row r="751" ht="19.5" customHeight="1">
      <c r="A751" s="442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</row>
    <row r="752" ht="19.5" customHeight="1">
      <c r="A752" s="442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</row>
    <row r="753" ht="19.5" customHeight="1">
      <c r="A753" s="442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</row>
    <row r="754" ht="19.5" customHeight="1">
      <c r="A754" s="442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</row>
    <row r="755" ht="19.5" customHeight="1">
      <c r="A755" s="442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</row>
    <row r="756" ht="19.5" customHeight="1">
      <c r="A756" s="442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</row>
    <row r="757" ht="19.5" customHeight="1">
      <c r="A757" s="442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</row>
    <row r="758" ht="19.5" customHeight="1">
      <c r="A758" s="442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</row>
    <row r="759" ht="19.5" customHeight="1">
      <c r="A759" s="442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</row>
    <row r="760" ht="19.5" customHeight="1">
      <c r="A760" s="442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</row>
    <row r="761" ht="19.5" customHeight="1">
      <c r="A761" s="442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</row>
    <row r="762" ht="19.5" customHeight="1">
      <c r="A762" s="442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</row>
    <row r="763" ht="19.5" customHeight="1">
      <c r="A763" s="442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</row>
    <row r="764" ht="19.5" customHeight="1">
      <c r="A764" s="442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</row>
    <row r="765" ht="19.5" customHeight="1">
      <c r="A765" s="442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</row>
    <row r="766" ht="19.5" customHeight="1">
      <c r="A766" s="442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</row>
    <row r="767" ht="19.5" customHeight="1">
      <c r="A767" s="442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</row>
    <row r="768" ht="19.5" customHeight="1">
      <c r="A768" s="442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</row>
    <row r="769" ht="19.5" customHeight="1">
      <c r="A769" s="442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</row>
    <row r="770" ht="19.5" customHeight="1">
      <c r="A770" s="442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</row>
    <row r="771" ht="19.5" customHeight="1">
      <c r="A771" s="442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</row>
    <row r="772" ht="19.5" customHeight="1">
      <c r="A772" s="442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</row>
    <row r="773" ht="19.5" customHeight="1">
      <c r="A773" s="442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</row>
    <row r="774" ht="19.5" customHeight="1">
      <c r="A774" s="442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</row>
    <row r="775" ht="19.5" customHeight="1">
      <c r="A775" s="442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</row>
    <row r="776" ht="19.5" customHeight="1">
      <c r="A776" s="442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</row>
    <row r="777" ht="19.5" customHeight="1">
      <c r="A777" s="442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</row>
    <row r="778" ht="19.5" customHeight="1">
      <c r="A778" s="442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</row>
    <row r="779" ht="19.5" customHeight="1">
      <c r="A779" s="442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</row>
    <row r="780" ht="19.5" customHeight="1">
      <c r="A780" s="442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</row>
    <row r="781" ht="19.5" customHeight="1">
      <c r="A781" s="442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</row>
    <row r="782" ht="19.5" customHeight="1">
      <c r="A782" s="442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</row>
    <row r="783" ht="19.5" customHeight="1">
      <c r="A783" s="442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</row>
    <row r="784" ht="19.5" customHeight="1">
      <c r="A784" s="442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</row>
    <row r="785" ht="19.5" customHeight="1">
      <c r="A785" s="442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</row>
    <row r="786" ht="19.5" customHeight="1">
      <c r="A786" s="442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</row>
    <row r="787" ht="19.5" customHeight="1">
      <c r="A787" s="442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</row>
    <row r="788" ht="19.5" customHeight="1">
      <c r="A788" s="442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</row>
    <row r="789" ht="19.5" customHeight="1">
      <c r="A789" s="442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</row>
    <row r="790" ht="19.5" customHeight="1">
      <c r="A790" s="442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</row>
    <row r="791" ht="19.5" customHeight="1">
      <c r="A791" s="442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</row>
    <row r="792" ht="19.5" customHeight="1">
      <c r="A792" s="442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</row>
    <row r="793" ht="19.5" customHeight="1">
      <c r="A793" s="442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</row>
    <row r="794" ht="19.5" customHeight="1">
      <c r="A794" s="442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</row>
    <row r="795" ht="19.5" customHeight="1">
      <c r="A795" s="442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</row>
    <row r="796" ht="19.5" customHeight="1">
      <c r="A796" s="442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</row>
    <row r="797" ht="19.5" customHeight="1">
      <c r="A797" s="442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</row>
    <row r="798" ht="19.5" customHeight="1">
      <c r="A798" s="442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</row>
    <row r="799" ht="19.5" customHeight="1">
      <c r="A799" s="442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</row>
    <row r="800" ht="19.5" customHeight="1">
      <c r="A800" s="442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</row>
    <row r="801" ht="19.5" customHeight="1">
      <c r="A801" s="442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</row>
    <row r="802" ht="19.5" customHeight="1">
      <c r="A802" s="442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</row>
    <row r="803" ht="19.5" customHeight="1">
      <c r="A803" s="442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</row>
    <row r="804" ht="19.5" customHeight="1">
      <c r="A804" s="442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</row>
    <row r="805" ht="19.5" customHeight="1">
      <c r="A805" s="442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</row>
    <row r="806" ht="19.5" customHeight="1">
      <c r="A806" s="442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</row>
    <row r="807" ht="19.5" customHeight="1">
      <c r="A807" s="442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</row>
    <row r="808" ht="19.5" customHeight="1">
      <c r="A808" s="442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</row>
    <row r="809" ht="19.5" customHeight="1">
      <c r="A809" s="442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</row>
    <row r="810" ht="19.5" customHeight="1">
      <c r="A810" s="442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</row>
    <row r="811" ht="19.5" customHeight="1">
      <c r="A811" s="442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</row>
    <row r="812" ht="19.5" customHeight="1">
      <c r="A812" s="442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</row>
    <row r="813" ht="19.5" customHeight="1">
      <c r="A813" s="442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</row>
    <row r="814" ht="19.5" customHeight="1">
      <c r="A814" s="442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</row>
    <row r="815" ht="19.5" customHeight="1">
      <c r="A815" s="442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</row>
    <row r="816" ht="19.5" customHeight="1">
      <c r="A816" s="442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</row>
    <row r="817" ht="19.5" customHeight="1">
      <c r="A817" s="442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</row>
    <row r="818" ht="19.5" customHeight="1">
      <c r="A818" s="442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</row>
    <row r="819" ht="19.5" customHeight="1">
      <c r="A819" s="442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</row>
    <row r="820" ht="19.5" customHeight="1">
      <c r="A820" s="442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</row>
    <row r="821" ht="19.5" customHeight="1">
      <c r="A821" s="442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</row>
    <row r="822" ht="19.5" customHeight="1">
      <c r="A822" s="442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</row>
    <row r="823" ht="19.5" customHeight="1">
      <c r="A823" s="442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</row>
    <row r="824" ht="19.5" customHeight="1">
      <c r="A824" s="442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</row>
    <row r="825" ht="19.5" customHeight="1">
      <c r="A825" s="442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</row>
    <row r="826" ht="19.5" customHeight="1">
      <c r="A826" s="442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</row>
    <row r="827" ht="19.5" customHeight="1">
      <c r="A827" s="442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</row>
    <row r="828" ht="19.5" customHeight="1">
      <c r="A828" s="442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</row>
    <row r="829" ht="19.5" customHeight="1">
      <c r="A829" s="442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</row>
    <row r="830" ht="19.5" customHeight="1">
      <c r="A830" s="442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</row>
    <row r="831" ht="19.5" customHeight="1">
      <c r="A831" s="442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</row>
    <row r="832" ht="19.5" customHeight="1">
      <c r="A832" s="442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</row>
    <row r="833" ht="19.5" customHeight="1">
      <c r="A833" s="442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</row>
    <row r="834" ht="19.5" customHeight="1">
      <c r="A834" s="442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</row>
    <row r="835" ht="19.5" customHeight="1">
      <c r="A835" s="442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</row>
    <row r="836" ht="19.5" customHeight="1">
      <c r="A836" s="442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</row>
    <row r="837" ht="19.5" customHeight="1">
      <c r="A837" s="442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</row>
    <row r="838" ht="19.5" customHeight="1">
      <c r="A838" s="442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</row>
    <row r="839" ht="19.5" customHeight="1">
      <c r="A839" s="442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</row>
    <row r="840" ht="19.5" customHeight="1">
      <c r="A840" s="442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</row>
    <row r="841" ht="19.5" customHeight="1">
      <c r="A841" s="442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</row>
    <row r="842" ht="19.5" customHeight="1">
      <c r="A842" s="442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</row>
    <row r="843" ht="19.5" customHeight="1">
      <c r="A843" s="442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</row>
    <row r="844" ht="19.5" customHeight="1">
      <c r="A844" s="442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</row>
    <row r="845" ht="19.5" customHeight="1">
      <c r="A845" s="442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</row>
    <row r="846" ht="19.5" customHeight="1">
      <c r="A846" s="442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</row>
    <row r="847" ht="19.5" customHeight="1">
      <c r="A847" s="442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</row>
    <row r="848" ht="19.5" customHeight="1">
      <c r="A848" s="442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</row>
    <row r="849" ht="19.5" customHeight="1">
      <c r="A849" s="442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</row>
    <row r="850" ht="19.5" customHeight="1">
      <c r="A850" s="442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</row>
    <row r="851" ht="19.5" customHeight="1">
      <c r="A851" s="442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</row>
    <row r="852" ht="19.5" customHeight="1">
      <c r="A852" s="442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</row>
    <row r="853" ht="19.5" customHeight="1">
      <c r="A853" s="442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</row>
    <row r="854" ht="19.5" customHeight="1">
      <c r="A854" s="442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</row>
    <row r="855" ht="19.5" customHeight="1">
      <c r="A855" s="442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</row>
    <row r="856" ht="19.5" customHeight="1">
      <c r="A856" s="442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</row>
    <row r="857" ht="19.5" customHeight="1">
      <c r="A857" s="442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</row>
    <row r="858" ht="19.5" customHeight="1">
      <c r="A858" s="442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</row>
    <row r="859" ht="19.5" customHeight="1">
      <c r="A859" s="442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</row>
    <row r="860" ht="19.5" customHeight="1">
      <c r="A860" s="442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</row>
    <row r="861" ht="19.5" customHeight="1">
      <c r="A861" s="442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</row>
    <row r="862" ht="19.5" customHeight="1">
      <c r="A862" s="442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</row>
    <row r="863" ht="19.5" customHeight="1">
      <c r="A863" s="442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</row>
    <row r="864" ht="19.5" customHeight="1">
      <c r="A864" s="442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</row>
    <row r="865" ht="19.5" customHeight="1">
      <c r="A865" s="442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</row>
    <row r="866" ht="19.5" customHeight="1">
      <c r="A866" s="442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</row>
    <row r="867" ht="19.5" customHeight="1">
      <c r="A867" s="442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</row>
    <row r="868" ht="19.5" customHeight="1">
      <c r="A868" s="442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</row>
    <row r="869" ht="19.5" customHeight="1">
      <c r="A869" s="442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</row>
    <row r="870" ht="19.5" customHeight="1">
      <c r="A870" s="442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</row>
    <row r="871" ht="19.5" customHeight="1">
      <c r="A871" s="442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</row>
    <row r="872" ht="19.5" customHeight="1">
      <c r="A872" s="442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</row>
    <row r="873" ht="19.5" customHeight="1">
      <c r="A873" s="442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</row>
    <row r="874" ht="19.5" customHeight="1">
      <c r="A874" s="442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</row>
    <row r="875" ht="19.5" customHeight="1">
      <c r="A875" s="442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</row>
    <row r="876" ht="19.5" customHeight="1">
      <c r="A876" s="442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</row>
    <row r="877" ht="19.5" customHeight="1">
      <c r="A877" s="442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</row>
    <row r="878" ht="19.5" customHeight="1">
      <c r="A878" s="442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</row>
    <row r="879" ht="19.5" customHeight="1">
      <c r="A879" s="442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</row>
    <row r="880" ht="19.5" customHeight="1">
      <c r="A880" s="442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</row>
    <row r="881" ht="19.5" customHeight="1">
      <c r="A881" s="442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</row>
    <row r="882" ht="19.5" customHeight="1">
      <c r="A882" s="442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</row>
    <row r="883" ht="19.5" customHeight="1">
      <c r="A883" s="442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</row>
    <row r="884" ht="19.5" customHeight="1">
      <c r="A884" s="442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</row>
    <row r="885" ht="19.5" customHeight="1">
      <c r="A885" s="442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</row>
    <row r="886" ht="19.5" customHeight="1">
      <c r="A886" s="442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</row>
    <row r="887" ht="19.5" customHeight="1">
      <c r="A887" s="442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</row>
    <row r="888" ht="19.5" customHeight="1">
      <c r="A888" s="442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</row>
    <row r="889" ht="19.5" customHeight="1">
      <c r="A889" s="442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</row>
    <row r="890" ht="19.5" customHeight="1">
      <c r="A890" s="442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</row>
    <row r="891" ht="19.5" customHeight="1">
      <c r="A891" s="442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</row>
    <row r="892" ht="19.5" customHeight="1">
      <c r="A892" s="442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</row>
    <row r="893" ht="19.5" customHeight="1">
      <c r="A893" s="442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</row>
    <row r="894" ht="19.5" customHeight="1">
      <c r="A894" s="442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</row>
    <row r="895" ht="19.5" customHeight="1">
      <c r="A895" s="442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</row>
    <row r="896" ht="19.5" customHeight="1">
      <c r="A896" s="442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</row>
    <row r="897" ht="19.5" customHeight="1">
      <c r="A897" s="442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</row>
    <row r="898" ht="19.5" customHeight="1">
      <c r="A898" s="442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</row>
    <row r="899" ht="19.5" customHeight="1">
      <c r="A899" s="442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</row>
    <row r="900" ht="19.5" customHeight="1">
      <c r="A900" s="442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</row>
    <row r="901" ht="19.5" customHeight="1">
      <c r="A901" s="442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</row>
    <row r="902" ht="19.5" customHeight="1">
      <c r="A902" s="442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</row>
    <row r="903" ht="19.5" customHeight="1">
      <c r="A903" s="442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</row>
    <row r="904" ht="19.5" customHeight="1">
      <c r="A904" s="442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</row>
    <row r="905" ht="19.5" customHeight="1">
      <c r="A905" s="442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</row>
    <row r="906" ht="19.5" customHeight="1">
      <c r="A906" s="442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</row>
    <row r="907" ht="19.5" customHeight="1">
      <c r="A907" s="442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</row>
    <row r="908" ht="19.5" customHeight="1">
      <c r="A908" s="442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</row>
    <row r="909" ht="19.5" customHeight="1">
      <c r="A909" s="442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</row>
    <row r="910" ht="19.5" customHeight="1">
      <c r="A910" s="442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</row>
    <row r="911" ht="19.5" customHeight="1">
      <c r="A911" s="442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</row>
    <row r="912" ht="19.5" customHeight="1">
      <c r="A912" s="442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</row>
    <row r="913" ht="19.5" customHeight="1">
      <c r="A913" s="442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</row>
    <row r="914" ht="19.5" customHeight="1">
      <c r="A914" s="442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</row>
    <row r="915" ht="19.5" customHeight="1">
      <c r="A915" s="442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</row>
    <row r="916" ht="19.5" customHeight="1">
      <c r="A916" s="442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</row>
    <row r="917" ht="19.5" customHeight="1">
      <c r="A917" s="442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</row>
    <row r="918" ht="19.5" customHeight="1">
      <c r="A918" s="442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</row>
    <row r="919" ht="19.5" customHeight="1">
      <c r="A919" s="442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</row>
    <row r="920" ht="19.5" customHeight="1">
      <c r="A920" s="442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</row>
    <row r="921" ht="19.5" customHeight="1">
      <c r="A921" s="442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</row>
    <row r="922" ht="19.5" customHeight="1">
      <c r="A922" s="442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</row>
    <row r="923" ht="19.5" customHeight="1">
      <c r="A923" s="442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</row>
    <row r="924" ht="19.5" customHeight="1">
      <c r="A924" s="442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</row>
    <row r="925" ht="19.5" customHeight="1">
      <c r="A925" s="442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</row>
    <row r="926" ht="19.5" customHeight="1">
      <c r="A926" s="442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</row>
    <row r="927" ht="19.5" customHeight="1">
      <c r="A927" s="442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</row>
    <row r="928" ht="19.5" customHeight="1">
      <c r="A928" s="442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</row>
    <row r="929" ht="19.5" customHeight="1">
      <c r="A929" s="442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</row>
    <row r="930" ht="19.5" customHeight="1">
      <c r="A930" s="442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</row>
    <row r="931" ht="19.5" customHeight="1">
      <c r="A931" s="442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</row>
    <row r="932" ht="19.5" customHeight="1">
      <c r="A932" s="442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</row>
    <row r="933" ht="19.5" customHeight="1">
      <c r="A933" s="442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</row>
    <row r="934" ht="19.5" customHeight="1">
      <c r="A934" s="442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</row>
    <row r="935" ht="19.5" customHeight="1">
      <c r="A935" s="442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</row>
    <row r="936" ht="19.5" customHeight="1">
      <c r="A936" s="442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</row>
    <row r="937" ht="19.5" customHeight="1">
      <c r="A937" s="442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</row>
    <row r="938" ht="19.5" customHeight="1">
      <c r="A938" s="442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</row>
    <row r="939" ht="19.5" customHeight="1">
      <c r="A939" s="442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</row>
    <row r="940" ht="19.5" customHeight="1">
      <c r="A940" s="442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</row>
    <row r="941" ht="19.5" customHeight="1">
      <c r="A941" s="442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</row>
    <row r="942" ht="19.5" customHeight="1">
      <c r="A942" s="442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</row>
    <row r="943" ht="19.5" customHeight="1">
      <c r="A943" s="442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</row>
    <row r="944" ht="19.5" customHeight="1">
      <c r="A944" s="442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</row>
    <row r="945" ht="19.5" customHeight="1">
      <c r="A945" s="442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</row>
    <row r="946" ht="19.5" customHeight="1">
      <c r="A946" s="442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</row>
    <row r="947" ht="19.5" customHeight="1">
      <c r="A947" s="442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</row>
    <row r="948" ht="19.5" customHeight="1">
      <c r="A948" s="442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</row>
    <row r="949" ht="19.5" customHeight="1">
      <c r="A949" s="442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</row>
    <row r="950" ht="19.5" customHeight="1">
      <c r="A950" s="442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</row>
    <row r="951" ht="19.5" customHeight="1">
      <c r="A951" s="442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</row>
    <row r="952" ht="19.5" customHeight="1">
      <c r="A952" s="442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</row>
    <row r="953" ht="19.5" customHeight="1">
      <c r="A953" s="442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</row>
    <row r="954" ht="19.5" customHeight="1">
      <c r="A954" s="442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</row>
    <row r="955" ht="19.5" customHeight="1">
      <c r="A955" s="442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</row>
    <row r="956" ht="19.5" customHeight="1">
      <c r="A956" s="442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</row>
  </sheetData>
  <mergeCells count="1">
    <mergeCell ref="A1:C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63"/>
    <col customWidth="1" min="2" max="2" width="43.13"/>
    <col customWidth="1" min="3" max="3" width="42.63"/>
  </cols>
  <sheetData>
    <row r="1" ht="38.25" customHeight="1">
      <c r="A1" s="441" t="s">
        <v>1573</v>
      </c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</row>
    <row r="2" ht="25.5" customHeight="1">
      <c r="A2" s="443" t="s">
        <v>1182</v>
      </c>
      <c r="B2" s="443" t="s">
        <v>985</v>
      </c>
      <c r="C2" s="443" t="s">
        <v>1187</v>
      </c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</row>
    <row r="3" ht="19.5" customHeight="1">
      <c r="A3" s="18">
        <f t="shared" ref="A3:A14" si="1">IF(ISBLANK(B3),"",COUNTA($B$3:B3))</f>
        <v>1</v>
      </c>
      <c r="B3" s="448" t="s">
        <v>1574</v>
      </c>
      <c r="C3" s="450" t="s">
        <v>1575</v>
      </c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</row>
    <row r="4" ht="19.5" customHeight="1">
      <c r="A4" s="18">
        <f t="shared" si="1"/>
        <v>2</v>
      </c>
      <c r="B4" s="448" t="s">
        <v>1576</v>
      </c>
      <c r="C4" s="450" t="s">
        <v>1577</v>
      </c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  <c r="S4" s="451"/>
      <c r="T4" s="451"/>
      <c r="U4" s="451"/>
      <c r="V4" s="451"/>
      <c r="W4" s="451"/>
      <c r="X4" s="451"/>
    </row>
    <row r="5" ht="19.5" customHeight="1">
      <c r="A5" s="18">
        <f t="shared" si="1"/>
        <v>3</v>
      </c>
      <c r="B5" s="448" t="s">
        <v>1578</v>
      </c>
      <c r="C5" s="450" t="s">
        <v>1579</v>
      </c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451"/>
    </row>
    <row r="6" ht="19.5" customHeight="1">
      <c r="A6" s="18">
        <f t="shared" si="1"/>
        <v>4</v>
      </c>
      <c r="B6" s="448" t="s">
        <v>1580</v>
      </c>
      <c r="C6" s="450" t="s">
        <v>1581</v>
      </c>
      <c r="D6" s="451"/>
      <c r="E6" s="451"/>
      <c r="F6" s="451"/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X6" s="451"/>
    </row>
    <row r="7" ht="19.5" customHeight="1">
      <c r="A7" s="18">
        <f t="shared" si="1"/>
        <v>5</v>
      </c>
      <c r="B7" s="448" t="s">
        <v>1582</v>
      </c>
      <c r="C7" s="450" t="s">
        <v>1583</v>
      </c>
      <c r="D7" s="451"/>
      <c r="E7" s="451"/>
      <c r="F7" s="451"/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  <c r="V7" s="451"/>
      <c r="W7" s="451"/>
      <c r="X7" s="451"/>
    </row>
    <row r="8" ht="19.5" customHeight="1">
      <c r="A8" s="18">
        <f t="shared" si="1"/>
        <v>6</v>
      </c>
      <c r="B8" s="448" t="s">
        <v>1584</v>
      </c>
      <c r="C8" s="450" t="s">
        <v>1585</v>
      </c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  <c r="O8" s="451"/>
      <c r="P8" s="451"/>
      <c r="Q8" s="451"/>
      <c r="R8" s="451"/>
      <c r="S8" s="451"/>
      <c r="T8" s="451"/>
      <c r="U8" s="451"/>
      <c r="V8" s="451"/>
      <c r="W8" s="451"/>
      <c r="X8" s="451"/>
    </row>
    <row r="9" ht="19.5" customHeight="1">
      <c r="A9" s="18">
        <f t="shared" si="1"/>
        <v>7</v>
      </c>
      <c r="B9" s="448" t="s">
        <v>1586</v>
      </c>
      <c r="C9" s="450" t="s">
        <v>1587</v>
      </c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  <c r="O9" s="451"/>
      <c r="P9" s="451"/>
      <c r="Q9" s="451"/>
      <c r="R9" s="451"/>
      <c r="S9" s="451"/>
      <c r="T9" s="451"/>
      <c r="U9" s="451"/>
      <c r="V9" s="451"/>
      <c r="W9" s="451"/>
      <c r="X9" s="451"/>
    </row>
    <row r="10" ht="19.5" customHeight="1">
      <c r="A10" s="18">
        <f t="shared" si="1"/>
        <v>8</v>
      </c>
      <c r="B10" s="448" t="s">
        <v>1588</v>
      </c>
      <c r="C10" s="450" t="s">
        <v>1589</v>
      </c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  <c r="V10" s="451"/>
      <c r="W10" s="451"/>
      <c r="X10" s="451"/>
    </row>
    <row r="11" ht="19.5" customHeight="1">
      <c r="A11" s="18">
        <f t="shared" si="1"/>
        <v>9</v>
      </c>
      <c r="B11" s="448" t="s">
        <v>1590</v>
      </c>
      <c r="C11" s="450" t="s">
        <v>1591</v>
      </c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</row>
    <row r="12" ht="19.5" customHeight="1">
      <c r="A12" s="18">
        <f t="shared" si="1"/>
        <v>10</v>
      </c>
      <c r="B12" s="448" t="s">
        <v>1592</v>
      </c>
      <c r="C12" s="450" t="s">
        <v>1593</v>
      </c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</row>
    <row r="13" ht="19.5" customHeight="1">
      <c r="A13" s="18">
        <f t="shared" si="1"/>
        <v>11</v>
      </c>
      <c r="B13" s="448" t="s">
        <v>1594</v>
      </c>
      <c r="C13" s="450" t="s">
        <v>1595</v>
      </c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1"/>
      <c r="X13" s="451"/>
    </row>
    <row r="14" ht="19.5" customHeight="1">
      <c r="A14" s="18">
        <f t="shared" si="1"/>
        <v>12</v>
      </c>
      <c r="B14" s="448" t="s">
        <v>1596</v>
      </c>
      <c r="C14" s="450" t="s">
        <v>1597</v>
      </c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1"/>
      <c r="W14" s="451"/>
      <c r="X14" s="451"/>
    </row>
    <row r="15" ht="19.5" customHeight="1">
      <c r="A15" s="18" t="str">
        <f>IF(ISBLANK(B15),"",COUNTA($B$3:B18))</f>
        <v/>
      </c>
      <c r="B15" s="448"/>
      <c r="C15" s="448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  <c r="O15" s="451"/>
      <c r="P15" s="451"/>
      <c r="Q15" s="451"/>
      <c r="R15" s="451"/>
      <c r="S15" s="451"/>
      <c r="T15" s="451"/>
      <c r="U15" s="451"/>
      <c r="V15" s="451"/>
      <c r="W15" s="451"/>
      <c r="X15" s="451"/>
    </row>
    <row r="16" ht="19.5" customHeight="1">
      <c r="A16" s="18" t="str">
        <f t="shared" ref="A16:A35" si="2">IF(ISBLANK(B16),"",COUNTA($B$3:B16))</f>
        <v/>
      </c>
      <c r="B16" s="448"/>
      <c r="C16" s="448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</row>
    <row r="17" ht="19.5" customHeight="1">
      <c r="A17" s="18" t="str">
        <f t="shared" si="2"/>
        <v/>
      </c>
      <c r="B17" s="448"/>
      <c r="C17" s="448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  <c r="O17" s="451"/>
      <c r="P17" s="451"/>
      <c r="Q17" s="451"/>
      <c r="R17" s="451"/>
      <c r="S17" s="451"/>
      <c r="T17" s="451"/>
      <c r="U17" s="451"/>
      <c r="V17" s="451"/>
      <c r="W17" s="451"/>
      <c r="X17" s="451"/>
    </row>
    <row r="18" ht="19.5" customHeight="1">
      <c r="A18" s="18" t="str">
        <f t="shared" si="2"/>
        <v/>
      </c>
      <c r="B18" s="448"/>
      <c r="C18" s="448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  <c r="O18" s="451"/>
      <c r="P18" s="451"/>
      <c r="Q18" s="451"/>
      <c r="R18" s="451"/>
      <c r="S18" s="451"/>
      <c r="T18" s="451"/>
      <c r="U18" s="451"/>
      <c r="V18" s="451"/>
      <c r="W18" s="451"/>
      <c r="X18" s="451"/>
    </row>
    <row r="19" ht="19.5" customHeight="1">
      <c r="A19" s="18" t="str">
        <f t="shared" si="2"/>
        <v/>
      </c>
      <c r="B19" s="448"/>
      <c r="C19" s="448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1"/>
      <c r="X19" s="451"/>
    </row>
    <row r="20" ht="19.5" customHeight="1">
      <c r="A20" s="18" t="str">
        <f t="shared" si="2"/>
        <v/>
      </c>
      <c r="B20" s="448"/>
      <c r="C20" s="448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  <c r="O20" s="451"/>
      <c r="P20" s="451"/>
      <c r="Q20" s="451"/>
      <c r="R20" s="451"/>
      <c r="S20" s="451"/>
      <c r="T20" s="451"/>
      <c r="U20" s="451"/>
      <c r="V20" s="451"/>
      <c r="W20" s="451"/>
      <c r="X20" s="451"/>
    </row>
    <row r="21" ht="19.5" customHeight="1">
      <c r="A21" s="18" t="str">
        <f t="shared" si="2"/>
        <v/>
      </c>
      <c r="B21" s="448"/>
      <c r="C21" s="448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  <c r="O21" s="451"/>
      <c r="P21" s="451"/>
      <c r="Q21" s="451"/>
      <c r="R21" s="451"/>
      <c r="S21" s="451"/>
      <c r="T21" s="451"/>
      <c r="U21" s="451"/>
      <c r="V21" s="451"/>
      <c r="W21" s="451"/>
      <c r="X21" s="451"/>
    </row>
    <row r="22" ht="19.5" customHeight="1">
      <c r="A22" s="18" t="str">
        <f t="shared" si="2"/>
        <v/>
      </c>
      <c r="B22" s="448"/>
      <c r="C22" s="448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</row>
    <row r="23" ht="19.5" customHeight="1">
      <c r="A23" s="18" t="str">
        <f t="shared" si="2"/>
        <v/>
      </c>
      <c r="B23" s="448"/>
      <c r="C23" s="448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  <c r="O23" s="451"/>
      <c r="P23" s="451"/>
      <c r="Q23" s="451"/>
      <c r="R23" s="451"/>
      <c r="S23" s="451"/>
      <c r="T23" s="451"/>
      <c r="U23" s="451"/>
      <c r="V23" s="451"/>
      <c r="W23" s="451"/>
      <c r="X23" s="451"/>
    </row>
    <row r="24" ht="19.5" customHeight="1">
      <c r="A24" s="18" t="str">
        <f t="shared" si="2"/>
        <v/>
      </c>
      <c r="B24" s="448"/>
      <c r="C24" s="448"/>
      <c r="D24" s="451"/>
      <c r="E24" s="451"/>
      <c r="F24" s="451"/>
      <c r="G24" s="451"/>
      <c r="H24" s="451"/>
      <c r="I24" s="451"/>
      <c r="J24" s="451"/>
      <c r="K24" s="451"/>
      <c r="L24" s="451"/>
      <c r="M24" s="451"/>
      <c r="N24" s="451"/>
      <c r="O24" s="451"/>
      <c r="P24" s="451"/>
      <c r="Q24" s="451"/>
      <c r="R24" s="451"/>
      <c r="S24" s="451"/>
      <c r="T24" s="451"/>
      <c r="U24" s="451"/>
      <c r="V24" s="451"/>
      <c r="W24" s="451"/>
      <c r="X24" s="451"/>
    </row>
    <row r="25" ht="19.5" customHeight="1">
      <c r="A25" s="18" t="str">
        <f t="shared" si="2"/>
        <v/>
      </c>
      <c r="B25" s="448"/>
      <c r="C25" s="448"/>
      <c r="D25" s="451"/>
      <c r="E25" s="451"/>
      <c r="F25" s="451"/>
      <c r="G25" s="451"/>
      <c r="H25" s="451"/>
      <c r="I25" s="451"/>
      <c r="J25" s="451"/>
      <c r="K25" s="451"/>
      <c r="L25" s="451"/>
      <c r="M25" s="451"/>
      <c r="N25" s="451"/>
      <c r="O25" s="451"/>
      <c r="P25" s="451"/>
      <c r="Q25" s="451"/>
      <c r="R25" s="451"/>
      <c r="S25" s="451"/>
      <c r="T25" s="451"/>
      <c r="U25" s="451"/>
      <c r="V25" s="451"/>
      <c r="W25" s="451"/>
      <c r="X25" s="451"/>
    </row>
    <row r="26" ht="19.5" customHeight="1">
      <c r="A26" s="18" t="str">
        <f t="shared" si="2"/>
        <v/>
      </c>
      <c r="B26" s="448"/>
      <c r="C26" s="448"/>
      <c r="D26" s="451"/>
      <c r="E26" s="451"/>
      <c r="F26" s="451"/>
      <c r="G26" s="451"/>
      <c r="H26" s="451"/>
      <c r="I26" s="451"/>
      <c r="J26" s="451"/>
      <c r="K26" s="451"/>
      <c r="L26" s="451"/>
      <c r="M26" s="451"/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/>
    </row>
    <row r="27" ht="19.5" customHeight="1">
      <c r="A27" s="18" t="str">
        <f t="shared" si="2"/>
        <v/>
      </c>
      <c r="B27" s="448"/>
      <c r="C27" s="448"/>
      <c r="D27" s="451"/>
      <c r="E27" s="451"/>
      <c r="F27" s="451"/>
      <c r="G27" s="451"/>
      <c r="H27" s="451"/>
      <c r="I27" s="451"/>
      <c r="J27" s="451"/>
      <c r="K27" s="451"/>
      <c r="L27" s="451"/>
      <c r="M27" s="451"/>
      <c r="N27" s="451"/>
      <c r="O27" s="451"/>
      <c r="P27" s="451"/>
      <c r="Q27" s="451"/>
      <c r="R27" s="451"/>
      <c r="S27" s="451"/>
      <c r="T27" s="451"/>
      <c r="U27" s="451"/>
      <c r="V27" s="451"/>
      <c r="W27" s="451"/>
      <c r="X27" s="451"/>
    </row>
    <row r="28" ht="19.5" customHeight="1">
      <c r="A28" s="18" t="str">
        <f t="shared" si="2"/>
        <v/>
      </c>
      <c r="B28" s="448"/>
      <c r="C28" s="448"/>
      <c r="D28" s="451"/>
      <c r="E28" s="451"/>
      <c r="F28" s="451"/>
      <c r="G28" s="451"/>
      <c r="H28" s="451"/>
      <c r="I28" s="451"/>
      <c r="J28" s="451"/>
      <c r="K28" s="451"/>
      <c r="L28" s="451"/>
      <c r="M28" s="451"/>
      <c r="N28" s="451"/>
      <c r="O28" s="451"/>
      <c r="P28" s="451"/>
      <c r="Q28" s="451"/>
      <c r="R28" s="451"/>
      <c r="S28" s="451"/>
      <c r="T28" s="451"/>
      <c r="U28" s="451"/>
      <c r="V28" s="451"/>
      <c r="W28" s="451"/>
      <c r="X28" s="451"/>
    </row>
    <row r="29" ht="19.5" customHeight="1">
      <c r="A29" s="18" t="str">
        <f t="shared" si="2"/>
        <v/>
      </c>
      <c r="B29" s="448"/>
      <c r="C29" s="448"/>
      <c r="D29" s="451"/>
      <c r="E29" s="451"/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</row>
    <row r="30" ht="19.5" customHeight="1">
      <c r="A30" s="18" t="str">
        <f t="shared" si="2"/>
        <v/>
      </c>
      <c r="B30" s="448"/>
      <c r="C30" s="448"/>
      <c r="D30" s="451"/>
      <c r="E30" s="451"/>
      <c r="F30" s="451"/>
      <c r="G30" s="451"/>
      <c r="H30" s="451"/>
      <c r="I30" s="451"/>
      <c r="J30" s="451"/>
      <c r="K30" s="451"/>
      <c r="L30" s="451"/>
      <c r="M30" s="451"/>
      <c r="N30" s="451"/>
      <c r="O30" s="451"/>
      <c r="P30" s="451"/>
      <c r="Q30" s="451"/>
      <c r="R30" s="451"/>
      <c r="S30" s="451"/>
      <c r="T30" s="451"/>
      <c r="U30" s="451"/>
      <c r="V30" s="451"/>
      <c r="W30" s="451"/>
      <c r="X30" s="451"/>
    </row>
    <row r="31" ht="19.5" customHeight="1">
      <c r="A31" s="18" t="str">
        <f t="shared" si="2"/>
        <v/>
      </c>
      <c r="B31" s="448"/>
      <c r="C31" s="448"/>
      <c r="D31" s="451"/>
      <c r="E31" s="451"/>
      <c r="F31" s="451"/>
      <c r="G31" s="451"/>
      <c r="H31" s="451"/>
      <c r="I31" s="451"/>
      <c r="J31" s="451"/>
      <c r="K31" s="451"/>
      <c r="L31" s="451"/>
      <c r="M31" s="451"/>
      <c r="N31" s="451"/>
      <c r="O31" s="451"/>
      <c r="P31" s="451"/>
      <c r="Q31" s="451"/>
      <c r="R31" s="451"/>
      <c r="S31" s="451"/>
      <c r="T31" s="451"/>
      <c r="U31" s="451"/>
      <c r="V31" s="451"/>
      <c r="W31" s="451"/>
      <c r="X31" s="451"/>
    </row>
    <row r="32" ht="19.5" customHeight="1">
      <c r="A32" s="18" t="str">
        <f t="shared" si="2"/>
        <v/>
      </c>
      <c r="B32" s="448"/>
      <c r="C32" s="448"/>
      <c r="D32" s="451"/>
      <c r="E32" s="451"/>
      <c r="F32" s="451"/>
      <c r="G32" s="451"/>
      <c r="H32" s="451"/>
      <c r="I32" s="451"/>
      <c r="J32" s="451"/>
      <c r="K32" s="451"/>
      <c r="L32" s="451"/>
      <c r="M32" s="451"/>
      <c r="N32" s="451"/>
      <c r="O32" s="451"/>
      <c r="P32" s="451"/>
      <c r="Q32" s="451"/>
      <c r="R32" s="451"/>
      <c r="S32" s="451"/>
      <c r="T32" s="451"/>
      <c r="U32" s="451"/>
      <c r="V32" s="451"/>
      <c r="W32" s="451"/>
      <c r="X32" s="451"/>
    </row>
    <row r="33" ht="19.5" customHeight="1">
      <c r="A33" s="18" t="str">
        <f t="shared" si="2"/>
        <v/>
      </c>
      <c r="B33" s="448"/>
      <c r="C33" s="461"/>
      <c r="D33" s="451"/>
      <c r="E33" s="451"/>
      <c r="F33" s="451"/>
      <c r="G33" s="451"/>
      <c r="H33" s="451"/>
      <c r="I33" s="451"/>
      <c r="J33" s="451"/>
      <c r="K33" s="451"/>
      <c r="L33" s="451"/>
      <c r="M33" s="451"/>
      <c r="N33" s="451"/>
      <c r="O33" s="451"/>
      <c r="P33" s="451"/>
      <c r="Q33" s="451"/>
      <c r="R33" s="451"/>
      <c r="S33" s="451"/>
      <c r="T33" s="451"/>
      <c r="U33" s="451"/>
      <c r="V33" s="451"/>
      <c r="W33" s="451"/>
      <c r="X33" s="451"/>
    </row>
    <row r="34" ht="19.5" customHeight="1">
      <c r="A34" s="18" t="str">
        <f t="shared" si="2"/>
        <v/>
      </c>
      <c r="B34" s="448"/>
      <c r="C34" s="461"/>
      <c r="D34" s="451"/>
      <c r="E34" s="451"/>
      <c r="F34" s="451"/>
      <c r="G34" s="451"/>
      <c r="H34" s="451"/>
      <c r="I34" s="451"/>
      <c r="J34" s="451"/>
      <c r="K34" s="451"/>
      <c r="L34" s="451"/>
      <c r="M34" s="451"/>
      <c r="N34" s="451"/>
      <c r="O34" s="451"/>
      <c r="P34" s="451"/>
      <c r="Q34" s="451"/>
      <c r="R34" s="451"/>
      <c r="S34" s="451"/>
      <c r="T34" s="451"/>
      <c r="U34" s="451"/>
      <c r="V34" s="451"/>
      <c r="W34" s="451"/>
      <c r="X34" s="451"/>
    </row>
    <row r="35" ht="19.5" customHeight="1">
      <c r="A35" s="18" t="str">
        <f t="shared" si="2"/>
        <v/>
      </c>
      <c r="B35" s="448"/>
      <c r="C35" s="461"/>
      <c r="D35" s="451"/>
      <c r="E35" s="451"/>
      <c r="F35" s="451"/>
      <c r="G35" s="451"/>
      <c r="H35" s="451"/>
      <c r="I35" s="451"/>
      <c r="J35" s="451"/>
      <c r="K35" s="451"/>
      <c r="L35" s="451"/>
      <c r="M35" s="451"/>
      <c r="N35" s="451"/>
      <c r="O35" s="451"/>
      <c r="P35" s="451"/>
      <c r="Q35" s="451"/>
      <c r="R35" s="451"/>
      <c r="S35" s="451"/>
      <c r="T35" s="451"/>
      <c r="U35" s="451"/>
      <c r="V35" s="451"/>
      <c r="W35" s="451"/>
      <c r="X35" s="451"/>
    </row>
    <row r="36" ht="19.5" customHeight="1">
      <c r="A36" s="18"/>
      <c r="B36" s="448"/>
      <c r="C36" s="448"/>
      <c r="D36" s="451"/>
      <c r="E36" s="451"/>
      <c r="F36" s="451"/>
      <c r="G36" s="451"/>
      <c r="H36" s="451"/>
      <c r="I36" s="451"/>
      <c r="J36" s="451"/>
      <c r="K36" s="451"/>
      <c r="L36" s="451"/>
      <c r="M36" s="451"/>
      <c r="N36" s="451"/>
      <c r="O36" s="451"/>
      <c r="P36" s="451"/>
      <c r="Q36" s="451"/>
      <c r="R36" s="451"/>
      <c r="S36" s="451"/>
      <c r="T36" s="451"/>
      <c r="U36" s="451"/>
      <c r="V36" s="451"/>
      <c r="W36" s="451"/>
      <c r="X36" s="451"/>
    </row>
    <row r="37" ht="19.5" customHeight="1">
      <c r="A37" s="18"/>
      <c r="B37" s="448"/>
      <c r="C37" s="448"/>
      <c r="D37" s="451"/>
      <c r="E37" s="451"/>
      <c r="F37" s="451"/>
      <c r="G37" s="451"/>
      <c r="H37" s="451"/>
      <c r="I37" s="451"/>
      <c r="J37" s="451"/>
      <c r="K37" s="451"/>
      <c r="L37" s="451"/>
      <c r="M37" s="451"/>
      <c r="N37" s="451"/>
      <c r="O37" s="451"/>
      <c r="P37" s="451"/>
      <c r="Q37" s="451"/>
      <c r="R37" s="451"/>
      <c r="S37" s="451"/>
      <c r="T37" s="451"/>
      <c r="U37" s="451"/>
      <c r="V37" s="451"/>
      <c r="W37" s="451"/>
      <c r="X37" s="451"/>
    </row>
    <row r="38" ht="19.5" customHeight="1">
      <c r="A38" s="18"/>
      <c r="B38" s="448"/>
      <c r="C38" s="448"/>
      <c r="D38" s="451"/>
      <c r="E38" s="451"/>
      <c r="F38" s="451"/>
      <c r="G38" s="451"/>
      <c r="H38" s="451"/>
      <c r="I38" s="451"/>
      <c r="J38" s="451"/>
      <c r="K38" s="451"/>
      <c r="L38" s="451"/>
      <c r="M38" s="451"/>
      <c r="N38" s="451"/>
      <c r="O38" s="451"/>
      <c r="P38" s="451"/>
      <c r="Q38" s="451"/>
      <c r="R38" s="451"/>
      <c r="S38" s="451"/>
      <c r="T38" s="451"/>
      <c r="U38" s="451"/>
      <c r="V38" s="451"/>
      <c r="W38" s="451"/>
      <c r="X38" s="451"/>
    </row>
    <row r="39" ht="19.5" customHeight="1">
      <c r="A39" s="18"/>
      <c r="B39" s="448"/>
      <c r="C39" s="448"/>
      <c r="D39" s="451"/>
      <c r="E39" s="451"/>
      <c r="F39" s="451"/>
      <c r="G39" s="451"/>
      <c r="H39" s="451"/>
      <c r="I39" s="451"/>
      <c r="J39" s="451"/>
      <c r="K39" s="451"/>
      <c r="L39" s="451"/>
      <c r="M39" s="451"/>
      <c r="N39" s="451"/>
      <c r="O39" s="451"/>
      <c r="P39" s="451"/>
      <c r="Q39" s="451"/>
      <c r="R39" s="451"/>
      <c r="S39" s="451"/>
      <c r="T39" s="451"/>
      <c r="U39" s="451"/>
      <c r="V39" s="451"/>
      <c r="W39" s="451"/>
      <c r="X39" s="451"/>
    </row>
    <row r="40" ht="19.5" customHeight="1">
      <c r="A40" s="18"/>
      <c r="B40" s="448"/>
      <c r="C40" s="448"/>
      <c r="D40" s="451"/>
      <c r="E40" s="451"/>
      <c r="F40" s="451"/>
      <c r="G40" s="451"/>
      <c r="H40" s="451"/>
      <c r="I40" s="451"/>
      <c r="J40" s="451"/>
      <c r="K40" s="451"/>
      <c r="L40" s="451"/>
      <c r="M40" s="451"/>
      <c r="N40" s="451"/>
      <c r="O40" s="451"/>
      <c r="P40" s="451"/>
      <c r="Q40" s="451"/>
      <c r="R40" s="451"/>
      <c r="S40" s="451"/>
      <c r="T40" s="451"/>
      <c r="U40" s="451"/>
      <c r="V40" s="451"/>
      <c r="W40" s="451"/>
      <c r="X40" s="451"/>
    </row>
    <row r="41" ht="19.5" customHeight="1">
      <c r="A41" s="18"/>
      <c r="B41" s="448"/>
      <c r="C41" s="448"/>
      <c r="D41" s="451"/>
      <c r="E41" s="451"/>
      <c r="F41" s="451"/>
      <c r="G41" s="451"/>
      <c r="H41" s="451"/>
      <c r="I41" s="451"/>
      <c r="J41" s="451"/>
      <c r="K41" s="451"/>
      <c r="L41" s="451"/>
      <c r="M41" s="451"/>
      <c r="N41" s="451"/>
      <c r="O41" s="451"/>
      <c r="P41" s="451"/>
      <c r="Q41" s="451"/>
      <c r="R41" s="451"/>
      <c r="S41" s="451"/>
      <c r="T41" s="451"/>
      <c r="U41" s="451"/>
      <c r="V41" s="451"/>
      <c r="W41" s="451"/>
      <c r="X41" s="451"/>
    </row>
    <row r="42" ht="19.5" customHeight="1">
      <c r="A42" s="18"/>
      <c r="B42" s="448"/>
      <c r="C42" s="448"/>
      <c r="D42" s="451"/>
      <c r="E42" s="451"/>
      <c r="F42" s="451"/>
      <c r="G42" s="451"/>
      <c r="H42" s="451"/>
      <c r="I42" s="451"/>
      <c r="J42" s="451"/>
      <c r="K42" s="451"/>
      <c r="L42" s="451"/>
      <c r="M42" s="451"/>
      <c r="N42" s="451"/>
      <c r="O42" s="451"/>
      <c r="P42" s="451"/>
      <c r="Q42" s="451"/>
      <c r="R42" s="451"/>
      <c r="S42" s="451"/>
      <c r="T42" s="451"/>
      <c r="U42" s="451"/>
      <c r="V42" s="451"/>
      <c r="W42" s="451"/>
      <c r="X42" s="451"/>
    </row>
    <row r="43" ht="19.5" customHeight="1">
      <c r="A43" s="18"/>
      <c r="B43" s="448"/>
      <c r="C43" s="448"/>
      <c r="D43" s="451"/>
      <c r="E43" s="451"/>
      <c r="F43" s="451"/>
      <c r="G43" s="451"/>
      <c r="H43" s="451"/>
      <c r="I43" s="451"/>
      <c r="J43" s="451"/>
      <c r="K43" s="451"/>
      <c r="L43" s="451"/>
      <c r="M43" s="451"/>
      <c r="N43" s="451"/>
      <c r="O43" s="451"/>
      <c r="P43" s="451"/>
      <c r="Q43" s="451"/>
      <c r="R43" s="451"/>
      <c r="S43" s="451"/>
      <c r="T43" s="451"/>
      <c r="U43" s="451"/>
      <c r="V43" s="451"/>
      <c r="W43" s="451"/>
      <c r="X43" s="451"/>
    </row>
    <row r="44" ht="19.5" customHeight="1">
      <c r="A44" s="18"/>
      <c r="B44" s="448"/>
      <c r="C44" s="448"/>
      <c r="D44" s="451"/>
      <c r="E44" s="451"/>
      <c r="F44" s="451"/>
      <c r="G44" s="451"/>
      <c r="H44" s="451"/>
      <c r="I44" s="451"/>
      <c r="J44" s="451"/>
      <c r="K44" s="451"/>
      <c r="L44" s="451"/>
      <c r="M44" s="451"/>
      <c r="N44" s="451"/>
      <c r="O44" s="451"/>
      <c r="P44" s="451"/>
      <c r="Q44" s="451"/>
      <c r="R44" s="451"/>
      <c r="S44" s="451"/>
      <c r="T44" s="451"/>
      <c r="U44" s="451"/>
      <c r="V44" s="451"/>
      <c r="W44" s="451"/>
      <c r="X44" s="451"/>
    </row>
    <row r="45" ht="19.5" customHeight="1">
      <c r="A45" s="18" t="str">
        <f t="shared" ref="A45:A49" si="3">IF(ISBLANK(B45),"",COUNTA($B$3:B45))</f>
        <v/>
      </c>
      <c r="B45" s="448"/>
      <c r="C45" s="448"/>
      <c r="D45" s="451"/>
      <c r="E45" s="451"/>
      <c r="F45" s="451"/>
      <c r="G45" s="451"/>
      <c r="H45" s="451"/>
      <c r="I45" s="451"/>
      <c r="J45" s="451"/>
      <c r="K45" s="451"/>
      <c r="L45" s="451"/>
      <c r="M45" s="451"/>
      <c r="N45" s="451"/>
      <c r="O45" s="451"/>
      <c r="P45" s="451"/>
      <c r="Q45" s="451"/>
      <c r="R45" s="451"/>
      <c r="S45" s="451"/>
      <c r="T45" s="451"/>
      <c r="U45" s="451"/>
      <c r="V45" s="451"/>
      <c r="W45" s="451"/>
      <c r="X45" s="451"/>
    </row>
    <row r="46" ht="19.5" customHeight="1">
      <c r="A46" s="18" t="str">
        <f t="shared" si="3"/>
        <v/>
      </c>
      <c r="B46" s="448"/>
      <c r="C46" s="448"/>
      <c r="D46" s="451"/>
      <c r="E46" s="451"/>
      <c r="F46" s="451"/>
      <c r="G46" s="451"/>
      <c r="H46" s="451"/>
      <c r="I46" s="451"/>
      <c r="J46" s="451"/>
      <c r="K46" s="451"/>
      <c r="L46" s="451"/>
      <c r="M46" s="451"/>
      <c r="N46" s="451"/>
      <c r="O46" s="451"/>
      <c r="P46" s="451"/>
      <c r="Q46" s="451"/>
      <c r="R46" s="451"/>
      <c r="S46" s="451"/>
      <c r="T46" s="451"/>
      <c r="U46" s="451"/>
      <c r="V46" s="451"/>
      <c r="W46" s="451"/>
      <c r="X46" s="451"/>
    </row>
    <row r="47" ht="19.5" customHeight="1">
      <c r="A47" s="18" t="str">
        <f t="shared" si="3"/>
        <v/>
      </c>
      <c r="B47" s="448"/>
      <c r="C47" s="448"/>
      <c r="D47" s="451"/>
      <c r="E47" s="451"/>
      <c r="F47" s="451"/>
      <c r="G47" s="451"/>
      <c r="H47" s="451"/>
      <c r="I47" s="451"/>
      <c r="J47" s="451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</row>
    <row r="48" ht="19.5" customHeight="1">
      <c r="A48" s="18" t="str">
        <f t="shared" si="3"/>
        <v/>
      </c>
      <c r="B48" s="448"/>
      <c r="C48" s="448"/>
      <c r="D48" s="451"/>
      <c r="E48" s="451"/>
      <c r="F48" s="451"/>
      <c r="G48" s="451"/>
      <c r="H48" s="451"/>
      <c r="I48" s="451"/>
      <c r="J48" s="451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</row>
    <row r="49" ht="19.5" customHeight="1">
      <c r="A49" s="18" t="str">
        <f t="shared" si="3"/>
        <v/>
      </c>
      <c r="B49" s="448"/>
      <c r="C49" s="448"/>
      <c r="D49" s="451"/>
      <c r="E49" s="451"/>
      <c r="F49" s="451"/>
      <c r="G49" s="451"/>
      <c r="H49" s="451"/>
      <c r="I49" s="451"/>
      <c r="J49" s="451"/>
      <c r="K49" s="451"/>
      <c r="L49" s="451"/>
      <c r="M49" s="451"/>
      <c r="N49" s="451"/>
      <c r="O49" s="451"/>
      <c r="P49" s="451"/>
      <c r="Q49" s="451"/>
      <c r="R49" s="451"/>
      <c r="S49" s="451"/>
      <c r="T49" s="451"/>
      <c r="U49" s="451"/>
      <c r="V49" s="451"/>
      <c r="W49" s="451"/>
      <c r="X49" s="451"/>
    </row>
    <row r="50" ht="19.5" customHeight="1">
      <c r="A50" s="442"/>
      <c r="B50" s="442"/>
      <c r="C50" s="442"/>
      <c r="D50" s="442"/>
      <c r="E50" s="442"/>
      <c r="F50" s="442"/>
      <c r="G50" s="442"/>
      <c r="H50" s="442"/>
      <c r="I50" s="442"/>
      <c r="J50" s="442"/>
      <c r="K50" s="442"/>
      <c r="L50" s="442"/>
      <c r="M50" s="442"/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442"/>
    </row>
    <row r="51" ht="19.5" customHeight="1">
      <c r="A51" s="442"/>
      <c r="B51" s="442"/>
      <c r="C51" s="442"/>
      <c r="D51" s="442"/>
      <c r="E51" s="442"/>
      <c r="F51" s="442"/>
      <c r="G51" s="442"/>
      <c r="H51" s="442"/>
      <c r="I51" s="442"/>
      <c r="J51" s="442"/>
      <c r="K51" s="442"/>
      <c r="L51" s="442"/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442"/>
    </row>
    <row r="52" ht="19.5" customHeight="1">
      <c r="A52" s="442"/>
      <c r="B52" s="442"/>
      <c r="C52" s="442"/>
      <c r="D52" s="442"/>
      <c r="E52" s="442"/>
      <c r="F52" s="442"/>
      <c r="G52" s="442"/>
      <c r="H52" s="442"/>
      <c r="I52" s="442"/>
      <c r="J52" s="442"/>
      <c r="K52" s="442"/>
      <c r="L52" s="442"/>
      <c r="M52" s="442"/>
      <c r="N52" s="442"/>
      <c r="O52" s="442"/>
      <c r="P52" s="442"/>
      <c r="Q52" s="442"/>
      <c r="R52" s="442"/>
      <c r="S52" s="442"/>
      <c r="T52" s="442"/>
      <c r="U52" s="442"/>
      <c r="V52" s="442"/>
      <c r="W52" s="442"/>
      <c r="X52" s="442"/>
    </row>
    <row r="53" ht="19.5" customHeight="1">
      <c r="A53" s="442"/>
      <c r="B53" s="442"/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42"/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442"/>
    </row>
    <row r="54" ht="19.5" customHeight="1">
      <c r="A54" s="442"/>
      <c r="B54" s="442"/>
      <c r="C54" s="442"/>
      <c r="D54" s="442"/>
      <c r="E54" s="442"/>
      <c r="F54" s="442"/>
      <c r="G54" s="442"/>
      <c r="H54" s="442"/>
      <c r="I54" s="442"/>
      <c r="J54" s="442"/>
      <c r="K54" s="442"/>
      <c r="L54" s="442"/>
      <c r="M54" s="442"/>
      <c r="N54" s="442"/>
      <c r="O54" s="442"/>
      <c r="P54" s="442"/>
      <c r="Q54" s="442"/>
      <c r="R54" s="442"/>
      <c r="S54" s="442"/>
      <c r="T54" s="442"/>
      <c r="U54" s="442"/>
      <c r="V54" s="442"/>
      <c r="W54" s="442"/>
      <c r="X54" s="442"/>
    </row>
    <row r="55" ht="19.5" customHeight="1">
      <c r="A55" s="442"/>
      <c r="B55" s="442"/>
      <c r="C55" s="442"/>
      <c r="D55" s="442"/>
      <c r="E55" s="442"/>
      <c r="F55" s="442"/>
      <c r="G55" s="442"/>
      <c r="H55" s="442"/>
      <c r="I55" s="442"/>
      <c r="J55" s="442"/>
      <c r="K55" s="442"/>
      <c r="L55" s="442"/>
      <c r="M55" s="442"/>
      <c r="N55" s="442"/>
      <c r="O55" s="442"/>
      <c r="P55" s="442"/>
      <c r="Q55" s="442"/>
      <c r="R55" s="442"/>
      <c r="S55" s="442"/>
      <c r="T55" s="442"/>
      <c r="U55" s="442"/>
      <c r="V55" s="442"/>
      <c r="W55" s="442"/>
      <c r="X55" s="442"/>
    </row>
    <row r="56" ht="19.5" customHeight="1">
      <c r="A56" s="442"/>
      <c r="B56" s="442"/>
      <c r="C56" s="442"/>
      <c r="D56" s="442"/>
      <c r="E56" s="442"/>
      <c r="F56" s="442"/>
      <c r="G56" s="442"/>
      <c r="H56" s="442"/>
      <c r="I56" s="442"/>
      <c r="J56" s="442"/>
      <c r="K56" s="442"/>
      <c r="L56" s="442"/>
      <c r="M56" s="442"/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</row>
    <row r="57" ht="19.5" customHeight="1">
      <c r="A57" s="442"/>
      <c r="B57" s="442"/>
      <c r="C57" s="442"/>
      <c r="D57" s="442"/>
      <c r="E57" s="442"/>
      <c r="F57" s="442"/>
      <c r="G57" s="442"/>
      <c r="H57" s="442"/>
      <c r="I57" s="442"/>
      <c r="J57" s="442"/>
      <c r="K57" s="442"/>
      <c r="L57" s="442"/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</row>
    <row r="58" ht="19.5" customHeight="1">
      <c r="A58" s="442"/>
      <c r="B58" s="442"/>
      <c r="C58" s="442"/>
      <c r="D58" s="442"/>
      <c r="E58" s="442"/>
      <c r="F58" s="442"/>
      <c r="G58" s="442"/>
      <c r="H58" s="442"/>
      <c r="I58" s="442"/>
      <c r="J58" s="442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</row>
    <row r="59" ht="19.5" customHeight="1">
      <c r="A59" s="442"/>
      <c r="B59" s="442"/>
      <c r="C59" s="442"/>
      <c r="D59" s="442"/>
      <c r="E59" s="442"/>
      <c r="F59" s="442"/>
      <c r="G59" s="442"/>
      <c r="H59" s="442"/>
      <c r="I59" s="442"/>
      <c r="J59" s="442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</row>
    <row r="60" ht="19.5" customHeight="1">
      <c r="A60" s="442"/>
      <c r="B60" s="442"/>
      <c r="C60" s="442"/>
      <c r="D60" s="442"/>
      <c r="E60" s="442"/>
      <c r="F60" s="442"/>
      <c r="G60" s="442"/>
      <c r="H60" s="442"/>
      <c r="I60" s="442"/>
      <c r="J60" s="442"/>
      <c r="K60" s="442"/>
      <c r="L60" s="442"/>
      <c r="M60" s="442"/>
      <c r="N60" s="442"/>
      <c r="O60" s="442"/>
      <c r="P60" s="442"/>
      <c r="Q60" s="442"/>
      <c r="R60" s="442"/>
      <c r="S60" s="442"/>
      <c r="T60" s="442"/>
      <c r="U60" s="442"/>
      <c r="V60" s="442"/>
      <c r="W60" s="442"/>
      <c r="X60" s="442"/>
    </row>
    <row r="61" ht="19.5" customHeight="1">
      <c r="A61" s="442"/>
      <c r="B61" s="442"/>
      <c r="C61" s="442"/>
      <c r="D61" s="442"/>
      <c r="E61" s="442"/>
      <c r="F61" s="442"/>
      <c r="G61" s="442"/>
      <c r="H61" s="442"/>
      <c r="I61" s="442"/>
      <c r="J61" s="442"/>
      <c r="K61" s="442"/>
      <c r="L61" s="442"/>
      <c r="M61" s="442"/>
      <c r="N61" s="442"/>
      <c r="O61" s="442"/>
      <c r="P61" s="442"/>
      <c r="Q61" s="442"/>
      <c r="R61" s="442"/>
      <c r="S61" s="442"/>
      <c r="T61" s="442"/>
      <c r="U61" s="442"/>
      <c r="V61" s="442"/>
      <c r="W61" s="442"/>
      <c r="X61" s="442"/>
    </row>
    <row r="62" ht="19.5" customHeight="1">
      <c r="A62" s="442"/>
      <c r="B62" s="442"/>
      <c r="C62" s="442"/>
      <c r="D62" s="442"/>
      <c r="E62" s="442"/>
      <c r="F62" s="442"/>
      <c r="G62" s="442"/>
      <c r="H62" s="442"/>
      <c r="I62" s="442"/>
      <c r="J62" s="442"/>
      <c r="K62" s="442"/>
      <c r="L62" s="442"/>
      <c r="M62" s="442"/>
      <c r="N62" s="442"/>
      <c r="O62" s="442"/>
      <c r="P62" s="442"/>
      <c r="Q62" s="442"/>
      <c r="R62" s="442"/>
      <c r="S62" s="442"/>
      <c r="T62" s="442"/>
      <c r="U62" s="442"/>
      <c r="V62" s="442"/>
      <c r="W62" s="442"/>
      <c r="X62" s="442"/>
    </row>
    <row r="63" ht="19.5" customHeight="1">
      <c r="A63" s="442"/>
      <c r="B63" s="442"/>
      <c r="C63" s="442"/>
      <c r="D63" s="442"/>
      <c r="E63" s="442"/>
      <c r="F63" s="442"/>
      <c r="G63" s="442"/>
      <c r="H63" s="442"/>
      <c r="I63" s="442"/>
      <c r="J63" s="442"/>
      <c r="K63" s="442"/>
      <c r="L63" s="442"/>
      <c r="M63" s="442"/>
      <c r="N63" s="442"/>
      <c r="O63" s="442"/>
      <c r="P63" s="442"/>
      <c r="Q63" s="442"/>
      <c r="R63" s="442"/>
      <c r="S63" s="442"/>
      <c r="T63" s="442"/>
      <c r="U63" s="442"/>
      <c r="V63" s="442"/>
      <c r="W63" s="442"/>
      <c r="X63" s="442"/>
    </row>
    <row r="64" ht="19.5" customHeight="1">
      <c r="A64" s="442"/>
      <c r="B64" s="442"/>
      <c r="C64" s="442"/>
      <c r="D64" s="442"/>
      <c r="E64" s="442"/>
      <c r="F64" s="442"/>
      <c r="G64" s="442"/>
      <c r="H64" s="442"/>
      <c r="I64" s="442"/>
      <c r="J64" s="442"/>
      <c r="K64" s="442"/>
      <c r="L64" s="442"/>
      <c r="M64" s="442"/>
      <c r="N64" s="442"/>
      <c r="O64" s="442"/>
      <c r="P64" s="442"/>
      <c r="Q64" s="442"/>
      <c r="R64" s="442"/>
      <c r="S64" s="442"/>
      <c r="T64" s="442"/>
      <c r="U64" s="442"/>
      <c r="V64" s="442"/>
      <c r="W64" s="442"/>
      <c r="X64" s="442"/>
    </row>
    <row r="65" ht="19.5" customHeight="1">
      <c r="A65" s="442"/>
      <c r="B65" s="442"/>
      <c r="C65" s="442"/>
      <c r="D65" s="442"/>
      <c r="E65" s="442"/>
      <c r="F65" s="442"/>
      <c r="G65" s="442"/>
      <c r="H65" s="442"/>
      <c r="I65" s="442"/>
      <c r="J65" s="442"/>
      <c r="K65" s="442"/>
      <c r="L65" s="442"/>
      <c r="M65" s="442"/>
      <c r="N65" s="442"/>
      <c r="O65" s="442"/>
      <c r="P65" s="442"/>
      <c r="Q65" s="442"/>
      <c r="R65" s="442"/>
      <c r="S65" s="442"/>
      <c r="T65" s="442"/>
      <c r="U65" s="442"/>
      <c r="V65" s="442"/>
      <c r="W65" s="442"/>
      <c r="X65" s="442"/>
    </row>
    <row r="66" ht="19.5" customHeight="1">
      <c r="A66" s="442"/>
      <c r="B66" s="442"/>
      <c r="C66" s="442"/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</row>
    <row r="67" ht="19.5" customHeight="1">
      <c r="A67" s="442"/>
      <c r="B67" s="442"/>
      <c r="C67" s="442"/>
      <c r="D67" s="442"/>
      <c r="E67" s="442"/>
      <c r="F67" s="442"/>
      <c r="G67" s="442"/>
      <c r="H67" s="442"/>
      <c r="I67" s="442"/>
      <c r="J67" s="442"/>
      <c r="K67" s="442"/>
      <c r="L67" s="442"/>
      <c r="M67" s="442"/>
      <c r="N67" s="442"/>
      <c r="O67" s="442"/>
      <c r="P67" s="442"/>
      <c r="Q67" s="442"/>
      <c r="R67" s="442"/>
      <c r="S67" s="442"/>
      <c r="T67" s="442"/>
      <c r="U67" s="442"/>
      <c r="V67" s="442"/>
      <c r="W67" s="442"/>
      <c r="X67" s="442"/>
    </row>
    <row r="68" ht="19.5" customHeight="1">
      <c r="A68" s="442"/>
      <c r="B68" s="442"/>
      <c r="C68" s="442"/>
      <c r="D68" s="442"/>
      <c r="E68" s="442"/>
      <c r="F68" s="442"/>
      <c r="G68" s="442"/>
      <c r="H68" s="442"/>
      <c r="I68" s="442"/>
      <c r="J68" s="442"/>
      <c r="K68" s="442"/>
      <c r="L68" s="442"/>
      <c r="M68" s="442"/>
      <c r="N68" s="442"/>
      <c r="O68" s="442"/>
      <c r="P68" s="442"/>
      <c r="Q68" s="442"/>
      <c r="R68" s="442"/>
      <c r="S68" s="442"/>
      <c r="T68" s="442"/>
      <c r="U68" s="442"/>
      <c r="V68" s="442"/>
      <c r="W68" s="442"/>
      <c r="X68" s="442"/>
    </row>
    <row r="69" ht="19.5" customHeight="1">
      <c r="A69" s="442"/>
      <c r="B69" s="442"/>
      <c r="C69" s="442"/>
      <c r="D69" s="442"/>
      <c r="E69" s="442"/>
      <c r="F69" s="442"/>
      <c r="G69" s="442"/>
      <c r="H69" s="442"/>
      <c r="I69" s="442"/>
      <c r="J69" s="442"/>
      <c r="K69" s="442"/>
      <c r="L69" s="442"/>
      <c r="M69" s="442"/>
      <c r="N69" s="442"/>
      <c r="O69" s="442"/>
      <c r="P69" s="442"/>
      <c r="Q69" s="442"/>
      <c r="R69" s="442"/>
      <c r="S69" s="442"/>
      <c r="T69" s="442"/>
      <c r="U69" s="442"/>
      <c r="V69" s="442"/>
      <c r="W69" s="442"/>
      <c r="X69" s="442"/>
    </row>
    <row r="70" ht="19.5" customHeight="1">
      <c r="A70" s="442"/>
      <c r="B70" s="442"/>
      <c r="C70" s="442"/>
      <c r="D70" s="442"/>
      <c r="E70" s="442"/>
      <c r="F70" s="442"/>
      <c r="G70" s="442"/>
      <c r="H70" s="442"/>
      <c r="I70" s="442"/>
      <c r="J70" s="442"/>
      <c r="K70" s="442"/>
      <c r="L70" s="442"/>
      <c r="M70" s="442"/>
      <c r="N70" s="442"/>
      <c r="O70" s="442"/>
      <c r="P70" s="442"/>
      <c r="Q70" s="442"/>
      <c r="R70" s="442"/>
      <c r="S70" s="442"/>
      <c r="T70" s="442"/>
      <c r="U70" s="442"/>
      <c r="V70" s="442"/>
      <c r="W70" s="442"/>
      <c r="X70" s="442"/>
    </row>
    <row r="71" ht="19.5" customHeight="1">
      <c r="A71" s="442"/>
      <c r="B71" s="442"/>
      <c r="C71" s="442"/>
      <c r="D71" s="442"/>
      <c r="E71" s="442"/>
      <c r="F71" s="442"/>
      <c r="G71" s="442"/>
      <c r="H71" s="442"/>
      <c r="I71" s="442"/>
      <c r="J71" s="442"/>
      <c r="K71" s="442"/>
      <c r="L71" s="442"/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  <c r="X71" s="442"/>
    </row>
    <row r="72" ht="19.5" customHeight="1">
      <c r="A72" s="442"/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</row>
    <row r="73" ht="19.5" customHeight="1">
      <c r="A73" s="442"/>
      <c r="B73" s="442"/>
      <c r="C73" s="442"/>
      <c r="D73" s="442"/>
      <c r="E73" s="442"/>
      <c r="F73" s="442"/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</row>
    <row r="74" ht="19.5" customHeight="1">
      <c r="A74" s="442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</row>
    <row r="75" ht="19.5" customHeight="1">
      <c r="A75" s="442"/>
      <c r="B75" s="442"/>
      <c r="C75" s="442"/>
      <c r="D75" s="442"/>
      <c r="E75" s="442"/>
      <c r="F75" s="442"/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</row>
    <row r="76" ht="19.5" customHeight="1">
      <c r="A76" s="442"/>
      <c r="B76" s="442"/>
      <c r="C76" s="442"/>
      <c r="D76" s="442"/>
      <c r="E76" s="442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</row>
    <row r="77" ht="19.5" customHeight="1">
      <c r="A77" s="442"/>
      <c r="B77" s="442"/>
      <c r="C77" s="442"/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</row>
    <row r="78" ht="19.5" customHeight="1">
      <c r="A78" s="442"/>
      <c r="B78" s="442"/>
      <c r="C78" s="442"/>
      <c r="D78" s="442"/>
      <c r="E78" s="442"/>
      <c r="F78" s="442"/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</row>
    <row r="79" ht="19.5" customHeight="1">
      <c r="A79" s="442"/>
      <c r="B79" s="442"/>
      <c r="C79" s="442"/>
      <c r="D79" s="442"/>
      <c r="E79" s="442"/>
      <c r="F79" s="442"/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</row>
    <row r="80" ht="19.5" customHeight="1">
      <c r="A80" s="442"/>
      <c r="B80" s="442"/>
      <c r="C80" s="442"/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</row>
    <row r="81" ht="19.5" customHeight="1">
      <c r="A81" s="442"/>
      <c r="B81" s="442"/>
      <c r="C81" s="442"/>
      <c r="D81" s="442"/>
      <c r="E81" s="442"/>
      <c r="F81" s="442"/>
      <c r="G81" s="442"/>
      <c r="H81" s="442"/>
      <c r="I81" s="442"/>
      <c r="J81" s="442"/>
      <c r="K81" s="442"/>
      <c r="L81" s="442"/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  <c r="X81" s="442"/>
    </row>
    <row r="82" ht="19.5" customHeight="1">
      <c r="A82" s="442"/>
      <c r="B82" s="442"/>
      <c r="C82" s="442"/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</row>
    <row r="83" ht="19.5" customHeight="1">
      <c r="A83" s="442"/>
      <c r="B83" s="442"/>
      <c r="C83" s="442"/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</row>
    <row r="84" ht="19.5" customHeight="1">
      <c r="A84" s="442"/>
      <c r="B84" s="442"/>
      <c r="C84" s="442"/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</row>
    <row r="85" ht="19.5" customHeight="1">
      <c r="A85" s="442"/>
      <c r="B85" s="442"/>
      <c r="C85" s="442"/>
      <c r="D85" s="442"/>
      <c r="E85" s="442"/>
      <c r="F85" s="442"/>
      <c r="G85" s="442"/>
      <c r="H85" s="442"/>
      <c r="I85" s="442"/>
      <c r="J85" s="442"/>
      <c r="K85" s="442"/>
      <c r="L85" s="442"/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  <c r="X85" s="442"/>
    </row>
    <row r="86" ht="19.5" customHeight="1">
      <c r="A86" s="442"/>
      <c r="B86" s="442"/>
      <c r="C86" s="442"/>
      <c r="D86" s="442"/>
      <c r="E86" s="442"/>
      <c r="F86" s="442"/>
      <c r="G86" s="442"/>
      <c r="H86" s="442"/>
      <c r="I86" s="442"/>
      <c r="J86" s="442"/>
      <c r="K86" s="442"/>
      <c r="L86" s="442"/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  <c r="X86" s="442"/>
    </row>
    <row r="87" ht="19.5" customHeight="1">
      <c r="A87" s="442"/>
      <c r="B87" s="442"/>
      <c r="C87" s="442"/>
      <c r="D87" s="442"/>
      <c r="E87" s="442"/>
      <c r="F87" s="442"/>
      <c r="G87" s="442"/>
      <c r="H87" s="442"/>
      <c r="I87" s="442"/>
      <c r="J87" s="442"/>
      <c r="K87" s="442"/>
      <c r="L87" s="442"/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  <c r="X87" s="442"/>
    </row>
    <row r="88" ht="19.5" customHeight="1">
      <c r="A88" s="442"/>
      <c r="B88" s="442"/>
      <c r="C88" s="442"/>
      <c r="D88" s="442"/>
      <c r="E88" s="442"/>
      <c r="F88" s="442"/>
      <c r="G88" s="442"/>
      <c r="H88" s="442"/>
      <c r="I88" s="442"/>
      <c r="J88" s="442"/>
      <c r="K88" s="442"/>
      <c r="L88" s="442"/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  <c r="X88" s="442"/>
    </row>
    <row r="89" ht="19.5" customHeight="1">
      <c r="A89" s="442"/>
      <c r="B89" s="442"/>
      <c r="C89" s="442"/>
      <c r="D89" s="442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</row>
    <row r="90" ht="19.5" customHeight="1">
      <c r="A90" s="442"/>
      <c r="B90" s="442"/>
      <c r="C90" s="442"/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</row>
    <row r="91" ht="19.5" customHeight="1">
      <c r="A91" s="442"/>
      <c r="B91" s="442"/>
      <c r="C91" s="442"/>
      <c r="D91" s="442"/>
      <c r="E91" s="442"/>
      <c r="F91" s="442"/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</row>
    <row r="92" ht="19.5" customHeight="1">
      <c r="A92" s="442"/>
      <c r="B92" s="442"/>
      <c r="C92" s="442"/>
      <c r="D92" s="442"/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</row>
    <row r="93" ht="19.5" customHeight="1">
      <c r="A93" s="442"/>
      <c r="B93" s="442"/>
      <c r="C93" s="442"/>
      <c r="D93" s="442"/>
      <c r="E93" s="442"/>
      <c r="F93" s="442"/>
      <c r="G93" s="442"/>
      <c r="H93" s="442"/>
      <c r="I93" s="442"/>
      <c r="J93" s="442"/>
      <c r="K93" s="442"/>
      <c r="L93" s="442"/>
      <c r="M93" s="442"/>
      <c r="N93" s="442"/>
      <c r="O93" s="442"/>
      <c r="P93" s="442"/>
      <c r="Q93" s="442"/>
      <c r="R93" s="442"/>
      <c r="S93" s="442"/>
      <c r="T93" s="442"/>
      <c r="U93" s="442"/>
      <c r="V93" s="442"/>
      <c r="W93" s="442"/>
      <c r="X93" s="442"/>
    </row>
    <row r="94" ht="19.5" customHeight="1">
      <c r="A94" s="442"/>
      <c r="B94" s="442"/>
      <c r="C94" s="442"/>
      <c r="D94" s="442"/>
      <c r="E94" s="442"/>
      <c r="F94" s="442"/>
      <c r="G94" s="442"/>
      <c r="H94" s="442"/>
      <c r="I94" s="442"/>
      <c r="J94" s="442"/>
      <c r="K94" s="442"/>
      <c r="L94" s="442"/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  <c r="X94" s="442"/>
    </row>
    <row r="95" ht="19.5" customHeight="1">
      <c r="A95" s="442"/>
      <c r="B95" s="442"/>
      <c r="C95" s="442"/>
      <c r="D95" s="442"/>
      <c r="E95" s="442"/>
      <c r="F95" s="442"/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</row>
    <row r="96" ht="19.5" customHeight="1">
      <c r="A96" s="442"/>
      <c r="B96" s="442"/>
      <c r="C96" s="442"/>
      <c r="D96" s="442"/>
      <c r="E96" s="442"/>
      <c r="F96" s="442"/>
      <c r="G96" s="442"/>
      <c r="H96" s="442"/>
      <c r="I96" s="442"/>
      <c r="J96" s="442"/>
      <c r="K96" s="442"/>
      <c r="L96" s="442"/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  <c r="X96" s="442"/>
    </row>
    <row r="97" ht="19.5" customHeight="1">
      <c r="A97" s="442"/>
      <c r="B97" s="442"/>
      <c r="C97" s="442"/>
      <c r="D97" s="442"/>
      <c r="E97" s="442"/>
      <c r="F97" s="442"/>
      <c r="G97" s="442"/>
      <c r="H97" s="442"/>
      <c r="I97" s="442"/>
      <c r="J97" s="442"/>
      <c r="K97" s="442"/>
      <c r="L97" s="442"/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  <c r="X97" s="442"/>
    </row>
    <row r="98" ht="19.5" customHeight="1">
      <c r="A98" s="442"/>
      <c r="B98" s="442"/>
      <c r="C98" s="442"/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</row>
    <row r="99" ht="19.5" customHeight="1">
      <c r="A99" s="442"/>
      <c r="B99" s="442"/>
      <c r="C99" s="442"/>
      <c r="D99" s="442"/>
      <c r="E99" s="442"/>
      <c r="F99" s="442"/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</row>
    <row r="100" ht="19.5" customHeight="1">
      <c r="A100" s="442"/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</row>
    <row r="101" ht="19.5" customHeight="1">
      <c r="A101" s="442"/>
      <c r="B101" s="442"/>
      <c r="C101" s="442"/>
      <c r="D101" s="442"/>
      <c r="E101" s="442"/>
      <c r="F101" s="442"/>
      <c r="G101" s="442"/>
      <c r="H101" s="442"/>
      <c r="I101" s="442"/>
      <c r="J101" s="442"/>
      <c r="K101" s="442"/>
      <c r="L101" s="442"/>
      <c r="M101" s="442"/>
      <c r="N101" s="442"/>
      <c r="O101" s="442"/>
      <c r="P101" s="442"/>
      <c r="Q101" s="442"/>
      <c r="R101" s="442"/>
      <c r="S101" s="442"/>
      <c r="T101" s="442"/>
      <c r="U101" s="442"/>
      <c r="V101" s="442"/>
      <c r="W101" s="442"/>
      <c r="X101" s="442"/>
    </row>
    <row r="102" ht="19.5" customHeight="1">
      <c r="A102" s="442"/>
      <c r="B102" s="442"/>
      <c r="C102" s="442"/>
      <c r="D102" s="442"/>
      <c r="E102" s="442"/>
      <c r="F102" s="442"/>
      <c r="G102" s="442"/>
      <c r="H102" s="442"/>
      <c r="I102" s="442"/>
      <c r="J102" s="442"/>
      <c r="K102" s="442"/>
      <c r="L102" s="442"/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  <c r="X102" s="442"/>
    </row>
    <row r="103" ht="19.5" customHeight="1">
      <c r="A103" s="442"/>
      <c r="B103" s="442"/>
      <c r="C103" s="442"/>
      <c r="D103" s="442"/>
      <c r="E103" s="442"/>
      <c r="F103" s="442"/>
      <c r="G103" s="442"/>
      <c r="H103" s="442"/>
      <c r="I103" s="442"/>
      <c r="J103" s="442"/>
      <c r="K103" s="442"/>
      <c r="L103" s="442"/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  <c r="X103" s="442"/>
    </row>
    <row r="104" ht="19.5" customHeight="1">
      <c r="A104" s="442"/>
      <c r="B104" s="442"/>
      <c r="C104" s="442"/>
      <c r="D104" s="442"/>
      <c r="E104" s="442"/>
      <c r="F104" s="442"/>
      <c r="G104" s="442"/>
      <c r="H104" s="442"/>
      <c r="I104" s="442"/>
      <c r="J104" s="442"/>
      <c r="K104" s="442"/>
      <c r="L104" s="442"/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  <c r="X104" s="442"/>
    </row>
    <row r="105" ht="19.5" customHeight="1">
      <c r="A105" s="442"/>
      <c r="B105" s="442"/>
      <c r="C105" s="442"/>
      <c r="D105" s="442"/>
      <c r="E105" s="442"/>
      <c r="F105" s="442"/>
      <c r="G105" s="442"/>
      <c r="H105" s="442"/>
      <c r="I105" s="442"/>
      <c r="J105" s="442"/>
      <c r="K105" s="442"/>
      <c r="L105" s="442"/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  <c r="X105" s="442"/>
    </row>
    <row r="106" ht="19.5" customHeight="1">
      <c r="A106" s="442"/>
      <c r="B106" s="442"/>
      <c r="C106" s="442"/>
      <c r="D106" s="442"/>
      <c r="E106" s="442"/>
      <c r="F106" s="442"/>
      <c r="G106" s="442"/>
      <c r="H106" s="442"/>
      <c r="I106" s="442"/>
      <c r="J106" s="442"/>
      <c r="K106" s="442"/>
      <c r="L106" s="442"/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  <c r="X106" s="442"/>
    </row>
    <row r="107" ht="19.5" customHeight="1">
      <c r="A107" s="442"/>
      <c r="B107" s="442"/>
      <c r="C107" s="442"/>
      <c r="D107" s="442"/>
      <c r="E107" s="442"/>
      <c r="F107" s="442"/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</row>
    <row r="108" ht="19.5" customHeight="1">
      <c r="A108" s="442"/>
      <c r="B108" s="442"/>
      <c r="C108" s="442"/>
      <c r="D108" s="442"/>
      <c r="E108" s="442"/>
      <c r="F108" s="442"/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</row>
    <row r="109" ht="19.5" customHeight="1">
      <c r="A109" s="442"/>
      <c r="B109" s="442"/>
      <c r="C109" s="442"/>
      <c r="D109" s="442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</row>
    <row r="110" ht="19.5" customHeight="1">
      <c r="A110" s="442"/>
      <c r="B110" s="442"/>
      <c r="C110" s="442"/>
      <c r="D110" s="442"/>
      <c r="E110" s="442"/>
      <c r="F110" s="442"/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  <c r="X110" s="442"/>
    </row>
    <row r="111" ht="19.5" customHeight="1">
      <c r="A111" s="442"/>
      <c r="B111" s="442"/>
      <c r="C111" s="442"/>
      <c r="D111" s="442"/>
      <c r="E111" s="442"/>
      <c r="F111" s="442"/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  <c r="X111" s="442"/>
    </row>
    <row r="112" ht="19.5" customHeight="1">
      <c r="A112" s="442"/>
      <c r="B112" s="442"/>
      <c r="C112" s="442"/>
      <c r="D112" s="442"/>
      <c r="E112" s="442"/>
      <c r="F112" s="442"/>
      <c r="G112" s="442"/>
      <c r="H112" s="442"/>
      <c r="I112" s="442"/>
      <c r="J112" s="442"/>
      <c r="K112" s="442"/>
      <c r="L112" s="442"/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  <c r="X112" s="442"/>
    </row>
    <row r="113" ht="19.5" customHeight="1">
      <c r="A113" s="442"/>
      <c r="B113" s="442"/>
      <c r="C113" s="442"/>
      <c r="D113" s="442"/>
      <c r="E113" s="442"/>
      <c r="F113" s="442"/>
      <c r="G113" s="442"/>
      <c r="H113" s="442"/>
      <c r="I113" s="442"/>
      <c r="J113" s="442"/>
      <c r="K113" s="442"/>
      <c r="L113" s="442"/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  <c r="X113" s="442"/>
    </row>
    <row r="114" ht="19.5" customHeight="1">
      <c r="A114" s="442"/>
      <c r="B114" s="442"/>
      <c r="C114" s="442"/>
      <c r="D114" s="442"/>
      <c r="E114" s="442"/>
      <c r="F114" s="442"/>
      <c r="G114" s="442"/>
      <c r="H114" s="442"/>
      <c r="I114" s="442"/>
      <c r="J114" s="442"/>
      <c r="K114" s="442"/>
      <c r="L114" s="442"/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  <c r="X114" s="442"/>
    </row>
    <row r="115" ht="19.5" customHeight="1">
      <c r="A115" s="442"/>
      <c r="B115" s="442"/>
      <c r="C115" s="442"/>
      <c r="D115" s="442"/>
      <c r="E115" s="442"/>
      <c r="F115" s="442"/>
      <c r="G115" s="442"/>
      <c r="H115" s="442"/>
      <c r="I115" s="442"/>
      <c r="J115" s="442"/>
      <c r="K115" s="442"/>
      <c r="L115" s="442"/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  <c r="X115" s="442"/>
    </row>
    <row r="116" ht="19.5" customHeight="1">
      <c r="A116" s="442"/>
      <c r="B116" s="442"/>
      <c r="C116" s="442"/>
      <c r="D116" s="442"/>
      <c r="E116" s="442"/>
      <c r="F116" s="442"/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</row>
    <row r="117" ht="19.5" customHeight="1">
      <c r="A117" s="442"/>
      <c r="B117" s="442"/>
      <c r="C117" s="442"/>
      <c r="D117" s="442"/>
      <c r="E117" s="442"/>
      <c r="F117" s="442"/>
      <c r="G117" s="442"/>
      <c r="H117" s="442"/>
      <c r="I117" s="442"/>
      <c r="J117" s="442"/>
      <c r="K117" s="442"/>
      <c r="L117" s="442"/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  <c r="X117" s="442"/>
    </row>
    <row r="118" ht="19.5" customHeight="1">
      <c r="A118" s="442"/>
      <c r="B118" s="442"/>
      <c r="C118" s="442"/>
      <c r="D118" s="442"/>
      <c r="E118" s="442"/>
      <c r="F118" s="442"/>
      <c r="G118" s="442"/>
      <c r="H118" s="442"/>
      <c r="I118" s="442"/>
      <c r="J118" s="442"/>
      <c r="K118" s="442"/>
      <c r="L118" s="442"/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  <c r="X118" s="442"/>
    </row>
    <row r="119" ht="19.5" customHeight="1">
      <c r="A119" s="442"/>
      <c r="B119" s="442"/>
      <c r="C119" s="442"/>
      <c r="D119" s="442"/>
      <c r="E119" s="442"/>
      <c r="F119" s="442"/>
      <c r="G119" s="442"/>
      <c r="H119" s="442"/>
      <c r="I119" s="442"/>
      <c r="J119" s="442"/>
      <c r="K119" s="442"/>
      <c r="L119" s="442"/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  <c r="X119" s="442"/>
    </row>
    <row r="120" ht="19.5" customHeight="1">
      <c r="A120" s="442"/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  <c r="X120" s="442"/>
    </row>
    <row r="121" ht="19.5" customHeight="1">
      <c r="A121" s="442"/>
      <c r="B121" s="442"/>
      <c r="C121" s="442"/>
      <c r="D121" s="442"/>
      <c r="E121" s="442"/>
      <c r="F121" s="442"/>
      <c r="G121" s="442"/>
      <c r="H121" s="442"/>
      <c r="I121" s="442"/>
      <c r="J121" s="442"/>
      <c r="K121" s="442"/>
      <c r="L121" s="442"/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  <c r="X121" s="442"/>
    </row>
    <row r="122" ht="19.5" customHeight="1">
      <c r="A122" s="442"/>
      <c r="B122" s="442"/>
      <c r="C122" s="442"/>
      <c r="D122" s="442"/>
      <c r="E122" s="442"/>
      <c r="F122" s="442"/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</row>
    <row r="123" ht="19.5" customHeight="1">
      <c r="A123" s="442"/>
      <c r="B123" s="442"/>
      <c r="C123" s="442"/>
      <c r="D123" s="442"/>
      <c r="E123" s="442"/>
      <c r="F123" s="442"/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</row>
    <row r="124" ht="19.5" customHeight="1">
      <c r="A124" s="442"/>
      <c r="B124" s="442"/>
      <c r="C124" s="442"/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</row>
    <row r="125" ht="19.5" customHeight="1">
      <c r="A125" s="442"/>
      <c r="B125" s="442"/>
      <c r="C125" s="442"/>
      <c r="D125" s="442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</row>
    <row r="126" ht="19.5" customHeight="1">
      <c r="A126" s="442"/>
      <c r="B126" s="442"/>
      <c r="C126" s="442"/>
      <c r="D126" s="442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</row>
    <row r="127" ht="19.5" customHeight="1">
      <c r="A127" s="442"/>
      <c r="B127" s="442"/>
      <c r="C127" s="442"/>
      <c r="D127" s="442"/>
      <c r="E127" s="442"/>
      <c r="F127" s="442"/>
      <c r="G127" s="442"/>
      <c r="H127" s="442"/>
      <c r="I127" s="442"/>
      <c r="J127" s="442"/>
      <c r="K127" s="442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  <c r="X127" s="442"/>
    </row>
    <row r="128" ht="19.5" customHeight="1">
      <c r="A128" s="442"/>
      <c r="B128" s="442"/>
      <c r="C128" s="442"/>
      <c r="D128" s="442"/>
      <c r="E128" s="442"/>
      <c r="F128" s="442"/>
      <c r="G128" s="442"/>
      <c r="H128" s="442"/>
      <c r="I128" s="442"/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  <c r="X128" s="442"/>
    </row>
    <row r="129" ht="19.5" customHeight="1">
      <c r="A129" s="442"/>
      <c r="B129" s="442"/>
      <c r="C129" s="442"/>
      <c r="D129" s="442"/>
      <c r="E129" s="442"/>
      <c r="F129" s="442"/>
      <c r="G129" s="442"/>
      <c r="H129" s="442"/>
      <c r="I129" s="442"/>
      <c r="J129" s="442"/>
      <c r="K129" s="442"/>
      <c r="L129" s="442"/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  <c r="X129" s="442"/>
    </row>
    <row r="130" ht="19.5" customHeight="1">
      <c r="A130" s="442"/>
      <c r="B130" s="442"/>
      <c r="C130" s="442"/>
      <c r="D130" s="442"/>
      <c r="E130" s="442"/>
      <c r="F130" s="442"/>
      <c r="G130" s="442"/>
      <c r="H130" s="442"/>
      <c r="I130" s="442"/>
      <c r="J130" s="442"/>
      <c r="K130" s="442"/>
      <c r="L130" s="442"/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  <c r="X130" s="442"/>
    </row>
    <row r="131" ht="19.5" customHeight="1">
      <c r="A131" s="442"/>
      <c r="B131" s="442"/>
      <c r="C131" s="442"/>
      <c r="D131" s="442"/>
      <c r="E131" s="442"/>
      <c r="F131" s="442"/>
      <c r="G131" s="442"/>
      <c r="H131" s="442"/>
      <c r="I131" s="442"/>
      <c r="J131" s="442"/>
      <c r="K131" s="442"/>
      <c r="L131" s="442"/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  <c r="X131" s="442"/>
    </row>
    <row r="132" ht="19.5" customHeight="1">
      <c r="A132" s="442"/>
      <c r="B132" s="442"/>
      <c r="C132" s="442"/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</row>
    <row r="133" ht="19.5" customHeight="1">
      <c r="A133" s="442"/>
      <c r="B133" s="442"/>
      <c r="C133" s="442"/>
      <c r="D133" s="442"/>
      <c r="E133" s="442"/>
      <c r="F133" s="442"/>
      <c r="G133" s="442"/>
      <c r="H133" s="442"/>
      <c r="I133" s="442"/>
      <c r="J133" s="442"/>
      <c r="K133" s="442"/>
      <c r="L133" s="442"/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  <c r="X133" s="442"/>
    </row>
    <row r="134" ht="19.5" customHeight="1">
      <c r="A134" s="442"/>
      <c r="B134" s="442"/>
      <c r="C134" s="442"/>
      <c r="D134" s="442"/>
      <c r="E134" s="442"/>
      <c r="F134" s="442"/>
      <c r="G134" s="442"/>
      <c r="H134" s="442"/>
      <c r="I134" s="442"/>
      <c r="J134" s="442"/>
      <c r="K134" s="442"/>
      <c r="L134" s="442"/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  <c r="X134" s="442"/>
    </row>
    <row r="135" ht="19.5" customHeight="1">
      <c r="A135" s="442"/>
      <c r="B135" s="442"/>
      <c r="C135" s="442"/>
      <c r="D135" s="442"/>
      <c r="E135" s="442"/>
      <c r="F135" s="442"/>
      <c r="G135" s="442"/>
      <c r="H135" s="442"/>
      <c r="I135" s="442"/>
      <c r="J135" s="442"/>
      <c r="K135" s="442"/>
      <c r="L135" s="442"/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  <c r="X135" s="442"/>
    </row>
    <row r="136" ht="19.5" customHeight="1">
      <c r="A136" s="442"/>
      <c r="B136" s="442"/>
      <c r="C136" s="442"/>
      <c r="D136" s="442"/>
      <c r="E136" s="442"/>
      <c r="F136" s="442"/>
      <c r="G136" s="442"/>
      <c r="H136" s="442"/>
      <c r="I136" s="442"/>
      <c r="J136" s="442"/>
      <c r="K136" s="442"/>
      <c r="L136" s="442"/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  <c r="X136" s="442"/>
    </row>
    <row r="137" ht="19.5" customHeight="1">
      <c r="A137" s="442"/>
      <c r="B137" s="442"/>
      <c r="C137" s="442"/>
      <c r="D137" s="442"/>
      <c r="E137" s="442"/>
      <c r="F137" s="442"/>
      <c r="G137" s="442"/>
      <c r="H137" s="442"/>
      <c r="I137" s="442"/>
      <c r="J137" s="442"/>
      <c r="K137" s="442"/>
      <c r="L137" s="442"/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  <c r="X137" s="442"/>
    </row>
    <row r="138" ht="19.5" customHeight="1">
      <c r="A138" s="442"/>
      <c r="B138" s="442"/>
      <c r="C138" s="442"/>
      <c r="D138" s="442"/>
      <c r="E138" s="442"/>
      <c r="F138" s="442"/>
      <c r="G138" s="442"/>
      <c r="H138" s="442"/>
      <c r="I138" s="442"/>
      <c r="J138" s="442"/>
      <c r="K138" s="442"/>
      <c r="L138" s="442"/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  <c r="X138" s="442"/>
    </row>
    <row r="139" ht="19.5" customHeight="1">
      <c r="A139" s="442"/>
      <c r="B139" s="442"/>
      <c r="C139" s="442"/>
      <c r="D139" s="442"/>
      <c r="E139" s="442"/>
      <c r="F139" s="442"/>
      <c r="G139" s="442"/>
      <c r="H139" s="442"/>
      <c r="I139" s="442"/>
      <c r="J139" s="442"/>
      <c r="K139" s="442"/>
      <c r="L139" s="442"/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  <c r="X139" s="442"/>
    </row>
    <row r="140" ht="19.5" customHeight="1">
      <c r="A140" s="442"/>
      <c r="B140" s="442"/>
      <c r="C140" s="442"/>
      <c r="D140" s="442"/>
      <c r="E140" s="442"/>
      <c r="F140" s="442"/>
      <c r="G140" s="442"/>
      <c r="H140" s="442"/>
      <c r="I140" s="442"/>
      <c r="J140" s="442"/>
      <c r="K140" s="442"/>
      <c r="L140" s="442"/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  <c r="X140" s="442"/>
    </row>
    <row r="141" ht="19.5" customHeight="1">
      <c r="A141" s="442"/>
      <c r="B141" s="442"/>
      <c r="C141" s="442"/>
      <c r="D141" s="442"/>
      <c r="E141" s="442"/>
      <c r="F141" s="442"/>
      <c r="G141" s="442"/>
      <c r="H141" s="442"/>
      <c r="I141" s="442"/>
      <c r="J141" s="442"/>
      <c r="K141" s="442"/>
      <c r="L141" s="442"/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  <c r="X141" s="442"/>
    </row>
    <row r="142" ht="19.5" customHeight="1">
      <c r="A142" s="442"/>
      <c r="B142" s="442"/>
      <c r="C142" s="442"/>
      <c r="D142" s="442"/>
      <c r="E142" s="442"/>
      <c r="F142" s="442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  <c r="X142" s="442"/>
    </row>
    <row r="143" ht="19.5" customHeight="1">
      <c r="A143" s="442"/>
      <c r="B143" s="442"/>
      <c r="C143" s="442"/>
      <c r="D143" s="442"/>
      <c r="E143" s="442"/>
      <c r="F143" s="442"/>
      <c r="G143" s="442"/>
      <c r="H143" s="442"/>
      <c r="I143" s="442"/>
      <c r="J143" s="442"/>
      <c r="K143" s="442"/>
      <c r="L143" s="442"/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  <c r="X143" s="442"/>
    </row>
    <row r="144" ht="19.5" customHeight="1">
      <c r="A144" s="442"/>
      <c r="B144" s="442"/>
      <c r="C144" s="442"/>
      <c r="D144" s="442"/>
      <c r="E144" s="442"/>
      <c r="F144" s="442"/>
      <c r="G144" s="442"/>
      <c r="H144" s="442"/>
      <c r="I144" s="442"/>
      <c r="J144" s="442"/>
      <c r="K144" s="442"/>
      <c r="L144" s="442"/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  <c r="X144" s="442"/>
    </row>
    <row r="145" ht="19.5" customHeight="1">
      <c r="A145" s="442"/>
      <c r="B145" s="442"/>
      <c r="C145" s="442"/>
      <c r="D145" s="442"/>
      <c r="E145" s="442"/>
      <c r="F145" s="442"/>
      <c r="G145" s="442"/>
      <c r="H145" s="442"/>
      <c r="I145" s="442"/>
      <c r="J145" s="442"/>
      <c r="K145" s="442"/>
      <c r="L145" s="442"/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  <c r="X145" s="442"/>
    </row>
    <row r="146" ht="19.5" customHeight="1">
      <c r="A146" s="442"/>
      <c r="B146" s="442"/>
      <c r="C146" s="442"/>
      <c r="D146" s="442"/>
      <c r="E146" s="442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  <c r="X146" s="442"/>
    </row>
    <row r="147" ht="19.5" customHeight="1">
      <c r="A147" s="442"/>
      <c r="B147" s="442"/>
      <c r="C147" s="442"/>
      <c r="D147" s="442"/>
      <c r="E147" s="442"/>
      <c r="F147" s="442"/>
      <c r="G147" s="442"/>
      <c r="H147" s="442"/>
      <c r="I147" s="442"/>
      <c r="J147" s="442"/>
      <c r="K147" s="442"/>
      <c r="L147" s="442"/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  <c r="X147" s="442"/>
    </row>
    <row r="148" ht="19.5" customHeight="1">
      <c r="A148" s="442"/>
      <c r="B148" s="442"/>
      <c r="C148" s="442"/>
      <c r="D148" s="442"/>
      <c r="E148" s="442"/>
      <c r="F148" s="442"/>
      <c r="G148" s="442"/>
      <c r="H148" s="442"/>
      <c r="I148" s="442"/>
      <c r="J148" s="442"/>
      <c r="K148" s="442"/>
      <c r="L148" s="442"/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  <c r="X148" s="442"/>
    </row>
    <row r="149" ht="19.5" customHeight="1">
      <c r="A149" s="442"/>
      <c r="B149" s="442"/>
      <c r="C149" s="442"/>
      <c r="D149" s="442"/>
      <c r="E149" s="442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</row>
    <row r="150" ht="19.5" customHeight="1">
      <c r="A150" s="442"/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  <c r="X150" s="442"/>
    </row>
    <row r="151" ht="19.5" customHeight="1">
      <c r="A151" s="442"/>
      <c r="B151" s="442"/>
      <c r="C151" s="442"/>
      <c r="D151" s="442"/>
      <c r="E151" s="442"/>
      <c r="F151" s="442"/>
      <c r="G151" s="442"/>
      <c r="H151" s="442"/>
      <c r="I151" s="442"/>
      <c r="J151" s="442"/>
      <c r="K151" s="442"/>
      <c r="L151" s="442"/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  <c r="X151" s="442"/>
    </row>
    <row r="152" ht="19.5" customHeight="1">
      <c r="A152" s="442"/>
      <c r="B152" s="442"/>
      <c r="C152" s="442"/>
      <c r="D152" s="442"/>
      <c r="E152" s="442"/>
      <c r="F152" s="442"/>
      <c r="G152" s="442"/>
      <c r="H152" s="442"/>
      <c r="I152" s="442"/>
      <c r="J152" s="442"/>
      <c r="K152" s="442"/>
      <c r="L152" s="442"/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  <c r="X152" s="442"/>
    </row>
    <row r="153" ht="19.5" customHeight="1">
      <c r="A153" s="442"/>
      <c r="B153" s="442"/>
      <c r="C153" s="442"/>
      <c r="D153" s="442"/>
      <c r="E153" s="442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</row>
    <row r="154" ht="19.5" customHeight="1">
      <c r="A154" s="442"/>
      <c r="B154" s="442"/>
      <c r="C154" s="442"/>
      <c r="D154" s="442"/>
      <c r="E154" s="442"/>
      <c r="F154" s="442"/>
      <c r="G154" s="442"/>
      <c r="H154" s="442"/>
      <c r="I154" s="442"/>
      <c r="J154" s="442"/>
      <c r="K154" s="442"/>
      <c r="L154" s="442"/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</row>
    <row r="155" ht="19.5" customHeight="1">
      <c r="A155" s="442"/>
      <c r="B155" s="442"/>
      <c r="C155" s="442"/>
      <c r="D155" s="442"/>
      <c r="E155" s="442"/>
      <c r="F155" s="442"/>
      <c r="G155" s="442"/>
      <c r="H155" s="442"/>
      <c r="I155" s="442"/>
      <c r="J155" s="442"/>
      <c r="K155" s="442"/>
      <c r="L155" s="442"/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</row>
    <row r="156" ht="19.5" customHeight="1">
      <c r="A156" s="442"/>
      <c r="B156" s="442"/>
      <c r="C156" s="442"/>
      <c r="D156" s="442"/>
      <c r="E156" s="442"/>
      <c r="F156" s="442"/>
      <c r="G156" s="442"/>
      <c r="H156" s="442"/>
      <c r="I156" s="442"/>
      <c r="J156" s="442"/>
      <c r="K156" s="442"/>
      <c r="L156" s="442"/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</row>
    <row r="157" ht="19.5" customHeight="1">
      <c r="A157" s="442"/>
      <c r="B157" s="442"/>
      <c r="C157" s="442"/>
      <c r="D157" s="442"/>
      <c r="E157" s="442"/>
      <c r="F157" s="442"/>
      <c r="G157" s="442"/>
      <c r="H157" s="442"/>
      <c r="I157" s="442"/>
      <c r="J157" s="442"/>
      <c r="K157" s="442"/>
      <c r="L157" s="442"/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  <c r="X157" s="442"/>
    </row>
    <row r="158" ht="19.5" customHeight="1">
      <c r="A158" s="442"/>
      <c r="B158" s="442"/>
      <c r="C158" s="442"/>
      <c r="D158" s="442"/>
      <c r="E158" s="442"/>
      <c r="F158" s="442"/>
      <c r="G158" s="442"/>
      <c r="H158" s="442"/>
      <c r="I158" s="442"/>
      <c r="J158" s="442"/>
      <c r="K158" s="442"/>
      <c r="L158" s="442"/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  <c r="X158" s="442"/>
    </row>
    <row r="159" ht="19.5" customHeight="1">
      <c r="A159" s="442"/>
      <c r="B159" s="442"/>
      <c r="C159" s="442"/>
      <c r="D159" s="442"/>
      <c r="E159" s="442"/>
      <c r="F159" s="442"/>
      <c r="G159" s="442"/>
      <c r="H159" s="442"/>
      <c r="I159" s="442"/>
      <c r="J159" s="442"/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</row>
    <row r="160" ht="19.5" customHeight="1">
      <c r="A160" s="442"/>
      <c r="B160" s="442"/>
      <c r="C160" s="442"/>
      <c r="D160" s="442"/>
      <c r="E160" s="442"/>
      <c r="F160" s="442"/>
      <c r="G160" s="442"/>
      <c r="H160" s="442"/>
      <c r="I160" s="442"/>
      <c r="J160" s="442"/>
      <c r="K160" s="442"/>
      <c r="L160" s="442"/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  <c r="X160" s="442"/>
    </row>
    <row r="161" ht="19.5" customHeight="1">
      <c r="A161" s="442"/>
      <c r="B161" s="442"/>
      <c r="C161" s="442"/>
      <c r="D161" s="442"/>
      <c r="E161" s="442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  <c r="X161" s="442"/>
    </row>
    <row r="162" ht="19.5" customHeight="1">
      <c r="A162" s="442"/>
      <c r="B162" s="442"/>
      <c r="C162" s="442"/>
      <c r="D162" s="442"/>
      <c r="E162" s="442"/>
      <c r="F162" s="442"/>
      <c r="G162" s="442"/>
      <c r="H162" s="442"/>
      <c r="I162" s="442"/>
      <c r="J162" s="442"/>
      <c r="K162" s="442"/>
      <c r="L162" s="442"/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  <c r="X162" s="442"/>
    </row>
    <row r="163" ht="19.5" customHeight="1">
      <c r="A163" s="442"/>
      <c r="B163" s="442"/>
      <c r="C163" s="442"/>
      <c r="D163" s="442"/>
      <c r="E163" s="442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  <c r="X163" s="442"/>
    </row>
    <row r="164" ht="19.5" customHeight="1">
      <c r="A164" s="442"/>
      <c r="B164" s="442"/>
      <c r="C164" s="442"/>
      <c r="D164" s="442"/>
      <c r="E164" s="442"/>
      <c r="F164" s="442"/>
      <c r="G164" s="442"/>
      <c r="H164" s="442"/>
      <c r="I164" s="442"/>
      <c r="J164" s="442"/>
      <c r="K164" s="442"/>
      <c r="L164" s="442"/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  <c r="X164" s="442"/>
    </row>
    <row r="165" ht="19.5" customHeight="1">
      <c r="A165" s="442"/>
      <c r="B165" s="442"/>
      <c r="C165" s="442"/>
      <c r="D165" s="442"/>
      <c r="E165" s="442"/>
      <c r="F165" s="442"/>
      <c r="G165" s="442"/>
      <c r="H165" s="442"/>
      <c r="I165" s="442"/>
      <c r="J165" s="442"/>
      <c r="K165" s="442"/>
      <c r="L165" s="442"/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  <c r="X165" s="442"/>
    </row>
    <row r="166" ht="19.5" customHeight="1">
      <c r="A166" s="442"/>
      <c r="B166" s="442"/>
      <c r="C166" s="442"/>
      <c r="D166" s="442"/>
      <c r="E166" s="442"/>
      <c r="F166" s="442"/>
      <c r="G166" s="442"/>
      <c r="H166" s="442"/>
      <c r="I166" s="442"/>
      <c r="J166" s="442"/>
      <c r="K166" s="442"/>
      <c r="L166" s="442"/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  <c r="X166" s="442"/>
    </row>
    <row r="167" ht="19.5" customHeight="1">
      <c r="A167" s="442"/>
      <c r="B167" s="442"/>
      <c r="C167" s="442"/>
      <c r="D167" s="442"/>
      <c r="E167" s="442"/>
      <c r="F167" s="442"/>
      <c r="G167" s="442"/>
      <c r="H167" s="442"/>
      <c r="I167" s="442"/>
      <c r="J167" s="442"/>
      <c r="K167" s="442"/>
      <c r="L167" s="442"/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  <c r="X167" s="442"/>
    </row>
    <row r="168" ht="19.5" customHeight="1">
      <c r="A168" s="442"/>
      <c r="B168" s="442"/>
      <c r="C168" s="442"/>
      <c r="D168" s="442"/>
      <c r="E168" s="442"/>
      <c r="F168" s="442"/>
      <c r="G168" s="442"/>
      <c r="H168" s="442"/>
      <c r="I168" s="442"/>
      <c r="J168" s="442"/>
      <c r="K168" s="442"/>
      <c r="L168" s="442"/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  <c r="X168" s="442"/>
    </row>
    <row r="169" ht="19.5" customHeight="1">
      <c r="A169" s="442"/>
      <c r="B169" s="442"/>
      <c r="C169" s="442"/>
      <c r="D169" s="442"/>
      <c r="E169" s="442"/>
      <c r="F169" s="442"/>
      <c r="G169" s="442"/>
      <c r="H169" s="442"/>
      <c r="I169" s="442"/>
      <c r="J169" s="442"/>
      <c r="K169" s="442"/>
      <c r="L169" s="442"/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  <c r="X169" s="442"/>
    </row>
    <row r="170" ht="19.5" customHeight="1">
      <c r="A170" s="442"/>
      <c r="B170" s="442"/>
      <c r="C170" s="442"/>
      <c r="D170" s="442"/>
      <c r="E170" s="442"/>
      <c r="F170" s="442"/>
      <c r="G170" s="442"/>
      <c r="H170" s="442"/>
      <c r="I170" s="442"/>
      <c r="J170" s="442"/>
      <c r="K170" s="442"/>
      <c r="L170" s="442"/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  <c r="X170" s="442"/>
    </row>
    <row r="171" ht="19.5" customHeight="1">
      <c r="A171" s="442"/>
      <c r="B171" s="442"/>
      <c r="C171" s="442"/>
      <c r="D171" s="442"/>
      <c r="E171" s="442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  <c r="X171" s="442"/>
    </row>
    <row r="172" ht="19.5" customHeight="1">
      <c r="A172" s="442"/>
      <c r="B172" s="442"/>
      <c r="C172" s="442"/>
      <c r="D172" s="442"/>
      <c r="E172" s="442"/>
      <c r="F172" s="442"/>
      <c r="G172" s="442"/>
      <c r="H172" s="442"/>
      <c r="I172" s="442"/>
      <c r="J172" s="442"/>
      <c r="K172" s="442"/>
      <c r="L172" s="442"/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  <c r="X172" s="442"/>
    </row>
    <row r="173" ht="19.5" customHeight="1">
      <c r="A173" s="442"/>
      <c r="B173" s="442"/>
      <c r="C173" s="442"/>
      <c r="D173" s="442"/>
      <c r="E173" s="442"/>
      <c r="F173" s="442"/>
      <c r="G173" s="442"/>
      <c r="H173" s="442"/>
      <c r="I173" s="442"/>
      <c r="J173" s="442"/>
      <c r="K173" s="442"/>
      <c r="L173" s="442"/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  <c r="X173" s="442"/>
    </row>
    <row r="174" ht="19.5" customHeight="1">
      <c r="A174" s="442"/>
      <c r="B174" s="442"/>
      <c r="C174" s="442"/>
      <c r="D174" s="442"/>
      <c r="E174" s="442"/>
      <c r="F174" s="442"/>
      <c r="G174" s="442"/>
      <c r="H174" s="442"/>
      <c r="I174" s="442"/>
      <c r="J174" s="442"/>
      <c r="K174" s="442"/>
      <c r="L174" s="442"/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  <c r="X174" s="442"/>
    </row>
    <row r="175" ht="19.5" customHeight="1">
      <c r="A175" s="442"/>
      <c r="B175" s="442"/>
      <c r="C175" s="442"/>
      <c r="D175" s="442"/>
      <c r="E175" s="442"/>
      <c r="F175" s="442"/>
      <c r="G175" s="442"/>
      <c r="H175" s="442"/>
      <c r="I175" s="442"/>
      <c r="J175" s="442"/>
      <c r="K175" s="442"/>
      <c r="L175" s="442"/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  <c r="X175" s="442"/>
    </row>
    <row r="176" ht="19.5" customHeight="1">
      <c r="A176" s="442"/>
      <c r="B176" s="442"/>
      <c r="C176" s="442"/>
      <c r="D176" s="442"/>
      <c r="E176" s="442"/>
      <c r="F176" s="442"/>
      <c r="G176" s="442"/>
      <c r="H176" s="442"/>
      <c r="I176" s="442"/>
      <c r="J176" s="442"/>
      <c r="K176" s="442"/>
      <c r="L176" s="442"/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  <c r="X176" s="442"/>
    </row>
    <row r="177" ht="19.5" customHeight="1">
      <c r="A177" s="442"/>
      <c r="B177" s="442"/>
      <c r="C177" s="442"/>
      <c r="D177" s="442"/>
      <c r="E177" s="442"/>
      <c r="F177" s="442"/>
      <c r="G177" s="442"/>
      <c r="H177" s="442"/>
      <c r="I177" s="442"/>
      <c r="J177" s="442"/>
      <c r="K177" s="442"/>
      <c r="L177" s="442"/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  <c r="X177" s="442"/>
    </row>
    <row r="178" ht="19.5" customHeight="1">
      <c r="A178" s="442"/>
      <c r="B178" s="442"/>
      <c r="C178" s="442"/>
      <c r="D178" s="442"/>
      <c r="E178" s="442"/>
      <c r="F178" s="442"/>
      <c r="G178" s="442"/>
      <c r="H178" s="442"/>
      <c r="I178" s="442"/>
      <c r="J178" s="442"/>
      <c r="K178" s="442"/>
      <c r="L178" s="442"/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  <c r="X178" s="442"/>
    </row>
    <row r="179" ht="19.5" customHeight="1">
      <c r="A179" s="442"/>
      <c r="B179" s="442"/>
      <c r="C179" s="442"/>
      <c r="D179" s="442"/>
      <c r="E179" s="442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</row>
    <row r="180" ht="19.5" customHeight="1">
      <c r="A180" s="442"/>
      <c r="B180" s="442"/>
      <c r="C180" s="442"/>
      <c r="D180" s="442"/>
      <c r="E180" s="442"/>
      <c r="F180" s="442"/>
      <c r="G180" s="442"/>
      <c r="H180" s="442"/>
      <c r="I180" s="442"/>
      <c r="J180" s="442"/>
      <c r="K180" s="442"/>
      <c r="L180" s="442"/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  <c r="X180" s="442"/>
    </row>
    <row r="181" ht="19.5" customHeight="1">
      <c r="A181" s="442"/>
      <c r="B181" s="442"/>
      <c r="C181" s="442"/>
      <c r="D181" s="442"/>
      <c r="E181" s="442"/>
      <c r="F181" s="442"/>
      <c r="G181" s="442"/>
      <c r="H181" s="442"/>
      <c r="I181" s="442"/>
      <c r="J181" s="442"/>
      <c r="K181" s="442"/>
      <c r="L181" s="442"/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  <c r="X181" s="442"/>
    </row>
    <row r="182" ht="19.5" customHeight="1">
      <c r="A182" s="442"/>
      <c r="B182" s="442"/>
      <c r="C182" s="442"/>
      <c r="D182" s="442"/>
      <c r="E182" s="442"/>
      <c r="F182" s="442"/>
      <c r="G182" s="442"/>
      <c r="H182" s="442"/>
      <c r="I182" s="442"/>
      <c r="J182" s="442"/>
      <c r="K182" s="442"/>
      <c r="L182" s="442"/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  <c r="X182" s="442"/>
    </row>
    <row r="183" ht="19.5" customHeight="1">
      <c r="A183" s="442"/>
      <c r="B183" s="442"/>
      <c r="C183" s="442"/>
      <c r="D183" s="442"/>
      <c r="E183" s="442"/>
      <c r="F183" s="442"/>
      <c r="G183" s="442"/>
      <c r="H183" s="442"/>
      <c r="I183" s="442"/>
      <c r="J183" s="442"/>
      <c r="K183" s="442"/>
      <c r="L183" s="442"/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  <c r="X183" s="442"/>
    </row>
    <row r="184" ht="19.5" customHeight="1">
      <c r="A184" s="442"/>
      <c r="B184" s="442"/>
      <c r="C184" s="442"/>
      <c r="D184" s="442"/>
      <c r="E184" s="442"/>
      <c r="F184" s="442"/>
      <c r="G184" s="442"/>
      <c r="H184" s="442"/>
      <c r="I184" s="442"/>
      <c r="J184" s="442"/>
      <c r="K184" s="442"/>
      <c r="L184" s="442"/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  <c r="X184" s="442"/>
    </row>
    <row r="185" ht="19.5" customHeight="1">
      <c r="A185" s="442"/>
      <c r="B185" s="442"/>
      <c r="C185" s="442"/>
      <c r="D185" s="442"/>
      <c r="E185" s="442"/>
      <c r="F185" s="442"/>
      <c r="G185" s="442"/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  <c r="X185" s="442"/>
    </row>
    <row r="186" ht="19.5" customHeight="1">
      <c r="A186" s="442"/>
      <c r="B186" s="442"/>
      <c r="C186" s="442"/>
      <c r="D186" s="442"/>
      <c r="E186" s="442"/>
      <c r="F186" s="442"/>
      <c r="G186" s="442"/>
      <c r="H186" s="442"/>
      <c r="I186" s="442"/>
      <c r="J186" s="442"/>
      <c r="K186" s="442"/>
      <c r="L186" s="442"/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  <c r="X186" s="442"/>
    </row>
    <row r="187" ht="19.5" customHeight="1">
      <c r="A187" s="442"/>
      <c r="B187" s="442"/>
      <c r="C187" s="442"/>
      <c r="D187" s="442"/>
      <c r="E187" s="442"/>
      <c r="F187" s="442"/>
      <c r="G187" s="442"/>
      <c r="H187" s="442"/>
      <c r="I187" s="442"/>
      <c r="J187" s="442"/>
      <c r="K187" s="442"/>
      <c r="L187" s="442"/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  <c r="X187" s="442"/>
    </row>
    <row r="188" ht="19.5" customHeight="1">
      <c r="A188" s="442"/>
      <c r="B188" s="442"/>
      <c r="C188" s="442"/>
      <c r="D188" s="442"/>
      <c r="E188" s="442"/>
      <c r="F188" s="442"/>
      <c r="G188" s="442"/>
      <c r="H188" s="442"/>
      <c r="I188" s="442"/>
      <c r="J188" s="442"/>
      <c r="K188" s="442"/>
      <c r="L188" s="442"/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  <c r="X188" s="442"/>
    </row>
    <row r="189" ht="19.5" customHeight="1">
      <c r="A189" s="442"/>
      <c r="B189" s="442"/>
      <c r="C189" s="442"/>
      <c r="D189" s="442"/>
      <c r="E189" s="442"/>
      <c r="F189" s="442"/>
      <c r="G189" s="442"/>
      <c r="H189" s="442"/>
      <c r="I189" s="442"/>
      <c r="J189" s="442"/>
      <c r="K189" s="442"/>
      <c r="L189" s="442"/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  <c r="X189" s="442"/>
    </row>
    <row r="190" ht="19.5" customHeight="1">
      <c r="A190" s="442"/>
      <c r="B190" s="442"/>
      <c r="C190" s="442"/>
      <c r="D190" s="442"/>
      <c r="E190" s="442"/>
      <c r="F190" s="442"/>
      <c r="G190" s="442"/>
      <c r="H190" s="442"/>
      <c r="I190" s="442"/>
      <c r="J190" s="442"/>
      <c r="K190" s="442"/>
      <c r="L190" s="442"/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  <c r="X190" s="442"/>
    </row>
    <row r="191" ht="19.5" customHeight="1">
      <c r="A191" s="442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</row>
    <row r="192" ht="19.5" customHeight="1">
      <c r="A192" s="442"/>
      <c r="B192" s="442"/>
      <c r="C192" s="442"/>
      <c r="D192" s="442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</row>
    <row r="193" ht="19.5" customHeight="1">
      <c r="A193" s="442"/>
      <c r="B193" s="442"/>
      <c r="C193" s="442"/>
      <c r="D193" s="442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</row>
    <row r="194" ht="19.5" customHeight="1">
      <c r="A194" s="442"/>
      <c r="B194" s="442"/>
      <c r="C194" s="442"/>
      <c r="D194" s="442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</row>
    <row r="195" ht="19.5" customHeight="1">
      <c r="A195" s="442"/>
      <c r="B195" s="442"/>
      <c r="C195" s="442"/>
      <c r="D195" s="442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</row>
    <row r="196" ht="19.5" customHeight="1">
      <c r="A196" s="442"/>
      <c r="B196" s="442"/>
      <c r="C196" s="442"/>
      <c r="D196" s="442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</row>
    <row r="197" ht="19.5" customHeight="1">
      <c r="A197" s="442"/>
      <c r="B197" s="442"/>
      <c r="C197" s="442"/>
      <c r="D197" s="442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</row>
    <row r="198" ht="19.5" customHeight="1">
      <c r="A198" s="442"/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</row>
    <row r="199" ht="19.5" customHeight="1">
      <c r="A199" s="442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</row>
    <row r="200" ht="19.5" customHeight="1">
      <c r="A200" s="442"/>
      <c r="B200" s="442"/>
      <c r="C200" s="442"/>
      <c r="D200" s="442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</row>
    <row r="201" ht="19.5" customHeight="1">
      <c r="A201" s="442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</row>
    <row r="202" ht="19.5" customHeight="1">
      <c r="A202" s="442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</row>
    <row r="203" ht="19.5" customHeight="1">
      <c r="A203" s="442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</row>
    <row r="204" ht="19.5" customHeight="1">
      <c r="A204" s="442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</row>
    <row r="205" ht="19.5" customHeight="1">
      <c r="A205" s="442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</row>
    <row r="206" ht="19.5" customHeight="1">
      <c r="A206" s="442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</row>
    <row r="207" ht="19.5" customHeight="1">
      <c r="A207" s="442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</row>
    <row r="208" ht="19.5" customHeight="1">
      <c r="A208" s="442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</row>
    <row r="209" ht="19.5" customHeight="1">
      <c r="A209" s="442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</row>
    <row r="210" ht="19.5" customHeight="1">
      <c r="A210" s="442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</row>
    <row r="211" ht="19.5" customHeight="1">
      <c r="A211" s="442"/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</row>
    <row r="212" ht="19.5" customHeight="1">
      <c r="A212" s="442"/>
      <c r="B212" s="442"/>
      <c r="C212" s="442"/>
      <c r="D212" s="442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</row>
    <row r="213" ht="19.5" customHeight="1">
      <c r="A213" s="442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</row>
    <row r="214" ht="19.5" customHeight="1">
      <c r="A214" s="442"/>
      <c r="B214" s="442"/>
      <c r="C214" s="442"/>
      <c r="D214" s="442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</row>
    <row r="215" ht="19.5" customHeight="1">
      <c r="A215" s="442"/>
      <c r="B215" s="442"/>
      <c r="C215" s="442"/>
      <c r="D215" s="442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</row>
    <row r="216" ht="19.5" customHeight="1">
      <c r="A216" s="442"/>
      <c r="B216" s="442"/>
      <c r="C216" s="442"/>
      <c r="D216" s="442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</row>
    <row r="217" ht="19.5" customHeight="1">
      <c r="A217" s="442"/>
      <c r="B217" s="442"/>
      <c r="C217" s="442"/>
      <c r="D217" s="442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</row>
    <row r="218" ht="19.5" customHeight="1">
      <c r="A218" s="442"/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</row>
    <row r="219" ht="19.5" customHeight="1">
      <c r="A219" s="442"/>
      <c r="B219" s="442"/>
      <c r="C219" s="442"/>
      <c r="D219" s="442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</row>
    <row r="220" ht="19.5" customHeight="1">
      <c r="A220" s="442"/>
      <c r="B220" s="442"/>
      <c r="C220" s="442"/>
      <c r="D220" s="442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</row>
    <row r="221" ht="19.5" customHeight="1">
      <c r="A221" s="442"/>
      <c r="B221" s="442"/>
      <c r="C221" s="442"/>
      <c r="D221" s="442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</row>
    <row r="222" ht="19.5" customHeight="1">
      <c r="A222" s="442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</row>
    <row r="223" ht="19.5" customHeight="1">
      <c r="A223" s="442"/>
      <c r="B223" s="442"/>
      <c r="C223" s="442"/>
      <c r="D223" s="442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</row>
    <row r="224" ht="19.5" customHeight="1">
      <c r="A224" s="442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</row>
    <row r="225" ht="19.5" customHeight="1">
      <c r="A225" s="442"/>
      <c r="B225" s="442"/>
      <c r="C225" s="442"/>
      <c r="D225" s="442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</row>
    <row r="226" ht="19.5" customHeight="1">
      <c r="A226" s="442"/>
      <c r="B226" s="442"/>
      <c r="C226" s="442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</row>
    <row r="227" ht="19.5" customHeight="1">
      <c r="A227" s="442"/>
      <c r="B227" s="442"/>
      <c r="C227" s="442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</row>
    <row r="228" ht="19.5" customHeight="1">
      <c r="A228" s="442"/>
      <c r="B228" s="442"/>
      <c r="C228" s="442"/>
      <c r="D228" s="442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</row>
    <row r="229" ht="19.5" customHeight="1">
      <c r="A229" s="442"/>
      <c r="B229" s="442"/>
      <c r="C229" s="442"/>
      <c r="D229" s="442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</row>
    <row r="230" ht="19.5" customHeight="1">
      <c r="A230" s="442"/>
      <c r="B230" s="442"/>
      <c r="C230" s="442"/>
      <c r="D230" s="442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</row>
    <row r="231" ht="19.5" customHeight="1">
      <c r="A231" s="442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</row>
    <row r="232" ht="19.5" customHeight="1">
      <c r="A232" s="442"/>
      <c r="B232" s="442"/>
      <c r="C232" s="442"/>
      <c r="D232" s="442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</row>
    <row r="233" ht="19.5" customHeight="1">
      <c r="A233" s="442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</row>
    <row r="234" ht="19.5" customHeight="1">
      <c r="A234" s="442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</row>
    <row r="235" ht="19.5" customHeight="1">
      <c r="A235" s="442"/>
      <c r="B235" s="442"/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</row>
    <row r="236" ht="19.5" customHeight="1">
      <c r="A236" s="442"/>
      <c r="B236" s="442"/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</row>
    <row r="237" ht="19.5" customHeight="1">
      <c r="A237" s="442"/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</row>
    <row r="238" ht="19.5" customHeight="1">
      <c r="A238" s="442"/>
      <c r="B238" s="442"/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</row>
    <row r="239" ht="19.5" customHeight="1">
      <c r="A239" s="442"/>
      <c r="B239" s="442"/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</row>
    <row r="240" ht="19.5" customHeight="1">
      <c r="A240" s="442"/>
      <c r="B240" s="442"/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</row>
    <row r="241" ht="19.5" customHeight="1">
      <c r="A241" s="442"/>
      <c r="B241" s="442"/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</row>
    <row r="242" ht="19.5" customHeight="1">
      <c r="A242" s="442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</row>
    <row r="243" ht="19.5" customHeight="1">
      <c r="A243" s="442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</row>
    <row r="244" ht="19.5" customHeight="1">
      <c r="A244" s="442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</row>
    <row r="245" ht="19.5" customHeight="1">
      <c r="A245" s="442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</row>
    <row r="246" ht="19.5" customHeight="1">
      <c r="A246" s="442"/>
      <c r="B246" s="442"/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</row>
    <row r="247" ht="19.5" customHeight="1">
      <c r="A247" s="442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</row>
    <row r="248" ht="19.5" customHeight="1">
      <c r="A248" s="442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</row>
    <row r="249" ht="19.5" customHeight="1">
      <c r="A249" s="442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</row>
    <row r="250" ht="19.5" customHeight="1">
      <c r="A250" s="442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</row>
    <row r="251" ht="19.5" customHeight="1">
      <c r="A251" s="442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</row>
    <row r="252" ht="19.5" customHeight="1">
      <c r="A252" s="442"/>
      <c r="B252" s="442"/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</row>
    <row r="253" ht="19.5" customHeight="1">
      <c r="A253" s="442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</row>
    <row r="254" ht="19.5" customHeight="1">
      <c r="A254" s="442"/>
      <c r="B254" s="442"/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</row>
    <row r="255" ht="19.5" customHeight="1">
      <c r="A255" s="442"/>
      <c r="B255" s="442"/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</row>
    <row r="256" ht="19.5" customHeight="1">
      <c r="A256" s="442"/>
      <c r="B256" s="442"/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</row>
    <row r="257" ht="19.5" customHeight="1">
      <c r="A257" s="442"/>
      <c r="B257" s="442"/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</row>
    <row r="258" ht="19.5" customHeight="1">
      <c r="A258" s="442"/>
      <c r="B258" s="442"/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</row>
    <row r="259" ht="19.5" customHeight="1">
      <c r="A259" s="442"/>
      <c r="B259" s="442"/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</row>
    <row r="260" ht="19.5" customHeight="1">
      <c r="A260" s="442"/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</row>
    <row r="261" ht="19.5" customHeight="1">
      <c r="A261" s="442"/>
      <c r="B261" s="442"/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</row>
    <row r="262" ht="19.5" customHeight="1">
      <c r="A262" s="442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</row>
    <row r="263" ht="19.5" customHeight="1">
      <c r="A263" s="442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</row>
    <row r="264" ht="19.5" customHeight="1">
      <c r="A264" s="442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</row>
    <row r="265" ht="19.5" customHeight="1">
      <c r="A265" s="442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</row>
    <row r="266" ht="19.5" customHeight="1">
      <c r="A266" s="442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</row>
    <row r="267" ht="19.5" customHeight="1">
      <c r="A267" s="442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</row>
    <row r="268" ht="19.5" customHeight="1">
      <c r="A268" s="442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</row>
    <row r="269" ht="19.5" customHeight="1">
      <c r="A269" s="442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</row>
    <row r="270" ht="19.5" customHeight="1">
      <c r="A270" s="442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</row>
    <row r="271" ht="19.5" customHeight="1">
      <c r="A271" s="442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</row>
    <row r="272" ht="19.5" customHeight="1">
      <c r="A272" s="442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</row>
    <row r="273" ht="19.5" customHeight="1">
      <c r="A273" s="442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</row>
    <row r="274" ht="19.5" customHeight="1">
      <c r="A274" s="442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</row>
    <row r="275" ht="19.5" customHeight="1">
      <c r="A275" s="442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</row>
    <row r="276" ht="19.5" customHeight="1">
      <c r="A276" s="442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</row>
    <row r="277" ht="19.5" customHeight="1">
      <c r="A277" s="442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</row>
    <row r="278" ht="19.5" customHeight="1">
      <c r="A278" s="442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</row>
    <row r="279" ht="19.5" customHeight="1">
      <c r="A279" s="442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</row>
    <row r="280" ht="19.5" customHeight="1">
      <c r="A280" s="442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</row>
    <row r="281" ht="19.5" customHeight="1">
      <c r="A281" s="442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</row>
    <row r="282" ht="19.5" customHeight="1">
      <c r="A282" s="442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</row>
    <row r="283" ht="19.5" customHeight="1">
      <c r="A283" s="442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</row>
    <row r="284" ht="19.5" customHeight="1">
      <c r="A284" s="442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</row>
    <row r="285" ht="19.5" customHeight="1">
      <c r="A285" s="442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</row>
    <row r="286" ht="19.5" customHeight="1">
      <c r="A286" s="442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</row>
    <row r="287" ht="19.5" customHeight="1">
      <c r="A287" s="442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</row>
    <row r="288" ht="19.5" customHeight="1">
      <c r="A288" s="442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</row>
    <row r="289" ht="19.5" customHeight="1">
      <c r="A289" s="442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</row>
    <row r="290" ht="19.5" customHeight="1">
      <c r="A290" s="442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</row>
    <row r="291" ht="19.5" customHeight="1">
      <c r="A291" s="442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</row>
    <row r="292" ht="19.5" customHeight="1">
      <c r="A292" s="442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</row>
    <row r="293" ht="19.5" customHeight="1">
      <c r="A293" s="442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</row>
    <row r="294" ht="19.5" customHeight="1">
      <c r="A294" s="442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</row>
    <row r="295" ht="19.5" customHeight="1">
      <c r="A295" s="442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</row>
    <row r="296" ht="19.5" customHeight="1">
      <c r="A296" s="442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</row>
    <row r="297" ht="19.5" customHeight="1">
      <c r="A297" s="442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</row>
    <row r="298" ht="19.5" customHeight="1">
      <c r="A298" s="442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</row>
    <row r="299" ht="19.5" customHeight="1">
      <c r="A299" s="442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</row>
    <row r="300" ht="19.5" customHeight="1">
      <c r="A300" s="442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</row>
    <row r="301" ht="19.5" customHeight="1">
      <c r="A301" s="442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</row>
    <row r="302" ht="19.5" customHeight="1">
      <c r="A302" s="442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</row>
    <row r="303" ht="19.5" customHeight="1">
      <c r="A303" s="442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</row>
    <row r="304" ht="19.5" customHeight="1">
      <c r="A304" s="442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</row>
    <row r="305" ht="19.5" customHeight="1">
      <c r="A305" s="442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</row>
    <row r="306" ht="19.5" customHeight="1">
      <c r="A306" s="442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</row>
    <row r="307" ht="19.5" customHeight="1">
      <c r="A307" s="442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</row>
    <row r="308" ht="19.5" customHeight="1">
      <c r="A308" s="442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</row>
    <row r="309" ht="19.5" customHeight="1">
      <c r="A309" s="442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</row>
    <row r="310" ht="19.5" customHeight="1">
      <c r="A310" s="442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</row>
    <row r="311" ht="19.5" customHeight="1">
      <c r="A311" s="442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</row>
    <row r="312" ht="19.5" customHeight="1">
      <c r="A312" s="442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</row>
    <row r="313" ht="19.5" customHeight="1">
      <c r="A313" s="442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</row>
    <row r="314" ht="19.5" customHeight="1">
      <c r="A314" s="442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</row>
    <row r="315" ht="19.5" customHeight="1">
      <c r="A315" s="442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</row>
    <row r="316" ht="19.5" customHeight="1">
      <c r="A316" s="442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</row>
    <row r="317" ht="19.5" customHeight="1">
      <c r="A317" s="442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</row>
    <row r="318" ht="19.5" customHeight="1">
      <c r="A318" s="442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</row>
    <row r="319" ht="19.5" customHeight="1">
      <c r="A319" s="442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</row>
    <row r="320" ht="19.5" customHeight="1">
      <c r="A320" s="442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</row>
    <row r="321" ht="19.5" customHeight="1">
      <c r="A321" s="442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</row>
    <row r="322" ht="19.5" customHeight="1">
      <c r="A322" s="442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</row>
    <row r="323" ht="19.5" customHeight="1">
      <c r="A323" s="442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</row>
    <row r="324" ht="19.5" customHeight="1">
      <c r="A324" s="442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</row>
    <row r="325" ht="19.5" customHeight="1">
      <c r="A325" s="442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</row>
    <row r="326" ht="19.5" customHeight="1">
      <c r="A326" s="442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</row>
    <row r="327" ht="19.5" customHeight="1">
      <c r="A327" s="442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</row>
    <row r="328" ht="19.5" customHeight="1">
      <c r="A328" s="442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</row>
    <row r="329" ht="19.5" customHeight="1">
      <c r="A329" s="442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</row>
    <row r="330" ht="19.5" customHeight="1">
      <c r="A330" s="442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</row>
    <row r="331" ht="19.5" customHeight="1">
      <c r="A331" s="442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</row>
    <row r="332" ht="19.5" customHeight="1">
      <c r="A332" s="442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</row>
    <row r="333" ht="19.5" customHeight="1">
      <c r="A333" s="442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</row>
    <row r="334" ht="19.5" customHeight="1">
      <c r="A334" s="442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</row>
    <row r="335" ht="19.5" customHeight="1">
      <c r="A335" s="442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</row>
    <row r="336" ht="19.5" customHeight="1">
      <c r="A336" s="442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</row>
    <row r="337" ht="19.5" customHeight="1">
      <c r="A337" s="442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</row>
    <row r="338" ht="19.5" customHeight="1">
      <c r="A338" s="442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</row>
    <row r="339" ht="19.5" customHeight="1">
      <c r="A339" s="442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</row>
    <row r="340" ht="19.5" customHeight="1">
      <c r="A340" s="442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</row>
    <row r="341" ht="19.5" customHeight="1">
      <c r="A341" s="442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</row>
    <row r="342" ht="19.5" customHeight="1">
      <c r="A342" s="442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</row>
    <row r="343" ht="19.5" customHeight="1">
      <c r="A343" s="442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</row>
    <row r="344" ht="19.5" customHeight="1">
      <c r="A344" s="442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</row>
    <row r="345" ht="19.5" customHeight="1">
      <c r="A345" s="442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</row>
    <row r="346" ht="19.5" customHeight="1">
      <c r="A346" s="442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</row>
    <row r="347" ht="19.5" customHeight="1">
      <c r="A347" s="442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</row>
    <row r="348" ht="19.5" customHeight="1">
      <c r="A348" s="442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</row>
    <row r="349" ht="19.5" customHeight="1">
      <c r="A349" s="442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</row>
    <row r="350" ht="19.5" customHeight="1">
      <c r="A350" s="442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</row>
    <row r="351" ht="19.5" customHeight="1">
      <c r="A351" s="442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</row>
    <row r="352" ht="19.5" customHeight="1">
      <c r="A352" s="442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</row>
    <row r="353" ht="19.5" customHeight="1">
      <c r="A353" s="442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</row>
    <row r="354" ht="19.5" customHeight="1">
      <c r="A354" s="442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</row>
    <row r="355" ht="19.5" customHeight="1">
      <c r="A355" s="442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</row>
    <row r="356" ht="19.5" customHeight="1">
      <c r="A356" s="442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</row>
    <row r="357" ht="19.5" customHeight="1">
      <c r="A357" s="442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</row>
    <row r="358" ht="19.5" customHeight="1">
      <c r="A358" s="442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</row>
    <row r="359" ht="19.5" customHeight="1">
      <c r="A359" s="442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</row>
    <row r="360" ht="19.5" customHeight="1">
      <c r="A360" s="442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</row>
    <row r="361" ht="19.5" customHeight="1">
      <c r="A361" s="442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</row>
    <row r="362" ht="19.5" customHeight="1">
      <c r="A362" s="442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</row>
    <row r="363" ht="19.5" customHeight="1">
      <c r="A363" s="442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</row>
    <row r="364" ht="19.5" customHeight="1">
      <c r="A364" s="442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</row>
    <row r="365" ht="19.5" customHeight="1">
      <c r="A365" s="442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</row>
    <row r="366" ht="19.5" customHeight="1">
      <c r="A366" s="442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</row>
    <row r="367" ht="19.5" customHeight="1">
      <c r="A367" s="442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</row>
    <row r="368" ht="19.5" customHeight="1">
      <c r="A368" s="442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</row>
    <row r="369" ht="19.5" customHeight="1">
      <c r="A369" s="442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</row>
    <row r="370" ht="19.5" customHeight="1">
      <c r="A370" s="442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</row>
    <row r="371" ht="19.5" customHeight="1">
      <c r="A371" s="442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</row>
    <row r="372" ht="19.5" customHeight="1">
      <c r="A372" s="442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</row>
    <row r="373" ht="19.5" customHeight="1">
      <c r="A373" s="442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</row>
    <row r="374" ht="19.5" customHeight="1">
      <c r="A374" s="442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</row>
    <row r="375" ht="19.5" customHeight="1">
      <c r="A375" s="442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</row>
    <row r="376" ht="19.5" customHeight="1">
      <c r="A376" s="442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</row>
    <row r="377" ht="19.5" customHeight="1">
      <c r="A377" s="442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</row>
    <row r="378" ht="19.5" customHeight="1">
      <c r="A378" s="442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</row>
    <row r="379" ht="19.5" customHeight="1">
      <c r="A379" s="442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</row>
    <row r="380" ht="19.5" customHeight="1">
      <c r="A380" s="442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</row>
    <row r="381" ht="19.5" customHeight="1">
      <c r="A381" s="442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</row>
    <row r="382" ht="19.5" customHeight="1">
      <c r="A382" s="442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</row>
    <row r="383" ht="19.5" customHeight="1">
      <c r="A383" s="442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</row>
    <row r="384" ht="19.5" customHeight="1">
      <c r="A384" s="442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</row>
    <row r="385" ht="19.5" customHeight="1">
      <c r="A385" s="442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</row>
    <row r="386" ht="19.5" customHeight="1">
      <c r="A386" s="442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</row>
    <row r="387" ht="19.5" customHeight="1">
      <c r="A387" s="442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</row>
    <row r="388" ht="19.5" customHeight="1">
      <c r="A388" s="442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</row>
    <row r="389" ht="19.5" customHeight="1">
      <c r="A389" s="442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</row>
    <row r="390" ht="19.5" customHeight="1">
      <c r="A390" s="442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</row>
    <row r="391" ht="19.5" customHeight="1">
      <c r="A391" s="442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</row>
    <row r="392" ht="19.5" customHeight="1">
      <c r="A392" s="442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</row>
    <row r="393" ht="19.5" customHeight="1">
      <c r="A393" s="442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</row>
    <row r="394" ht="19.5" customHeight="1">
      <c r="A394" s="442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</row>
    <row r="395" ht="19.5" customHeight="1">
      <c r="A395" s="442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</row>
    <row r="396" ht="19.5" customHeight="1">
      <c r="A396" s="442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</row>
    <row r="397" ht="19.5" customHeight="1">
      <c r="A397" s="442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</row>
    <row r="398" ht="19.5" customHeight="1">
      <c r="A398" s="442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</row>
    <row r="399" ht="19.5" customHeight="1">
      <c r="A399" s="442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</row>
    <row r="400" ht="19.5" customHeight="1">
      <c r="A400" s="442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</row>
    <row r="401" ht="19.5" customHeight="1">
      <c r="A401" s="442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</row>
    <row r="402" ht="19.5" customHeight="1">
      <c r="A402" s="442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</row>
    <row r="403" ht="19.5" customHeight="1">
      <c r="A403" s="442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</row>
    <row r="404" ht="19.5" customHeight="1">
      <c r="A404" s="442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</row>
    <row r="405" ht="19.5" customHeight="1">
      <c r="A405" s="442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</row>
    <row r="406" ht="19.5" customHeight="1">
      <c r="A406" s="442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</row>
    <row r="407" ht="19.5" customHeight="1">
      <c r="A407" s="442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</row>
    <row r="408" ht="19.5" customHeight="1">
      <c r="A408" s="442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</row>
    <row r="409" ht="19.5" customHeight="1">
      <c r="A409" s="442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</row>
    <row r="410" ht="19.5" customHeight="1">
      <c r="A410" s="442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</row>
    <row r="411" ht="19.5" customHeight="1">
      <c r="A411" s="442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</row>
    <row r="412" ht="19.5" customHeight="1">
      <c r="A412" s="442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</row>
    <row r="413" ht="19.5" customHeight="1">
      <c r="A413" s="442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</row>
    <row r="414" ht="19.5" customHeight="1">
      <c r="A414" s="442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</row>
    <row r="415" ht="19.5" customHeight="1">
      <c r="A415" s="442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</row>
    <row r="416" ht="19.5" customHeight="1">
      <c r="A416" s="442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</row>
    <row r="417" ht="19.5" customHeight="1">
      <c r="A417" s="442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</row>
    <row r="418" ht="19.5" customHeight="1">
      <c r="A418" s="442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</row>
    <row r="419" ht="19.5" customHeight="1">
      <c r="A419" s="442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</row>
    <row r="420" ht="19.5" customHeight="1">
      <c r="A420" s="442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</row>
    <row r="421" ht="19.5" customHeight="1">
      <c r="A421" s="442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</row>
    <row r="422" ht="19.5" customHeight="1">
      <c r="A422" s="442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</row>
    <row r="423" ht="19.5" customHeight="1">
      <c r="A423" s="442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</row>
    <row r="424" ht="19.5" customHeight="1">
      <c r="A424" s="442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</row>
    <row r="425" ht="19.5" customHeight="1">
      <c r="A425" s="442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</row>
    <row r="426" ht="19.5" customHeight="1">
      <c r="A426" s="442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</row>
    <row r="427" ht="19.5" customHeight="1">
      <c r="A427" s="442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</row>
    <row r="428" ht="19.5" customHeight="1">
      <c r="A428" s="442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</row>
    <row r="429" ht="19.5" customHeight="1">
      <c r="A429" s="442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</row>
    <row r="430" ht="19.5" customHeight="1">
      <c r="A430" s="442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</row>
    <row r="431" ht="19.5" customHeight="1">
      <c r="A431" s="442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</row>
    <row r="432" ht="19.5" customHeight="1">
      <c r="A432" s="442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</row>
    <row r="433" ht="19.5" customHeight="1">
      <c r="A433" s="442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</row>
    <row r="434" ht="19.5" customHeight="1">
      <c r="A434" s="442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</row>
    <row r="435" ht="19.5" customHeight="1">
      <c r="A435" s="442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</row>
    <row r="436" ht="19.5" customHeight="1">
      <c r="A436" s="442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</row>
    <row r="437" ht="19.5" customHeight="1">
      <c r="A437" s="442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</row>
    <row r="438" ht="19.5" customHeight="1">
      <c r="A438" s="442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</row>
    <row r="439" ht="19.5" customHeight="1">
      <c r="A439" s="442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</row>
    <row r="440" ht="19.5" customHeight="1">
      <c r="A440" s="442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</row>
    <row r="441" ht="19.5" customHeight="1">
      <c r="A441" s="442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</row>
    <row r="442" ht="19.5" customHeight="1">
      <c r="A442" s="442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</row>
    <row r="443" ht="19.5" customHeight="1">
      <c r="A443" s="442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</row>
    <row r="444" ht="19.5" customHeight="1">
      <c r="A444" s="442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</row>
    <row r="445" ht="19.5" customHeight="1">
      <c r="A445" s="442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</row>
    <row r="446" ht="19.5" customHeight="1">
      <c r="A446" s="442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</row>
    <row r="447" ht="19.5" customHeight="1">
      <c r="A447" s="442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</row>
    <row r="448" ht="19.5" customHeight="1">
      <c r="A448" s="442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</row>
    <row r="449" ht="19.5" customHeight="1">
      <c r="A449" s="442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</row>
    <row r="450" ht="19.5" customHeight="1">
      <c r="A450" s="442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</row>
    <row r="451" ht="19.5" customHeight="1">
      <c r="A451" s="442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</row>
    <row r="452" ht="19.5" customHeight="1">
      <c r="A452" s="442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</row>
    <row r="453" ht="19.5" customHeight="1">
      <c r="A453" s="442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</row>
    <row r="454" ht="19.5" customHeight="1">
      <c r="A454" s="442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</row>
    <row r="455" ht="19.5" customHeight="1">
      <c r="A455" s="442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</row>
    <row r="456" ht="19.5" customHeight="1">
      <c r="A456" s="442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</row>
    <row r="457" ht="19.5" customHeight="1">
      <c r="A457" s="442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</row>
    <row r="458" ht="19.5" customHeight="1">
      <c r="A458" s="442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</row>
    <row r="459" ht="19.5" customHeight="1">
      <c r="A459" s="442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</row>
    <row r="460" ht="19.5" customHeight="1">
      <c r="A460" s="442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</row>
    <row r="461" ht="19.5" customHeight="1">
      <c r="A461" s="442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</row>
    <row r="462" ht="19.5" customHeight="1">
      <c r="A462" s="442"/>
      <c r="B462" s="442"/>
      <c r="C462" s="442"/>
      <c r="D462" s="442"/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</row>
    <row r="463" ht="19.5" customHeight="1">
      <c r="A463" s="442"/>
      <c r="B463" s="442"/>
      <c r="C463" s="442"/>
      <c r="D463" s="442"/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</row>
    <row r="464" ht="19.5" customHeight="1">
      <c r="A464" s="442"/>
      <c r="B464" s="442"/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</row>
    <row r="465" ht="19.5" customHeight="1">
      <c r="A465" s="442"/>
      <c r="B465" s="442"/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</row>
    <row r="466" ht="19.5" customHeight="1">
      <c r="A466" s="442"/>
      <c r="B466" s="442"/>
      <c r="C466" s="442"/>
      <c r="D466" s="442"/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</row>
    <row r="467" ht="19.5" customHeight="1">
      <c r="A467" s="442"/>
      <c r="B467" s="442"/>
      <c r="C467" s="442"/>
      <c r="D467" s="442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</row>
    <row r="468" ht="19.5" customHeight="1">
      <c r="A468" s="442"/>
      <c r="B468" s="442"/>
      <c r="C468" s="442"/>
      <c r="D468" s="442"/>
      <c r="E468" s="442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</row>
    <row r="469" ht="19.5" customHeight="1">
      <c r="A469" s="442"/>
      <c r="B469" s="442"/>
      <c r="C469" s="442"/>
      <c r="D469" s="442"/>
      <c r="E469" s="442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</row>
    <row r="470" ht="19.5" customHeight="1">
      <c r="A470" s="442"/>
      <c r="B470" s="442"/>
      <c r="C470" s="442"/>
      <c r="D470" s="442"/>
      <c r="E470" s="442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</row>
    <row r="471" ht="19.5" customHeight="1">
      <c r="A471" s="442"/>
      <c r="B471" s="442"/>
      <c r="C471" s="442"/>
      <c r="D471" s="442"/>
      <c r="E471" s="442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</row>
    <row r="472" ht="19.5" customHeight="1">
      <c r="A472" s="442"/>
      <c r="B472" s="442"/>
      <c r="C472" s="442"/>
      <c r="D472" s="442"/>
      <c r="E472" s="442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</row>
    <row r="473" ht="19.5" customHeight="1">
      <c r="A473" s="442"/>
      <c r="B473" s="442"/>
      <c r="C473" s="442"/>
      <c r="D473" s="442"/>
      <c r="E473" s="442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</row>
    <row r="474" ht="19.5" customHeight="1">
      <c r="A474" s="442"/>
      <c r="B474" s="442"/>
      <c r="C474" s="442"/>
      <c r="D474" s="442"/>
      <c r="E474" s="442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</row>
    <row r="475" ht="19.5" customHeight="1">
      <c r="A475" s="442"/>
      <c r="B475" s="442"/>
      <c r="C475" s="442"/>
      <c r="D475" s="442"/>
      <c r="E475" s="442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</row>
    <row r="476" ht="19.5" customHeight="1">
      <c r="A476" s="442"/>
      <c r="B476" s="442"/>
      <c r="C476" s="442"/>
      <c r="D476" s="442"/>
      <c r="E476" s="442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</row>
    <row r="477" ht="19.5" customHeight="1">
      <c r="A477" s="442"/>
      <c r="B477" s="442"/>
      <c r="C477" s="442"/>
      <c r="D477" s="442"/>
      <c r="E477" s="442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</row>
    <row r="478" ht="19.5" customHeight="1">
      <c r="A478" s="442"/>
      <c r="B478" s="442"/>
      <c r="C478" s="442"/>
      <c r="D478" s="442"/>
      <c r="E478" s="442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</row>
    <row r="479" ht="19.5" customHeight="1">
      <c r="A479" s="442"/>
      <c r="B479" s="442"/>
      <c r="C479" s="442"/>
      <c r="D479" s="442"/>
      <c r="E479" s="442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</row>
    <row r="480" ht="19.5" customHeight="1">
      <c r="A480" s="442"/>
      <c r="B480" s="442"/>
      <c r="C480" s="442"/>
      <c r="D480" s="442"/>
      <c r="E480" s="442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</row>
    <row r="481" ht="19.5" customHeight="1">
      <c r="A481" s="442"/>
      <c r="B481" s="442"/>
      <c r="C481" s="442"/>
      <c r="D481" s="442"/>
      <c r="E481" s="442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</row>
    <row r="482" ht="19.5" customHeight="1">
      <c r="A482" s="442"/>
      <c r="B482" s="442"/>
      <c r="C482" s="442"/>
      <c r="D482" s="442"/>
      <c r="E482" s="442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</row>
    <row r="483" ht="19.5" customHeight="1">
      <c r="A483" s="442"/>
      <c r="B483" s="442"/>
      <c r="C483" s="442"/>
      <c r="D483" s="442"/>
      <c r="E483" s="442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</row>
    <row r="484" ht="19.5" customHeight="1">
      <c r="A484" s="442"/>
      <c r="B484" s="442"/>
      <c r="C484" s="442"/>
      <c r="D484" s="442"/>
      <c r="E484" s="442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</row>
    <row r="485" ht="19.5" customHeight="1">
      <c r="A485" s="442"/>
      <c r="B485" s="442"/>
      <c r="C485" s="442"/>
      <c r="D485" s="442"/>
      <c r="E485" s="442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</row>
    <row r="486" ht="19.5" customHeight="1">
      <c r="A486" s="442"/>
      <c r="B486" s="442"/>
      <c r="C486" s="442"/>
      <c r="D486" s="442"/>
      <c r="E486" s="442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</row>
    <row r="487" ht="19.5" customHeight="1">
      <c r="A487" s="442"/>
      <c r="B487" s="442"/>
      <c r="C487" s="442"/>
      <c r="D487" s="442"/>
      <c r="E487" s="442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</row>
    <row r="488" ht="19.5" customHeight="1">
      <c r="A488" s="442"/>
      <c r="B488" s="442"/>
      <c r="C488" s="442"/>
      <c r="D488" s="442"/>
      <c r="E488" s="442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</row>
    <row r="489" ht="19.5" customHeight="1">
      <c r="A489" s="442"/>
      <c r="B489" s="442"/>
      <c r="C489" s="442"/>
      <c r="D489" s="442"/>
      <c r="E489" s="442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</row>
    <row r="490" ht="19.5" customHeight="1">
      <c r="A490" s="442"/>
      <c r="B490" s="442"/>
      <c r="C490" s="442"/>
      <c r="D490" s="442"/>
      <c r="E490" s="442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</row>
    <row r="491" ht="19.5" customHeight="1">
      <c r="A491" s="442"/>
      <c r="B491" s="442"/>
      <c r="C491" s="442"/>
      <c r="D491" s="442"/>
      <c r="E491" s="442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</row>
    <row r="492" ht="19.5" customHeight="1">
      <c r="A492" s="442"/>
      <c r="B492" s="442"/>
      <c r="C492" s="442"/>
      <c r="D492" s="442"/>
      <c r="E492" s="442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</row>
    <row r="493" ht="19.5" customHeight="1">
      <c r="A493" s="442"/>
      <c r="B493" s="442"/>
      <c r="C493" s="442"/>
      <c r="D493" s="442"/>
      <c r="E493" s="442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</row>
    <row r="494" ht="19.5" customHeight="1">
      <c r="A494" s="442"/>
      <c r="B494" s="442"/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</row>
    <row r="495" ht="19.5" customHeight="1">
      <c r="A495" s="442"/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</row>
    <row r="496" ht="19.5" customHeight="1">
      <c r="A496" s="442"/>
      <c r="B496" s="442"/>
      <c r="C496" s="442"/>
      <c r="D496" s="442"/>
      <c r="E496" s="442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</row>
    <row r="497" ht="19.5" customHeight="1">
      <c r="A497" s="442"/>
      <c r="B497" s="442"/>
      <c r="C497" s="442"/>
      <c r="D497" s="442"/>
      <c r="E497" s="442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</row>
    <row r="498" ht="19.5" customHeight="1">
      <c r="A498" s="442"/>
      <c r="B498" s="442"/>
      <c r="C498" s="442"/>
      <c r="D498" s="442"/>
      <c r="E498" s="442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</row>
    <row r="499" ht="19.5" customHeight="1">
      <c r="A499" s="442"/>
      <c r="B499" s="442"/>
      <c r="C499" s="442"/>
      <c r="D499" s="442"/>
      <c r="E499" s="442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</row>
    <row r="500" ht="19.5" customHeight="1">
      <c r="A500" s="442"/>
      <c r="B500" s="442"/>
      <c r="C500" s="442"/>
      <c r="D500" s="442"/>
      <c r="E500" s="442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</row>
    <row r="501" ht="19.5" customHeight="1">
      <c r="A501" s="442"/>
      <c r="B501" s="442"/>
      <c r="C501" s="442"/>
      <c r="D501" s="442"/>
      <c r="E501" s="442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</row>
    <row r="502" ht="19.5" customHeight="1">
      <c r="A502" s="442"/>
      <c r="B502" s="442"/>
      <c r="C502" s="442"/>
      <c r="D502" s="442"/>
      <c r="E502" s="442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</row>
    <row r="503" ht="19.5" customHeight="1">
      <c r="A503" s="442"/>
      <c r="B503" s="442"/>
      <c r="C503" s="442"/>
      <c r="D503" s="442"/>
      <c r="E503" s="442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</row>
    <row r="504" ht="19.5" customHeight="1">
      <c r="A504" s="442"/>
      <c r="B504" s="442"/>
      <c r="C504" s="442"/>
      <c r="D504" s="442"/>
      <c r="E504" s="442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</row>
    <row r="505" ht="19.5" customHeight="1">
      <c r="A505" s="442"/>
      <c r="B505" s="442"/>
      <c r="C505" s="442"/>
      <c r="D505" s="442"/>
      <c r="E505" s="442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</row>
    <row r="506" ht="19.5" customHeight="1">
      <c r="A506" s="442"/>
      <c r="B506" s="442"/>
      <c r="C506" s="442"/>
      <c r="D506" s="442"/>
      <c r="E506" s="442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</row>
    <row r="507" ht="19.5" customHeight="1">
      <c r="A507" s="442"/>
      <c r="B507" s="442"/>
      <c r="C507" s="442"/>
      <c r="D507" s="442"/>
      <c r="E507" s="442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</row>
    <row r="508" ht="19.5" customHeight="1">
      <c r="A508" s="442"/>
      <c r="B508" s="442"/>
      <c r="C508" s="442"/>
      <c r="D508" s="442"/>
      <c r="E508" s="442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</row>
    <row r="509" ht="19.5" customHeight="1">
      <c r="A509" s="442"/>
      <c r="B509" s="442"/>
      <c r="C509" s="442"/>
      <c r="D509" s="442"/>
      <c r="E509" s="442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</row>
    <row r="510" ht="19.5" customHeight="1">
      <c r="A510" s="442"/>
      <c r="B510" s="442"/>
      <c r="C510" s="442"/>
      <c r="D510" s="442"/>
      <c r="E510" s="442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</row>
    <row r="511" ht="19.5" customHeight="1">
      <c r="A511" s="442"/>
      <c r="B511" s="442"/>
      <c r="C511" s="442"/>
      <c r="D511" s="442"/>
      <c r="E511" s="442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</row>
    <row r="512" ht="19.5" customHeight="1">
      <c r="A512" s="442"/>
      <c r="B512" s="442"/>
      <c r="C512" s="442"/>
      <c r="D512" s="442"/>
      <c r="E512" s="442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</row>
    <row r="513" ht="19.5" customHeight="1">
      <c r="A513" s="442"/>
      <c r="B513" s="442"/>
      <c r="C513" s="442"/>
      <c r="D513" s="442"/>
      <c r="E513" s="442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</row>
    <row r="514" ht="19.5" customHeight="1">
      <c r="A514" s="442"/>
      <c r="B514" s="442"/>
      <c r="C514" s="442"/>
      <c r="D514" s="442"/>
      <c r="E514" s="442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</row>
    <row r="515" ht="19.5" customHeight="1">
      <c r="A515" s="442"/>
      <c r="B515" s="442"/>
      <c r="C515" s="442"/>
      <c r="D515" s="442"/>
      <c r="E515" s="442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</row>
    <row r="516" ht="19.5" customHeight="1">
      <c r="A516" s="442"/>
      <c r="B516" s="442"/>
      <c r="C516" s="442"/>
      <c r="D516" s="442"/>
      <c r="E516" s="442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</row>
    <row r="517" ht="19.5" customHeight="1">
      <c r="A517" s="442"/>
      <c r="B517" s="442"/>
      <c r="C517" s="442"/>
      <c r="D517" s="442"/>
      <c r="E517" s="442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</row>
    <row r="518" ht="19.5" customHeight="1">
      <c r="A518" s="442"/>
      <c r="B518" s="442"/>
      <c r="C518" s="442"/>
      <c r="D518" s="442"/>
      <c r="E518" s="442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</row>
    <row r="519" ht="19.5" customHeight="1">
      <c r="A519" s="442"/>
      <c r="B519" s="442"/>
      <c r="C519" s="442"/>
      <c r="D519" s="442"/>
      <c r="E519" s="442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</row>
    <row r="520" ht="19.5" customHeight="1">
      <c r="A520" s="442"/>
      <c r="B520" s="442"/>
      <c r="C520" s="442"/>
      <c r="D520" s="442"/>
      <c r="E520" s="442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</row>
    <row r="521" ht="19.5" customHeight="1">
      <c r="A521" s="442"/>
      <c r="B521" s="442"/>
      <c r="C521" s="442"/>
      <c r="D521" s="442"/>
      <c r="E521" s="442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</row>
    <row r="522" ht="19.5" customHeight="1">
      <c r="A522" s="442"/>
      <c r="B522" s="442"/>
      <c r="C522" s="442"/>
      <c r="D522" s="442"/>
      <c r="E522" s="442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</row>
    <row r="523" ht="19.5" customHeight="1">
      <c r="A523" s="442"/>
      <c r="B523" s="442"/>
      <c r="C523" s="442"/>
      <c r="D523" s="442"/>
      <c r="E523" s="442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</row>
    <row r="524" ht="19.5" customHeight="1">
      <c r="A524" s="442"/>
      <c r="B524" s="442"/>
      <c r="C524" s="442"/>
      <c r="D524" s="442"/>
      <c r="E524" s="442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</row>
    <row r="525" ht="19.5" customHeight="1">
      <c r="A525" s="442"/>
      <c r="B525" s="442"/>
      <c r="C525" s="442"/>
      <c r="D525" s="442"/>
      <c r="E525" s="442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</row>
    <row r="526" ht="19.5" customHeight="1">
      <c r="A526" s="442"/>
      <c r="B526" s="442"/>
      <c r="C526" s="442"/>
      <c r="D526" s="442"/>
      <c r="E526" s="442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</row>
    <row r="527" ht="19.5" customHeight="1">
      <c r="A527" s="442"/>
      <c r="B527" s="442"/>
      <c r="C527" s="442"/>
      <c r="D527" s="442"/>
      <c r="E527" s="442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</row>
    <row r="528" ht="19.5" customHeight="1">
      <c r="A528" s="442"/>
      <c r="B528" s="442"/>
      <c r="C528" s="442"/>
      <c r="D528" s="442"/>
      <c r="E528" s="442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</row>
    <row r="529" ht="19.5" customHeight="1">
      <c r="A529" s="442"/>
      <c r="B529" s="442"/>
      <c r="C529" s="442"/>
      <c r="D529" s="442"/>
      <c r="E529" s="442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</row>
    <row r="530" ht="19.5" customHeight="1">
      <c r="A530" s="442"/>
      <c r="B530" s="442"/>
      <c r="C530" s="442"/>
      <c r="D530" s="442"/>
      <c r="E530" s="442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</row>
    <row r="531" ht="19.5" customHeight="1">
      <c r="A531" s="442"/>
      <c r="B531" s="442"/>
      <c r="C531" s="442"/>
      <c r="D531" s="442"/>
      <c r="E531" s="442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</row>
    <row r="532" ht="19.5" customHeight="1">
      <c r="A532" s="442"/>
      <c r="B532" s="442"/>
      <c r="C532" s="442"/>
      <c r="D532" s="442"/>
      <c r="E532" s="442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</row>
    <row r="533" ht="19.5" customHeight="1">
      <c r="A533" s="442"/>
      <c r="B533" s="442"/>
      <c r="C533" s="442"/>
      <c r="D533" s="442"/>
      <c r="E533" s="442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</row>
    <row r="534" ht="19.5" customHeight="1">
      <c r="A534" s="442"/>
      <c r="B534" s="442"/>
      <c r="C534" s="442"/>
      <c r="D534" s="442"/>
      <c r="E534" s="442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</row>
    <row r="535" ht="19.5" customHeight="1">
      <c r="A535" s="442"/>
      <c r="B535" s="442"/>
      <c r="C535" s="442"/>
      <c r="D535" s="442"/>
      <c r="E535" s="442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</row>
    <row r="536" ht="19.5" customHeight="1">
      <c r="A536" s="442"/>
      <c r="B536" s="442"/>
      <c r="C536" s="442"/>
      <c r="D536" s="442"/>
      <c r="E536" s="442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</row>
    <row r="537" ht="19.5" customHeight="1">
      <c r="A537" s="442"/>
      <c r="B537" s="442"/>
      <c r="C537" s="442"/>
      <c r="D537" s="442"/>
      <c r="E537" s="442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</row>
    <row r="538" ht="19.5" customHeight="1">
      <c r="A538" s="442"/>
      <c r="B538" s="442"/>
      <c r="C538" s="442"/>
      <c r="D538" s="442"/>
      <c r="E538" s="442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</row>
    <row r="539" ht="19.5" customHeight="1">
      <c r="A539" s="442"/>
      <c r="B539" s="442"/>
      <c r="C539" s="442"/>
      <c r="D539" s="442"/>
      <c r="E539" s="442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</row>
    <row r="540" ht="19.5" customHeight="1">
      <c r="A540" s="442"/>
      <c r="B540" s="442"/>
      <c r="C540" s="442"/>
      <c r="D540" s="442"/>
      <c r="E540" s="442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</row>
    <row r="541" ht="19.5" customHeight="1">
      <c r="A541" s="442"/>
      <c r="B541" s="442"/>
      <c r="C541" s="442"/>
      <c r="D541" s="442"/>
      <c r="E541" s="442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</row>
    <row r="542" ht="19.5" customHeight="1">
      <c r="A542" s="442"/>
      <c r="B542" s="442"/>
      <c r="C542" s="442"/>
      <c r="D542" s="442"/>
      <c r="E542" s="442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</row>
    <row r="543" ht="19.5" customHeight="1">
      <c r="A543" s="442"/>
      <c r="B543" s="442"/>
      <c r="C543" s="442"/>
      <c r="D543" s="442"/>
      <c r="E543" s="442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</row>
    <row r="544" ht="19.5" customHeight="1">
      <c r="A544" s="442"/>
      <c r="B544" s="442"/>
      <c r="C544" s="442"/>
      <c r="D544" s="442"/>
      <c r="E544" s="442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</row>
    <row r="545" ht="19.5" customHeight="1">
      <c r="A545" s="442"/>
      <c r="B545" s="442"/>
      <c r="C545" s="442"/>
      <c r="D545" s="442"/>
      <c r="E545" s="442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</row>
    <row r="546" ht="19.5" customHeight="1">
      <c r="A546" s="442"/>
      <c r="B546" s="442"/>
      <c r="C546" s="442"/>
      <c r="D546" s="442"/>
      <c r="E546" s="442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</row>
    <row r="547" ht="19.5" customHeight="1">
      <c r="A547" s="442"/>
      <c r="B547" s="442"/>
      <c r="C547" s="442"/>
      <c r="D547" s="442"/>
      <c r="E547" s="442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</row>
    <row r="548" ht="19.5" customHeight="1">
      <c r="A548" s="442"/>
      <c r="B548" s="442"/>
      <c r="C548" s="442"/>
      <c r="D548" s="442"/>
      <c r="E548" s="442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</row>
    <row r="549" ht="19.5" customHeight="1">
      <c r="A549" s="442"/>
      <c r="B549" s="442"/>
      <c r="C549" s="442"/>
      <c r="D549" s="442"/>
      <c r="E549" s="442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</row>
    <row r="550" ht="19.5" customHeight="1">
      <c r="A550" s="442"/>
      <c r="B550" s="442"/>
      <c r="C550" s="442"/>
      <c r="D550" s="442"/>
      <c r="E550" s="442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</row>
    <row r="551" ht="19.5" customHeight="1">
      <c r="A551" s="442"/>
      <c r="B551" s="442"/>
      <c r="C551" s="442"/>
      <c r="D551" s="442"/>
      <c r="E551" s="442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</row>
    <row r="552" ht="19.5" customHeight="1">
      <c r="A552" s="442"/>
      <c r="B552" s="442"/>
      <c r="C552" s="442"/>
      <c r="D552" s="442"/>
      <c r="E552" s="442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</row>
    <row r="553" ht="19.5" customHeight="1">
      <c r="A553" s="442"/>
      <c r="B553" s="442"/>
      <c r="C553" s="442"/>
      <c r="D553" s="442"/>
      <c r="E553" s="442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</row>
    <row r="554" ht="19.5" customHeight="1">
      <c r="A554" s="442"/>
      <c r="B554" s="442"/>
      <c r="C554" s="442"/>
      <c r="D554" s="442"/>
      <c r="E554" s="442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</row>
    <row r="555" ht="19.5" customHeight="1">
      <c r="A555" s="442"/>
      <c r="B555" s="442"/>
      <c r="C555" s="442"/>
      <c r="D555" s="442"/>
      <c r="E555" s="442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</row>
    <row r="556" ht="19.5" customHeight="1">
      <c r="A556" s="442"/>
      <c r="B556" s="442"/>
      <c r="C556" s="442"/>
      <c r="D556" s="442"/>
      <c r="E556" s="442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</row>
    <row r="557" ht="19.5" customHeight="1">
      <c r="A557" s="442"/>
      <c r="B557" s="442"/>
      <c r="C557" s="442"/>
      <c r="D557" s="442"/>
      <c r="E557" s="442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</row>
    <row r="558" ht="19.5" customHeight="1">
      <c r="A558" s="442"/>
      <c r="B558" s="442"/>
      <c r="C558" s="442"/>
      <c r="D558" s="442"/>
      <c r="E558" s="442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</row>
    <row r="559" ht="19.5" customHeight="1">
      <c r="A559" s="442"/>
      <c r="B559" s="442"/>
      <c r="C559" s="442"/>
      <c r="D559" s="442"/>
      <c r="E559" s="442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</row>
    <row r="560" ht="19.5" customHeight="1">
      <c r="A560" s="442"/>
      <c r="B560" s="442"/>
      <c r="C560" s="442"/>
      <c r="D560" s="442"/>
      <c r="E560" s="442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</row>
    <row r="561" ht="19.5" customHeight="1">
      <c r="A561" s="442"/>
      <c r="B561" s="442"/>
      <c r="C561" s="442"/>
      <c r="D561" s="442"/>
      <c r="E561" s="442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</row>
    <row r="562" ht="19.5" customHeight="1">
      <c r="A562" s="442"/>
      <c r="B562" s="442"/>
      <c r="C562" s="442"/>
      <c r="D562" s="442"/>
      <c r="E562" s="442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</row>
    <row r="563" ht="19.5" customHeight="1">
      <c r="A563" s="442"/>
      <c r="B563" s="442"/>
      <c r="C563" s="442"/>
      <c r="D563" s="442"/>
      <c r="E563" s="442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</row>
    <row r="564" ht="19.5" customHeight="1">
      <c r="A564" s="442"/>
      <c r="B564" s="442"/>
      <c r="C564" s="442"/>
      <c r="D564" s="442"/>
      <c r="E564" s="442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</row>
    <row r="565" ht="19.5" customHeight="1">
      <c r="A565" s="442"/>
      <c r="B565" s="442"/>
      <c r="C565" s="442"/>
      <c r="D565" s="442"/>
      <c r="E565" s="442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</row>
    <row r="566" ht="19.5" customHeight="1">
      <c r="A566" s="442"/>
      <c r="B566" s="442"/>
      <c r="C566" s="442"/>
      <c r="D566" s="442"/>
      <c r="E566" s="442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</row>
    <row r="567" ht="19.5" customHeight="1">
      <c r="A567" s="442"/>
      <c r="B567" s="442"/>
      <c r="C567" s="442"/>
      <c r="D567" s="442"/>
      <c r="E567" s="442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</row>
    <row r="568" ht="19.5" customHeight="1">
      <c r="A568" s="442"/>
      <c r="B568" s="442"/>
      <c r="C568" s="442"/>
      <c r="D568" s="442"/>
      <c r="E568" s="442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</row>
    <row r="569" ht="19.5" customHeight="1">
      <c r="A569" s="442"/>
      <c r="B569" s="442"/>
      <c r="C569" s="442"/>
      <c r="D569" s="442"/>
      <c r="E569" s="442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</row>
    <row r="570" ht="19.5" customHeight="1">
      <c r="A570" s="442"/>
      <c r="B570" s="442"/>
      <c r="C570" s="442"/>
      <c r="D570" s="442"/>
      <c r="E570" s="442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</row>
    <row r="571" ht="19.5" customHeight="1">
      <c r="A571" s="442"/>
      <c r="B571" s="442"/>
      <c r="C571" s="442"/>
      <c r="D571" s="442"/>
      <c r="E571" s="442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</row>
    <row r="572" ht="19.5" customHeight="1">
      <c r="A572" s="442"/>
      <c r="B572" s="442"/>
      <c r="C572" s="442"/>
      <c r="D572" s="442"/>
      <c r="E572" s="442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</row>
    <row r="573" ht="19.5" customHeight="1">
      <c r="A573" s="442"/>
      <c r="B573" s="442"/>
      <c r="C573" s="442"/>
      <c r="D573" s="442"/>
      <c r="E573" s="442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</row>
    <row r="574" ht="19.5" customHeight="1">
      <c r="A574" s="442"/>
      <c r="B574" s="442"/>
      <c r="C574" s="442"/>
      <c r="D574" s="442"/>
      <c r="E574" s="442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</row>
    <row r="575" ht="19.5" customHeight="1">
      <c r="A575" s="442"/>
      <c r="B575" s="442"/>
      <c r="C575" s="442"/>
      <c r="D575" s="442"/>
      <c r="E575" s="442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</row>
    <row r="576" ht="19.5" customHeight="1">
      <c r="A576" s="442"/>
      <c r="B576" s="442"/>
      <c r="C576" s="442"/>
      <c r="D576" s="442"/>
      <c r="E576" s="442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</row>
    <row r="577" ht="19.5" customHeight="1">
      <c r="A577" s="442"/>
      <c r="B577" s="442"/>
      <c r="C577" s="442"/>
      <c r="D577" s="442"/>
      <c r="E577" s="442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</row>
    <row r="578" ht="19.5" customHeight="1">
      <c r="A578" s="442"/>
      <c r="B578" s="442"/>
      <c r="C578" s="442"/>
      <c r="D578" s="442"/>
      <c r="E578" s="442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</row>
    <row r="579" ht="19.5" customHeight="1">
      <c r="A579" s="442"/>
      <c r="B579" s="442"/>
      <c r="C579" s="442"/>
      <c r="D579" s="442"/>
      <c r="E579" s="442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</row>
    <row r="580" ht="19.5" customHeight="1">
      <c r="A580" s="442"/>
      <c r="B580" s="442"/>
      <c r="C580" s="442"/>
      <c r="D580" s="442"/>
      <c r="E580" s="442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</row>
    <row r="581" ht="19.5" customHeight="1">
      <c r="A581" s="442"/>
      <c r="B581" s="442"/>
      <c r="C581" s="442"/>
      <c r="D581" s="442"/>
      <c r="E581" s="442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</row>
    <row r="582" ht="19.5" customHeight="1">
      <c r="A582" s="442"/>
      <c r="B582" s="442"/>
      <c r="C582" s="442"/>
      <c r="D582" s="442"/>
      <c r="E582" s="442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</row>
    <row r="583" ht="19.5" customHeight="1">
      <c r="A583" s="442"/>
      <c r="B583" s="442"/>
      <c r="C583" s="442"/>
      <c r="D583" s="442"/>
      <c r="E583" s="442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</row>
    <row r="584" ht="19.5" customHeight="1">
      <c r="A584" s="442"/>
      <c r="B584" s="442"/>
      <c r="C584" s="442"/>
      <c r="D584" s="442"/>
      <c r="E584" s="442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</row>
    <row r="585" ht="19.5" customHeight="1">
      <c r="A585" s="442"/>
      <c r="B585" s="442"/>
      <c r="C585" s="442"/>
      <c r="D585" s="442"/>
      <c r="E585" s="442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</row>
    <row r="586" ht="19.5" customHeight="1">
      <c r="A586" s="442"/>
      <c r="B586" s="442"/>
      <c r="C586" s="442"/>
      <c r="D586" s="442"/>
      <c r="E586" s="442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</row>
    <row r="587" ht="19.5" customHeight="1">
      <c r="A587" s="442"/>
      <c r="B587" s="442"/>
      <c r="C587" s="442"/>
      <c r="D587" s="442"/>
      <c r="E587" s="442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</row>
    <row r="588" ht="19.5" customHeight="1">
      <c r="A588" s="442"/>
      <c r="B588" s="442"/>
      <c r="C588" s="442"/>
      <c r="D588" s="442"/>
      <c r="E588" s="442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</row>
    <row r="589" ht="19.5" customHeight="1">
      <c r="A589" s="442"/>
      <c r="B589" s="442"/>
      <c r="C589" s="442"/>
      <c r="D589" s="442"/>
      <c r="E589" s="442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</row>
    <row r="590" ht="19.5" customHeight="1">
      <c r="A590" s="442"/>
      <c r="B590" s="442"/>
      <c r="C590" s="442"/>
      <c r="D590" s="442"/>
      <c r="E590" s="442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</row>
    <row r="591" ht="19.5" customHeight="1">
      <c r="A591" s="442"/>
      <c r="B591" s="442"/>
      <c r="C591" s="442"/>
      <c r="D591" s="442"/>
      <c r="E591" s="442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</row>
    <row r="592" ht="19.5" customHeight="1">
      <c r="A592" s="442"/>
      <c r="B592" s="442"/>
      <c r="C592" s="442"/>
      <c r="D592" s="442"/>
      <c r="E592" s="442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</row>
    <row r="593" ht="19.5" customHeight="1">
      <c r="A593" s="442"/>
      <c r="B593" s="442"/>
      <c r="C593" s="442"/>
      <c r="D593" s="442"/>
      <c r="E593" s="442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</row>
    <row r="594" ht="19.5" customHeight="1">
      <c r="A594" s="442"/>
      <c r="B594" s="442"/>
      <c r="C594" s="442"/>
      <c r="D594" s="442"/>
      <c r="E594" s="442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</row>
    <row r="595" ht="19.5" customHeight="1">
      <c r="A595" s="442"/>
      <c r="B595" s="442"/>
      <c r="C595" s="442"/>
      <c r="D595" s="442"/>
      <c r="E595" s="442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</row>
    <row r="596" ht="19.5" customHeight="1">
      <c r="A596" s="442"/>
      <c r="B596" s="442"/>
      <c r="C596" s="442"/>
      <c r="D596" s="442"/>
      <c r="E596" s="442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</row>
    <row r="597" ht="19.5" customHeight="1">
      <c r="A597" s="442"/>
      <c r="B597" s="442"/>
      <c r="C597" s="442"/>
      <c r="D597" s="442"/>
      <c r="E597" s="442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</row>
    <row r="598" ht="19.5" customHeight="1">
      <c r="A598" s="442"/>
      <c r="B598" s="442"/>
      <c r="C598" s="442"/>
      <c r="D598" s="442"/>
      <c r="E598" s="442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</row>
    <row r="599" ht="19.5" customHeight="1">
      <c r="A599" s="442"/>
      <c r="B599" s="442"/>
      <c r="C599" s="442"/>
      <c r="D599" s="442"/>
      <c r="E599" s="442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</row>
    <row r="600" ht="19.5" customHeight="1">
      <c r="A600" s="442"/>
      <c r="B600" s="442"/>
      <c r="C600" s="442"/>
      <c r="D600" s="442"/>
      <c r="E600" s="442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</row>
    <row r="601" ht="19.5" customHeight="1">
      <c r="A601" s="442"/>
      <c r="B601" s="442"/>
      <c r="C601" s="442"/>
      <c r="D601" s="442"/>
      <c r="E601" s="442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</row>
    <row r="602" ht="19.5" customHeight="1">
      <c r="A602" s="442"/>
      <c r="B602" s="442"/>
      <c r="C602" s="442"/>
      <c r="D602" s="442"/>
      <c r="E602" s="442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</row>
    <row r="603" ht="19.5" customHeight="1">
      <c r="A603" s="442"/>
      <c r="B603" s="442"/>
      <c r="C603" s="442"/>
      <c r="D603" s="442"/>
      <c r="E603" s="442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</row>
    <row r="604" ht="19.5" customHeight="1">
      <c r="A604" s="442"/>
      <c r="B604" s="442"/>
      <c r="C604" s="442"/>
      <c r="D604" s="442"/>
      <c r="E604" s="442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</row>
    <row r="605" ht="19.5" customHeight="1">
      <c r="A605" s="442"/>
      <c r="B605" s="442"/>
      <c r="C605" s="442"/>
      <c r="D605" s="442"/>
      <c r="E605" s="442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</row>
    <row r="606" ht="19.5" customHeight="1">
      <c r="A606" s="442"/>
      <c r="B606" s="442"/>
      <c r="C606" s="442"/>
      <c r="D606" s="442"/>
      <c r="E606" s="442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</row>
    <row r="607" ht="19.5" customHeight="1">
      <c r="A607" s="442"/>
      <c r="B607" s="442"/>
      <c r="C607" s="442"/>
      <c r="D607" s="442"/>
      <c r="E607" s="442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</row>
    <row r="608" ht="19.5" customHeight="1">
      <c r="A608" s="442"/>
      <c r="B608" s="442"/>
      <c r="C608" s="442"/>
      <c r="D608" s="442"/>
      <c r="E608" s="442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</row>
    <row r="609" ht="19.5" customHeight="1">
      <c r="A609" s="442"/>
      <c r="B609" s="442"/>
      <c r="C609" s="442"/>
      <c r="D609" s="442"/>
      <c r="E609" s="442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</row>
    <row r="610" ht="19.5" customHeight="1">
      <c r="A610" s="442"/>
      <c r="B610" s="442"/>
      <c r="C610" s="442"/>
      <c r="D610" s="442"/>
      <c r="E610" s="442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</row>
    <row r="611" ht="19.5" customHeight="1">
      <c r="A611" s="442"/>
      <c r="B611" s="442"/>
      <c r="C611" s="442"/>
      <c r="D611" s="442"/>
      <c r="E611" s="442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</row>
    <row r="612" ht="19.5" customHeight="1">
      <c r="A612" s="442"/>
      <c r="B612" s="442"/>
      <c r="C612" s="442"/>
      <c r="D612" s="442"/>
      <c r="E612" s="442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</row>
    <row r="613" ht="19.5" customHeight="1">
      <c r="A613" s="442"/>
      <c r="B613" s="442"/>
      <c r="C613" s="442"/>
      <c r="D613" s="442"/>
      <c r="E613" s="442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</row>
    <row r="614" ht="19.5" customHeight="1">
      <c r="A614" s="442"/>
      <c r="B614" s="442"/>
      <c r="C614" s="442"/>
      <c r="D614" s="442"/>
      <c r="E614" s="442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</row>
    <row r="615" ht="19.5" customHeight="1">
      <c r="A615" s="442"/>
      <c r="B615" s="442"/>
      <c r="C615" s="442"/>
      <c r="D615" s="442"/>
      <c r="E615" s="442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</row>
    <row r="616" ht="19.5" customHeight="1">
      <c r="A616" s="442"/>
      <c r="B616" s="442"/>
      <c r="C616" s="442"/>
      <c r="D616" s="442"/>
      <c r="E616" s="442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</row>
    <row r="617" ht="19.5" customHeight="1">
      <c r="A617" s="442"/>
      <c r="B617" s="442"/>
      <c r="C617" s="442"/>
      <c r="D617" s="442"/>
      <c r="E617" s="442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</row>
    <row r="618" ht="19.5" customHeight="1">
      <c r="A618" s="442"/>
      <c r="B618" s="442"/>
      <c r="C618" s="442"/>
      <c r="D618" s="442"/>
      <c r="E618" s="442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</row>
    <row r="619" ht="19.5" customHeight="1">
      <c r="A619" s="442"/>
      <c r="B619" s="442"/>
      <c r="C619" s="442"/>
      <c r="D619" s="442"/>
      <c r="E619" s="442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</row>
    <row r="620" ht="19.5" customHeight="1">
      <c r="A620" s="442"/>
      <c r="B620" s="442"/>
      <c r="C620" s="442"/>
      <c r="D620" s="442"/>
      <c r="E620" s="442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</row>
    <row r="621" ht="19.5" customHeight="1">
      <c r="A621" s="442"/>
      <c r="B621" s="442"/>
      <c r="C621" s="442"/>
      <c r="D621" s="442"/>
      <c r="E621" s="442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</row>
    <row r="622" ht="19.5" customHeight="1">
      <c r="A622" s="442"/>
      <c r="B622" s="442"/>
      <c r="C622" s="442"/>
      <c r="D622" s="442"/>
      <c r="E622" s="442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</row>
    <row r="623" ht="19.5" customHeight="1">
      <c r="A623" s="442"/>
      <c r="B623" s="442"/>
      <c r="C623" s="442"/>
      <c r="D623" s="442"/>
      <c r="E623" s="442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</row>
    <row r="624" ht="19.5" customHeight="1">
      <c r="A624" s="442"/>
      <c r="B624" s="442"/>
      <c r="C624" s="442"/>
      <c r="D624" s="442"/>
      <c r="E624" s="442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</row>
    <row r="625" ht="19.5" customHeight="1">
      <c r="A625" s="442"/>
      <c r="B625" s="442"/>
      <c r="C625" s="442"/>
      <c r="D625" s="442"/>
      <c r="E625" s="442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</row>
    <row r="626" ht="19.5" customHeight="1">
      <c r="A626" s="442"/>
      <c r="B626" s="442"/>
      <c r="C626" s="442"/>
      <c r="D626" s="442"/>
      <c r="E626" s="442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</row>
    <row r="627" ht="19.5" customHeight="1">
      <c r="A627" s="442"/>
      <c r="B627" s="442"/>
      <c r="C627" s="442"/>
      <c r="D627" s="442"/>
      <c r="E627" s="442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</row>
    <row r="628" ht="19.5" customHeight="1">
      <c r="A628" s="442"/>
      <c r="B628" s="442"/>
      <c r="C628" s="442"/>
      <c r="D628" s="442"/>
      <c r="E628" s="442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</row>
    <row r="629" ht="19.5" customHeight="1">
      <c r="A629" s="442"/>
      <c r="B629" s="442"/>
      <c r="C629" s="442"/>
      <c r="D629" s="442"/>
      <c r="E629" s="442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</row>
    <row r="630" ht="19.5" customHeight="1">
      <c r="A630" s="442"/>
      <c r="B630" s="442"/>
      <c r="C630" s="442"/>
      <c r="D630" s="442"/>
      <c r="E630" s="442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</row>
    <row r="631" ht="19.5" customHeight="1">
      <c r="A631" s="442"/>
      <c r="B631" s="442"/>
      <c r="C631" s="442"/>
      <c r="D631" s="442"/>
      <c r="E631" s="442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</row>
    <row r="632" ht="19.5" customHeight="1">
      <c r="A632" s="442"/>
      <c r="B632" s="442"/>
      <c r="C632" s="442"/>
      <c r="D632" s="442"/>
      <c r="E632" s="442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</row>
    <row r="633" ht="19.5" customHeight="1">
      <c r="A633" s="442"/>
      <c r="B633" s="442"/>
      <c r="C633" s="442"/>
      <c r="D633" s="442"/>
      <c r="E633" s="442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</row>
    <row r="634" ht="19.5" customHeight="1">
      <c r="A634" s="442"/>
      <c r="B634" s="442"/>
      <c r="C634" s="442"/>
      <c r="D634" s="442"/>
      <c r="E634" s="442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</row>
    <row r="635" ht="19.5" customHeight="1">
      <c r="A635" s="442"/>
      <c r="B635" s="442"/>
      <c r="C635" s="442"/>
      <c r="D635" s="442"/>
      <c r="E635" s="442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</row>
    <row r="636" ht="19.5" customHeight="1">
      <c r="A636" s="442"/>
      <c r="B636" s="442"/>
      <c r="C636" s="442"/>
      <c r="D636" s="442"/>
      <c r="E636" s="442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</row>
    <row r="637" ht="19.5" customHeight="1">
      <c r="A637" s="442"/>
      <c r="B637" s="442"/>
      <c r="C637" s="442"/>
      <c r="D637" s="442"/>
      <c r="E637" s="442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</row>
    <row r="638" ht="19.5" customHeight="1">
      <c r="A638" s="442"/>
      <c r="B638" s="442"/>
      <c r="C638" s="442"/>
      <c r="D638" s="442"/>
      <c r="E638" s="442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</row>
    <row r="639" ht="19.5" customHeight="1">
      <c r="A639" s="442"/>
      <c r="B639" s="442"/>
      <c r="C639" s="442"/>
      <c r="D639" s="442"/>
      <c r="E639" s="442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</row>
    <row r="640" ht="19.5" customHeight="1">
      <c r="A640" s="442"/>
      <c r="B640" s="442"/>
      <c r="C640" s="442"/>
      <c r="D640" s="442"/>
      <c r="E640" s="442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</row>
    <row r="641" ht="19.5" customHeight="1">
      <c r="A641" s="442"/>
      <c r="B641" s="442"/>
      <c r="C641" s="442"/>
      <c r="D641" s="442"/>
      <c r="E641" s="442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</row>
    <row r="642" ht="19.5" customHeight="1">
      <c r="A642" s="442"/>
      <c r="B642" s="442"/>
      <c r="C642" s="442"/>
      <c r="D642" s="442"/>
      <c r="E642" s="442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</row>
    <row r="643" ht="19.5" customHeight="1">
      <c r="A643" s="442"/>
      <c r="B643" s="442"/>
      <c r="C643" s="442"/>
      <c r="D643" s="442"/>
      <c r="E643" s="442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</row>
    <row r="644" ht="19.5" customHeight="1">
      <c r="A644" s="442"/>
      <c r="B644" s="442"/>
      <c r="C644" s="442"/>
      <c r="D644" s="442"/>
      <c r="E644" s="442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</row>
    <row r="645" ht="19.5" customHeight="1">
      <c r="A645" s="442"/>
      <c r="B645" s="442"/>
      <c r="C645" s="442"/>
      <c r="D645" s="442"/>
      <c r="E645" s="442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</row>
    <row r="646" ht="19.5" customHeight="1">
      <c r="A646" s="442"/>
      <c r="B646" s="442"/>
      <c r="C646" s="442"/>
      <c r="D646" s="442"/>
      <c r="E646" s="442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</row>
    <row r="647" ht="19.5" customHeight="1">
      <c r="A647" s="442"/>
      <c r="B647" s="442"/>
      <c r="C647" s="442"/>
      <c r="D647" s="442"/>
      <c r="E647" s="442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</row>
    <row r="648" ht="19.5" customHeight="1">
      <c r="A648" s="442"/>
      <c r="B648" s="442"/>
      <c r="C648" s="442"/>
      <c r="D648" s="442"/>
      <c r="E648" s="442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</row>
    <row r="649" ht="19.5" customHeight="1">
      <c r="A649" s="442"/>
      <c r="B649" s="442"/>
      <c r="C649" s="442"/>
      <c r="D649" s="442"/>
      <c r="E649" s="442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</row>
    <row r="650" ht="19.5" customHeight="1">
      <c r="A650" s="442"/>
      <c r="B650" s="442"/>
      <c r="C650" s="442"/>
      <c r="D650" s="442"/>
      <c r="E650" s="442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</row>
    <row r="651" ht="19.5" customHeight="1">
      <c r="A651" s="442"/>
      <c r="B651" s="442"/>
      <c r="C651" s="442"/>
      <c r="D651" s="442"/>
      <c r="E651" s="442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</row>
    <row r="652" ht="19.5" customHeight="1">
      <c r="A652" s="442"/>
      <c r="B652" s="442"/>
      <c r="C652" s="442"/>
      <c r="D652" s="442"/>
      <c r="E652" s="442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</row>
    <row r="653" ht="19.5" customHeight="1">
      <c r="A653" s="442"/>
      <c r="B653" s="442"/>
      <c r="C653" s="442"/>
      <c r="D653" s="442"/>
      <c r="E653" s="442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</row>
    <row r="654" ht="19.5" customHeight="1">
      <c r="A654" s="442"/>
      <c r="B654" s="442"/>
      <c r="C654" s="442"/>
      <c r="D654" s="442"/>
      <c r="E654" s="442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</row>
    <row r="655" ht="19.5" customHeight="1">
      <c r="A655" s="442"/>
      <c r="B655" s="442"/>
      <c r="C655" s="442"/>
      <c r="D655" s="442"/>
      <c r="E655" s="442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</row>
    <row r="656" ht="19.5" customHeight="1">
      <c r="A656" s="442"/>
      <c r="B656" s="442"/>
      <c r="C656" s="442"/>
      <c r="D656" s="442"/>
      <c r="E656" s="442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</row>
    <row r="657" ht="19.5" customHeight="1">
      <c r="A657" s="442"/>
      <c r="B657" s="442"/>
      <c r="C657" s="442"/>
      <c r="D657" s="442"/>
      <c r="E657" s="442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</row>
    <row r="658" ht="19.5" customHeight="1">
      <c r="A658" s="442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</row>
    <row r="659" ht="19.5" customHeight="1">
      <c r="A659" s="442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</row>
    <row r="660" ht="19.5" customHeight="1">
      <c r="A660" s="442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</row>
    <row r="661" ht="19.5" customHeight="1">
      <c r="A661" s="442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</row>
    <row r="662" ht="19.5" customHeight="1">
      <c r="A662" s="442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</row>
    <row r="663" ht="19.5" customHeight="1">
      <c r="A663" s="442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</row>
    <row r="664" ht="19.5" customHeight="1">
      <c r="A664" s="442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</row>
    <row r="665" ht="19.5" customHeight="1">
      <c r="A665" s="442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</row>
    <row r="666" ht="19.5" customHeight="1">
      <c r="A666" s="442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</row>
    <row r="667" ht="19.5" customHeight="1">
      <c r="A667" s="442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</row>
    <row r="668" ht="19.5" customHeight="1">
      <c r="A668" s="442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</row>
    <row r="669" ht="19.5" customHeight="1">
      <c r="A669" s="442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</row>
    <row r="670" ht="19.5" customHeight="1">
      <c r="A670" s="442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</row>
    <row r="671" ht="19.5" customHeight="1">
      <c r="A671" s="442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</row>
    <row r="672" ht="19.5" customHeight="1">
      <c r="A672" s="442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</row>
    <row r="673" ht="19.5" customHeight="1">
      <c r="A673" s="442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</row>
    <row r="674" ht="19.5" customHeight="1">
      <c r="A674" s="442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</row>
    <row r="675" ht="19.5" customHeight="1">
      <c r="A675" s="442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</row>
    <row r="676" ht="19.5" customHeight="1">
      <c r="A676" s="442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</row>
    <row r="677" ht="19.5" customHeight="1">
      <c r="A677" s="442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</row>
    <row r="678" ht="19.5" customHeight="1">
      <c r="A678" s="442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</row>
    <row r="679" ht="19.5" customHeight="1">
      <c r="A679" s="442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</row>
    <row r="680" ht="19.5" customHeight="1">
      <c r="A680" s="442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</row>
    <row r="681" ht="19.5" customHeight="1">
      <c r="A681" s="442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</row>
    <row r="682" ht="19.5" customHeight="1">
      <c r="A682" s="442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</row>
    <row r="683" ht="19.5" customHeight="1">
      <c r="A683" s="442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</row>
    <row r="684" ht="19.5" customHeight="1">
      <c r="A684" s="442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</row>
    <row r="685" ht="19.5" customHeight="1">
      <c r="A685" s="442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</row>
    <row r="686" ht="19.5" customHeight="1">
      <c r="A686" s="442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</row>
    <row r="687" ht="19.5" customHeight="1">
      <c r="A687" s="442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</row>
    <row r="688" ht="19.5" customHeight="1">
      <c r="A688" s="442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</row>
    <row r="689" ht="19.5" customHeight="1">
      <c r="A689" s="442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</row>
    <row r="690" ht="19.5" customHeight="1">
      <c r="A690" s="442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</row>
    <row r="691" ht="19.5" customHeight="1">
      <c r="A691" s="442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</row>
    <row r="692" ht="19.5" customHeight="1">
      <c r="A692" s="442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</row>
    <row r="693" ht="19.5" customHeight="1">
      <c r="A693" s="442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</row>
    <row r="694" ht="19.5" customHeight="1">
      <c r="A694" s="442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</row>
    <row r="695" ht="19.5" customHeight="1">
      <c r="A695" s="442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</row>
    <row r="696" ht="19.5" customHeight="1">
      <c r="A696" s="442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</row>
    <row r="697" ht="19.5" customHeight="1">
      <c r="A697" s="442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</row>
    <row r="698" ht="19.5" customHeight="1">
      <c r="A698" s="442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</row>
    <row r="699" ht="19.5" customHeight="1">
      <c r="A699" s="442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</row>
    <row r="700" ht="19.5" customHeight="1">
      <c r="A700" s="442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</row>
    <row r="701" ht="19.5" customHeight="1">
      <c r="A701" s="442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</row>
    <row r="702" ht="19.5" customHeight="1">
      <c r="A702" s="442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</row>
    <row r="703" ht="19.5" customHeight="1">
      <c r="A703" s="442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</row>
    <row r="704" ht="19.5" customHeight="1">
      <c r="A704" s="442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</row>
    <row r="705" ht="19.5" customHeight="1">
      <c r="A705" s="442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</row>
    <row r="706" ht="19.5" customHeight="1">
      <c r="A706" s="442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</row>
    <row r="707" ht="19.5" customHeight="1">
      <c r="A707" s="442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</row>
    <row r="708" ht="19.5" customHeight="1">
      <c r="A708" s="442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</row>
    <row r="709" ht="19.5" customHeight="1">
      <c r="A709" s="442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</row>
    <row r="710" ht="19.5" customHeight="1">
      <c r="A710" s="442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</row>
    <row r="711" ht="19.5" customHeight="1">
      <c r="A711" s="442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</row>
    <row r="712" ht="19.5" customHeight="1">
      <c r="A712" s="442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</row>
    <row r="713" ht="19.5" customHeight="1">
      <c r="A713" s="442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</row>
    <row r="714" ht="19.5" customHeight="1">
      <c r="A714" s="442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</row>
    <row r="715" ht="19.5" customHeight="1">
      <c r="A715" s="442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</row>
    <row r="716" ht="19.5" customHeight="1">
      <c r="A716" s="442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</row>
    <row r="717" ht="19.5" customHeight="1">
      <c r="A717" s="442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</row>
    <row r="718" ht="19.5" customHeight="1">
      <c r="A718" s="442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</row>
    <row r="719" ht="19.5" customHeight="1">
      <c r="A719" s="442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</row>
    <row r="720" ht="19.5" customHeight="1">
      <c r="A720" s="442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</row>
    <row r="721" ht="19.5" customHeight="1">
      <c r="A721" s="442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</row>
    <row r="722" ht="19.5" customHeight="1">
      <c r="A722" s="442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</row>
    <row r="723" ht="19.5" customHeight="1">
      <c r="A723" s="442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</row>
    <row r="724" ht="19.5" customHeight="1">
      <c r="A724" s="442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</row>
    <row r="725" ht="19.5" customHeight="1">
      <c r="A725" s="442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</row>
    <row r="726" ht="19.5" customHeight="1">
      <c r="A726" s="442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</row>
    <row r="727" ht="19.5" customHeight="1">
      <c r="A727" s="442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</row>
    <row r="728" ht="19.5" customHeight="1">
      <c r="A728" s="442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</row>
    <row r="729" ht="19.5" customHeight="1">
      <c r="A729" s="442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</row>
    <row r="730" ht="19.5" customHeight="1">
      <c r="A730" s="442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</row>
    <row r="731" ht="19.5" customHeight="1">
      <c r="A731" s="442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</row>
    <row r="732" ht="19.5" customHeight="1">
      <c r="A732" s="442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</row>
    <row r="733" ht="19.5" customHeight="1">
      <c r="A733" s="442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</row>
    <row r="734" ht="19.5" customHeight="1">
      <c r="A734" s="442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</row>
    <row r="735" ht="19.5" customHeight="1">
      <c r="A735" s="442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</row>
    <row r="736" ht="19.5" customHeight="1">
      <c r="A736" s="442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</row>
    <row r="737" ht="19.5" customHeight="1">
      <c r="A737" s="442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</row>
    <row r="738" ht="19.5" customHeight="1">
      <c r="A738" s="442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</row>
    <row r="739" ht="19.5" customHeight="1">
      <c r="A739" s="442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</row>
    <row r="740" ht="19.5" customHeight="1">
      <c r="A740" s="442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</row>
    <row r="741" ht="19.5" customHeight="1">
      <c r="A741" s="442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</row>
    <row r="742" ht="19.5" customHeight="1">
      <c r="A742" s="442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</row>
    <row r="743" ht="19.5" customHeight="1">
      <c r="A743" s="442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</row>
    <row r="744" ht="19.5" customHeight="1">
      <c r="A744" s="442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</row>
    <row r="745" ht="19.5" customHeight="1">
      <c r="A745" s="442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</row>
    <row r="746" ht="19.5" customHeight="1">
      <c r="A746" s="442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</row>
    <row r="747" ht="19.5" customHeight="1">
      <c r="A747" s="442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</row>
    <row r="748" ht="19.5" customHeight="1">
      <c r="A748" s="442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</row>
    <row r="749" ht="19.5" customHeight="1">
      <c r="A749" s="442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</row>
    <row r="750" ht="19.5" customHeight="1">
      <c r="A750" s="442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</row>
    <row r="751" ht="19.5" customHeight="1">
      <c r="A751" s="442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</row>
    <row r="752" ht="19.5" customHeight="1">
      <c r="A752" s="442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</row>
    <row r="753" ht="19.5" customHeight="1">
      <c r="A753" s="442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</row>
    <row r="754" ht="19.5" customHeight="1">
      <c r="A754" s="442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</row>
    <row r="755" ht="19.5" customHeight="1">
      <c r="A755" s="442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</row>
    <row r="756" ht="19.5" customHeight="1">
      <c r="A756" s="442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</row>
    <row r="757" ht="19.5" customHeight="1">
      <c r="A757" s="442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</row>
    <row r="758" ht="19.5" customHeight="1">
      <c r="A758" s="442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</row>
    <row r="759" ht="19.5" customHeight="1">
      <c r="A759" s="442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</row>
    <row r="760" ht="19.5" customHeight="1">
      <c r="A760" s="442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</row>
    <row r="761" ht="19.5" customHeight="1">
      <c r="A761" s="442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</row>
    <row r="762" ht="19.5" customHeight="1">
      <c r="A762" s="442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</row>
    <row r="763" ht="19.5" customHeight="1">
      <c r="A763" s="442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</row>
    <row r="764" ht="19.5" customHeight="1">
      <c r="A764" s="442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</row>
    <row r="765" ht="19.5" customHeight="1">
      <c r="A765" s="442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</row>
    <row r="766" ht="19.5" customHeight="1">
      <c r="A766" s="442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</row>
    <row r="767" ht="19.5" customHeight="1">
      <c r="A767" s="442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</row>
    <row r="768" ht="19.5" customHeight="1">
      <c r="A768" s="442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</row>
    <row r="769" ht="19.5" customHeight="1">
      <c r="A769" s="442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</row>
    <row r="770" ht="19.5" customHeight="1">
      <c r="A770" s="442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</row>
    <row r="771" ht="19.5" customHeight="1">
      <c r="A771" s="442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</row>
    <row r="772" ht="19.5" customHeight="1">
      <c r="A772" s="442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</row>
    <row r="773" ht="19.5" customHeight="1">
      <c r="A773" s="442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</row>
    <row r="774" ht="19.5" customHeight="1">
      <c r="A774" s="442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</row>
    <row r="775" ht="19.5" customHeight="1">
      <c r="A775" s="442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</row>
    <row r="776" ht="19.5" customHeight="1">
      <c r="A776" s="442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</row>
    <row r="777" ht="19.5" customHeight="1">
      <c r="A777" s="442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</row>
    <row r="778" ht="19.5" customHeight="1">
      <c r="A778" s="442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</row>
    <row r="779" ht="19.5" customHeight="1">
      <c r="A779" s="442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</row>
    <row r="780" ht="19.5" customHeight="1">
      <c r="A780" s="442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</row>
    <row r="781" ht="19.5" customHeight="1">
      <c r="A781" s="442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</row>
    <row r="782" ht="19.5" customHeight="1">
      <c r="A782" s="442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</row>
    <row r="783" ht="19.5" customHeight="1">
      <c r="A783" s="442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</row>
    <row r="784" ht="19.5" customHeight="1">
      <c r="A784" s="442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</row>
    <row r="785" ht="19.5" customHeight="1">
      <c r="A785" s="442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</row>
    <row r="786" ht="19.5" customHeight="1">
      <c r="A786" s="442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</row>
    <row r="787" ht="19.5" customHeight="1">
      <c r="A787" s="442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</row>
    <row r="788" ht="19.5" customHeight="1">
      <c r="A788" s="442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</row>
    <row r="789" ht="19.5" customHeight="1">
      <c r="A789" s="442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</row>
    <row r="790" ht="19.5" customHeight="1">
      <c r="A790" s="442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</row>
    <row r="791" ht="19.5" customHeight="1">
      <c r="A791" s="442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</row>
    <row r="792" ht="19.5" customHeight="1">
      <c r="A792" s="442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</row>
    <row r="793" ht="19.5" customHeight="1">
      <c r="A793" s="442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</row>
    <row r="794" ht="19.5" customHeight="1">
      <c r="A794" s="442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</row>
    <row r="795" ht="19.5" customHeight="1">
      <c r="A795" s="442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</row>
    <row r="796" ht="19.5" customHeight="1">
      <c r="A796" s="442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</row>
    <row r="797" ht="19.5" customHeight="1">
      <c r="A797" s="442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</row>
    <row r="798" ht="19.5" customHeight="1">
      <c r="A798" s="442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</row>
    <row r="799" ht="19.5" customHeight="1">
      <c r="A799" s="442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</row>
    <row r="800" ht="19.5" customHeight="1">
      <c r="A800" s="442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</row>
    <row r="801" ht="19.5" customHeight="1">
      <c r="A801" s="442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</row>
    <row r="802" ht="19.5" customHeight="1">
      <c r="A802" s="442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</row>
    <row r="803" ht="19.5" customHeight="1">
      <c r="A803" s="442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</row>
    <row r="804" ht="19.5" customHeight="1">
      <c r="A804" s="442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</row>
    <row r="805" ht="19.5" customHeight="1">
      <c r="A805" s="442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</row>
    <row r="806" ht="19.5" customHeight="1">
      <c r="A806" s="442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</row>
    <row r="807" ht="19.5" customHeight="1">
      <c r="A807" s="442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</row>
    <row r="808" ht="19.5" customHeight="1">
      <c r="A808" s="442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</row>
    <row r="809" ht="19.5" customHeight="1">
      <c r="A809" s="442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</row>
    <row r="810" ht="19.5" customHeight="1">
      <c r="A810" s="442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</row>
    <row r="811" ht="19.5" customHeight="1">
      <c r="A811" s="442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</row>
    <row r="812" ht="19.5" customHeight="1">
      <c r="A812" s="442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</row>
    <row r="813" ht="19.5" customHeight="1">
      <c r="A813" s="442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</row>
    <row r="814" ht="19.5" customHeight="1">
      <c r="A814" s="442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</row>
    <row r="815" ht="19.5" customHeight="1">
      <c r="A815" s="442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</row>
    <row r="816" ht="19.5" customHeight="1">
      <c r="A816" s="442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</row>
    <row r="817" ht="19.5" customHeight="1">
      <c r="A817" s="442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</row>
    <row r="818" ht="19.5" customHeight="1">
      <c r="A818" s="442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</row>
    <row r="819" ht="19.5" customHeight="1">
      <c r="A819" s="442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</row>
    <row r="820" ht="19.5" customHeight="1">
      <c r="A820" s="442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</row>
    <row r="821" ht="19.5" customHeight="1">
      <c r="A821" s="442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</row>
    <row r="822" ht="19.5" customHeight="1">
      <c r="A822" s="442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</row>
    <row r="823" ht="19.5" customHeight="1">
      <c r="A823" s="442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</row>
    <row r="824" ht="19.5" customHeight="1">
      <c r="A824" s="442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</row>
    <row r="825" ht="19.5" customHeight="1">
      <c r="A825" s="442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</row>
    <row r="826" ht="19.5" customHeight="1">
      <c r="A826" s="442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</row>
    <row r="827" ht="19.5" customHeight="1">
      <c r="A827" s="442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</row>
    <row r="828" ht="19.5" customHeight="1">
      <c r="A828" s="442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</row>
    <row r="829" ht="19.5" customHeight="1">
      <c r="A829" s="442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</row>
    <row r="830" ht="19.5" customHeight="1">
      <c r="A830" s="442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</row>
    <row r="831" ht="19.5" customHeight="1">
      <c r="A831" s="442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</row>
    <row r="832" ht="19.5" customHeight="1">
      <c r="A832" s="442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</row>
    <row r="833" ht="19.5" customHeight="1">
      <c r="A833" s="442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</row>
    <row r="834" ht="19.5" customHeight="1">
      <c r="A834" s="442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</row>
    <row r="835" ht="19.5" customHeight="1">
      <c r="A835" s="442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</row>
    <row r="836" ht="19.5" customHeight="1">
      <c r="A836" s="442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</row>
    <row r="837" ht="19.5" customHeight="1">
      <c r="A837" s="442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</row>
    <row r="838" ht="19.5" customHeight="1">
      <c r="A838" s="442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</row>
    <row r="839" ht="19.5" customHeight="1">
      <c r="A839" s="442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</row>
    <row r="840" ht="19.5" customHeight="1">
      <c r="A840" s="442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</row>
    <row r="841" ht="19.5" customHeight="1">
      <c r="A841" s="442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</row>
    <row r="842" ht="19.5" customHeight="1">
      <c r="A842" s="442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</row>
    <row r="843" ht="19.5" customHeight="1">
      <c r="A843" s="442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</row>
    <row r="844" ht="19.5" customHeight="1">
      <c r="A844" s="442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</row>
    <row r="845" ht="19.5" customHeight="1">
      <c r="A845" s="442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</row>
    <row r="846" ht="19.5" customHeight="1">
      <c r="A846" s="442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</row>
    <row r="847" ht="19.5" customHeight="1">
      <c r="A847" s="442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</row>
    <row r="848" ht="19.5" customHeight="1">
      <c r="A848" s="442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</row>
    <row r="849" ht="19.5" customHeight="1">
      <c r="A849" s="442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</row>
    <row r="850" ht="19.5" customHeight="1">
      <c r="A850" s="442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</row>
    <row r="851" ht="19.5" customHeight="1">
      <c r="A851" s="442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</row>
    <row r="852" ht="19.5" customHeight="1">
      <c r="A852" s="442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</row>
    <row r="853" ht="19.5" customHeight="1">
      <c r="A853" s="442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</row>
    <row r="854" ht="19.5" customHeight="1">
      <c r="A854" s="442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</row>
    <row r="855" ht="19.5" customHeight="1">
      <c r="A855" s="442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</row>
    <row r="856" ht="19.5" customHeight="1">
      <c r="A856" s="442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</row>
    <row r="857" ht="19.5" customHeight="1">
      <c r="A857" s="442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</row>
    <row r="858" ht="19.5" customHeight="1">
      <c r="A858" s="442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</row>
    <row r="859" ht="19.5" customHeight="1">
      <c r="A859" s="442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</row>
    <row r="860" ht="19.5" customHeight="1">
      <c r="A860" s="442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</row>
    <row r="861" ht="19.5" customHeight="1">
      <c r="A861" s="442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</row>
    <row r="862" ht="19.5" customHeight="1">
      <c r="A862" s="442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</row>
    <row r="863" ht="19.5" customHeight="1">
      <c r="A863" s="442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</row>
    <row r="864" ht="19.5" customHeight="1">
      <c r="A864" s="442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</row>
    <row r="865" ht="19.5" customHeight="1">
      <c r="A865" s="442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</row>
    <row r="866" ht="19.5" customHeight="1">
      <c r="A866" s="442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</row>
    <row r="867" ht="19.5" customHeight="1">
      <c r="A867" s="442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</row>
    <row r="868" ht="19.5" customHeight="1">
      <c r="A868" s="442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</row>
    <row r="869" ht="19.5" customHeight="1">
      <c r="A869" s="442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</row>
    <row r="870" ht="19.5" customHeight="1">
      <c r="A870" s="442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</row>
    <row r="871" ht="19.5" customHeight="1">
      <c r="A871" s="442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</row>
    <row r="872" ht="19.5" customHeight="1">
      <c r="A872" s="442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</row>
    <row r="873" ht="19.5" customHeight="1">
      <c r="A873" s="442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</row>
    <row r="874" ht="19.5" customHeight="1">
      <c r="A874" s="442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</row>
    <row r="875" ht="19.5" customHeight="1">
      <c r="A875" s="442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</row>
    <row r="876" ht="19.5" customHeight="1">
      <c r="A876" s="442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</row>
    <row r="877" ht="19.5" customHeight="1">
      <c r="A877" s="442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</row>
    <row r="878" ht="19.5" customHeight="1">
      <c r="A878" s="442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</row>
    <row r="879" ht="19.5" customHeight="1">
      <c r="A879" s="442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</row>
    <row r="880" ht="19.5" customHeight="1">
      <c r="A880" s="442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</row>
    <row r="881" ht="19.5" customHeight="1">
      <c r="A881" s="442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</row>
    <row r="882" ht="19.5" customHeight="1">
      <c r="A882" s="442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</row>
    <row r="883" ht="19.5" customHeight="1">
      <c r="A883" s="442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</row>
    <row r="884" ht="19.5" customHeight="1">
      <c r="A884" s="442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</row>
    <row r="885" ht="19.5" customHeight="1">
      <c r="A885" s="442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</row>
    <row r="886" ht="19.5" customHeight="1">
      <c r="A886" s="442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</row>
    <row r="887" ht="19.5" customHeight="1">
      <c r="A887" s="442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</row>
    <row r="888" ht="19.5" customHeight="1">
      <c r="A888" s="442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</row>
    <row r="889" ht="19.5" customHeight="1">
      <c r="A889" s="442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</row>
    <row r="890" ht="19.5" customHeight="1">
      <c r="A890" s="442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</row>
    <row r="891" ht="19.5" customHeight="1">
      <c r="A891" s="442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</row>
    <row r="892" ht="19.5" customHeight="1">
      <c r="A892" s="442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</row>
    <row r="893" ht="19.5" customHeight="1">
      <c r="A893" s="442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</row>
    <row r="894" ht="19.5" customHeight="1">
      <c r="A894" s="442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</row>
    <row r="895" ht="19.5" customHeight="1">
      <c r="A895" s="442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</row>
    <row r="896" ht="19.5" customHeight="1">
      <c r="A896" s="442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</row>
    <row r="897" ht="19.5" customHeight="1">
      <c r="A897" s="442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</row>
    <row r="898" ht="19.5" customHeight="1">
      <c r="A898" s="442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</row>
    <row r="899" ht="19.5" customHeight="1">
      <c r="A899" s="442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</row>
    <row r="900" ht="19.5" customHeight="1">
      <c r="A900" s="442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</row>
    <row r="901" ht="19.5" customHeight="1">
      <c r="A901" s="442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</row>
    <row r="902" ht="19.5" customHeight="1">
      <c r="A902" s="442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</row>
    <row r="903" ht="19.5" customHeight="1">
      <c r="A903" s="442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</row>
    <row r="904" ht="19.5" customHeight="1">
      <c r="A904" s="442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</row>
    <row r="905" ht="19.5" customHeight="1">
      <c r="A905" s="442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</row>
    <row r="906" ht="19.5" customHeight="1">
      <c r="A906" s="442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</row>
    <row r="907" ht="19.5" customHeight="1">
      <c r="A907" s="442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</row>
    <row r="908" ht="19.5" customHeight="1">
      <c r="A908" s="442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</row>
    <row r="909" ht="19.5" customHeight="1">
      <c r="A909" s="442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</row>
    <row r="910" ht="19.5" customHeight="1">
      <c r="A910" s="442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</row>
    <row r="911" ht="19.5" customHeight="1">
      <c r="A911" s="442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</row>
    <row r="912" ht="19.5" customHeight="1">
      <c r="A912" s="442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</row>
    <row r="913" ht="19.5" customHeight="1">
      <c r="A913" s="442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</row>
    <row r="914" ht="19.5" customHeight="1">
      <c r="A914" s="442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</row>
    <row r="915" ht="19.5" customHeight="1">
      <c r="A915" s="442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</row>
    <row r="916" ht="19.5" customHeight="1">
      <c r="A916" s="442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</row>
    <row r="917" ht="19.5" customHeight="1">
      <c r="A917" s="442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</row>
    <row r="918" ht="19.5" customHeight="1">
      <c r="A918" s="442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</row>
    <row r="919" ht="19.5" customHeight="1">
      <c r="A919" s="442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</row>
    <row r="920" ht="19.5" customHeight="1">
      <c r="A920" s="442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</row>
    <row r="921" ht="19.5" customHeight="1">
      <c r="A921" s="442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</row>
    <row r="922" ht="19.5" customHeight="1">
      <c r="A922" s="442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</row>
    <row r="923" ht="19.5" customHeight="1">
      <c r="A923" s="442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</row>
    <row r="924" ht="19.5" customHeight="1">
      <c r="A924" s="442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</row>
    <row r="925" ht="19.5" customHeight="1">
      <c r="A925" s="442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</row>
    <row r="926" ht="19.5" customHeight="1">
      <c r="A926" s="442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</row>
    <row r="927" ht="19.5" customHeight="1">
      <c r="A927" s="442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</row>
    <row r="928" ht="19.5" customHeight="1">
      <c r="A928" s="442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</row>
    <row r="929" ht="19.5" customHeight="1">
      <c r="A929" s="442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</row>
    <row r="930" ht="19.5" customHeight="1">
      <c r="A930" s="442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</row>
    <row r="931" ht="19.5" customHeight="1">
      <c r="A931" s="442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</row>
    <row r="932" ht="19.5" customHeight="1">
      <c r="A932" s="442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</row>
    <row r="933" ht="19.5" customHeight="1">
      <c r="A933" s="442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</row>
    <row r="934" ht="19.5" customHeight="1">
      <c r="A934" s="442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</row>
    <row r="935" ht="19.5" customHeight="1">
      <c r="A935" s="442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</row>
    <row r="936" ht="19.5" customHeight="1">
      <c r="A936" s="442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</row>
    <row r="937" ht="19.5" customHeight="1">
      <c r="A937" s="442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</row>
    <row r="938" ht="19.5" customHeight="1">
      <c r="A938" s="442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</row>
    <row r="939" ht="19.5" customHeight="1">
      <c r="A939" s="442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</row>
    <row r="940" ht="19.5" customHeight="1">
      <c r="A940" s="442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</row>
    <row r="941" ht="19.5" customHeight="1">
      <c r="A941" s="442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</row>
    <row r="942" ht="19.5" customHeight="1">
      <c r="A942" s="442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</row>
    <row r="943" ht="19.5" customHeight="1">
      <c r="A943" s="442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</row>
    <row r="944" ht="19.5" customHeight="1">
      <c r="A944" s="442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</row>
    <row r="945" ht="19.5" customHeight="1">
      <c r="A945" s="442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</row>
    <row r="946" ht="19.5" customHeight="1">
      <c r="A946" s="442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</row>
    <row r="947" ht="19.5" customHeight="1">
      <c r="A947" s="442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</row>
    <row r="948" ht="19.5" customHeight="1">
      <c r="A948" s="442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</row>
    <row r="949" ht="19.5" customHeight="1">
      <c r="A949" s="442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</row>
    <row r="950" ht="19.5" customHeight="1">
      <c r="A950" s="442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</row>
    <row r="951" ht="19.5" customHeight="1">
      <c r="A951" s="442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</row>
    <row r="952" ht="19.5" customHeight="1">
      <c r="A952" s="442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</row>
    <row r="953" ht="19.5" customHeight="1">
      <c r="A953" s="442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</row>
    <row r="954" ht="19.5" customHeight="1">
      <c r="A954" s="442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</row>
    <row r="955" ht="19.5" customHeight="1">
      <c r="A955" s="442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</row>
    <row r="956" ht="19.5" customHeight="1">
      <c r="A956" s="442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</row>
    <row r="957" ht="19.5" customHeight="1">
      <c r="A957" s="442"/>
      <c r="B957" s="442"/>
      <c r="C957" s="442"/>
      <c r="D957" s="442"/>
      <c r="E957" s="442"/>
      <c r="F957" s="442"/>
      <c r="G957" s="442"/>
      <c r="H957" s="442"/>
      <c r="I957" s="442"/>
      <c r="J957" s="442"/>
      <c r="K957" s="442"/>
      <c r="L957" s="442"/>
      <c r="M957" s="442"/>
      <c r="N957" s="442"/>
      <c r="O957" s="442"/>
      <c r="P957" s="442"/>
      <c r="Q957" s="442"/>
      <c r="R957" s="442"/>
      <c r="S957" s="442"/>
      <c r="T957" s="442"/>
      <c r="U957" s="442"/>
      <c r="V957" s="442"/>
      <c r="W957" s="442"/>
      <c r="X957" s="442"/>
    </row>
    <row r="958" ht="19.5" customHeight="1">
      <c r="A958" s="442"/>
      <c r="B958" s="442"/>
      <c r="C958" s="442"/>
      <c r="D958" s="442"/>
      <c r="E958" s="442"/>
      <c r="F958" s="442"/>
      <c r="G958" s="442"/>
      <c r="H958" s="442"/>
      <c r="I958" s="442"/>
      <c r="J958" s="442"/>
      <c r="K958" s="442"/>
      <c r="L958" s="442"/>
      <c r="M958" s="442"/>
      <c r="N958" s="442"/>
      <c r="O958" s="442"/>
      <c r="P958" s="442"/>
      <c r="Q958" s="442"/>
      <c r="R958" s="442"/>
      <c r="S958" s="442"/>
      <c r="T958" s="442"/>
      <c r="U958" s="442"/>
      <c r="V958" s="442"/>
      <c r="W958" s="442"/>
      <c r="X958" s="442"/>
    </row>
    <row r="959" ht="19.5" customHeight="1">
      <c r="A959" s="442"/>
      <c r="B959" s="442"/>
      <c r="C959" s="442"/>
      <c r="D959" s="442"/>
      <c r="E959" s="442"/>
      <c r="F959" s="442"/>
      <c r="G959" s="442"/>
      <c r="H959" s="442"/>
      <c r="I959" s="442"/>
      <c r="J959" s="442"/>
      <c r="K959" s="442"/>
      <c r="L959" s="442"/>
      <c r="M959" s="442"/>
      <c r="N959" s="442"/>
      <c r="O959" s="442"/>
      <c r="P959" s="442"/>
      <c r="Q959" s="442"/>
      <c r="R959" s="442"/>
      <c r="S959" s="442"/>
      <c r="T959" s="442"/>
      <c r="U959" s="442"/>
      <c r="V959" s="442"/>
      <c r="W959" s="442"/>
      <c r="X959" s="442"/>
    </row>
    <row r="960" ht="19.5" customHeight="1">
      <c r="A960" s="442"/>
      <c r="B960" s="442"/>
      <c r="C960" s="442"/>
      <c r="D960" s="442"/>
      <c r="E960" s="442"/>
      <c r="F960" s="442"/>
      <c r="G960" s="442"/>
      <c r="H960" s="442"/>
      <c r="I960" s="442"/>
      <c r="J960" s="442"/>
      <c r="K960" s="442"/>
      <c r="L960" s="442"/>
      <c r="M960" s="442"/>
      <c r="N960" s="442"/>
      <c r="O960" s="442"/>
      <c r="P960" s="442"/>
      <c r="Q960" s="442"/>
      <c r="R960" s="442"/>
      <c r="S960" s="442"/>
      <c r="T960" s="442"/>
      <c r="U960" s="442"/>
      <c r="V960" s="442"/>
      <c r="W960" s="442"/>
      <c r="X960" s="442"/>
    </row>
    <row r="961" ht="19.5" customHeight="1">
      <c r="A961" s="442"/>
      <c r="B961" s="442"/>
      <c r="C961" s="442"/>
      <c r="D961" s="442"/>
      <c r="E961" s="442"/>
      <c r="F961" s="442"/>
      <c r="G961" s="442"/>
      <c r="H961" s="442"/>
      <c r="I961" s="442"/>
      <c r="J961" s="442"/>
      <c r="K961" s="442"/>
      <c r="L961" s="442"/>
      <c r="M961" s="442"/>
      <c r="N961" s="442"/>
      <c r="O961" s="442"/>
      <c r="P961" s="442"/>
      <c r="Q961" s="442"/>
      <c r="R961" s="442"/>
      <c r="S961" s="442"/>
      <c r="T961" s="442"/>
      <c r="U961" s="442"/>
      <c r="V961" s="442"/>
      <c r="W961" s="442"/>
      <c r="X961" s="442"/>
    </row>
    <row r="962" ht="19.5" customHeight="1">
      <c r="A962" s="442"/>
      <c r="B962" s="442"/>
      <c r="C962" s="442"/>
      <c r="D962" s="442"/>
      <c r="E962" s="442"/>
      <c r="F962" s="442"/>
      <c r="G962" s="442"/>
      <c r="H962" s="442"/>
      <c r="I962" s="442"/>
      <c r="J962" s="442"/>
      <c r="K962" s="442"/>
      <c r="L962" s="442"/>
      <c r="M962" s="442"/>
      <c r="N962" s="442"/>
      <c r="O962" s="442"/>
      <c r="P962" s="442"/>
      <c r="Q962" s="442"/>
      <c r="R962" s="442"/>
      <c r="S962" s="442"/>
      <c r="T962" s="442"/>
      <c r="U962" s="442"/>
      <c r="V962" s="442"/>
      <c r="W962" s="442"/>
      <c r="X962" s="442"/>
    </row>
    <row r="963" ht="19.5" customHeight="1">
      <c r="A963" s="442"/>
      <c r="B963" s="442"/>
      <c r="C963" s="442"/>
      <c r="D963" s="442"/>
      <c r="E963" s="442"/>
      <c r="F963" s="442"/>
      <c r="G963" s="442"/>
      <c r="H963" s="442"/>
      <c r="I963" s="442"/>
      <c r="J963" s="442"/>
      <c r="K963" s="442"/>
      <c r="L963" s="442"/>
      <c r="M963" s="442"/>
      <c r="N963" s="442"/>
      <c r="O963" s="442"/>
      <c r="P963" s="442"/>
      <c r="Q963" s="442"/>
      <c r="R963" s="442"/>
      <c r="S963" s="442"/>
      <c r="T963" s="442"/>
      <c r="U963" s="442"/>
      <c r="V963" s="442"/>
      <c r="W963" s="442"/>
      <c r="X963" s="442"/>
    </row>
    <row r="964" ht="19.5" customHeight="1">
      <c r="A964" s="442"/>
      <c r="B964" s="442"/>
      <c r="C964" s="442"/>
      <c r="D964" s="442"/>
      <c r="E964" s="442"/>
      <c r="F964" s="442"/>
      <c r="G964" s="442"/>
      <c r="H964" s="442"/>
      <c r="I964" s="442"/>
      <c r="J964" s="442"/>
      <c r="K964" s="442"/>
      <c r="L964" s="442"/>
      <c r="M964" s="442"/>
      <c r="N964" s="442"/>
      <c r="O964" s="442"/>
      <c r="P964" s="442"/>
      <c r="Q964" s="442"/>
      <c r="R964" s="442"/>
      <c r="S964" s="442"/>
      <c r="T964" s="442"/>
      <c r="U964" s="442"/>
      <c r="V964" s="442"/>
      <c r="W964" s="442"/>
      <c r="X964" s="442"/>
    </row>
    <row r="965" ht="19.5" customHeight="1">
      <c r="A965" s="442"/>
      <c r="B965" s="442"/>
      <c r="C965" s="442"/>
      <c r="D965" s="442"/>
      <c r="E965" s="442"/>
      <c r="F965" s="442"/>
      <c r="G965" s="442"/>
      <c r="H965" s="442"/>
      <c r="I965" s="442"/>
      <c r="J965" s="442"/>
      <c r="K965" s="442"/>
      <c r="L965" s="442"/>
      <c r="M965" s="442"/>
      <c r="N965" s="442"/>
      <c r="O965" s="442"/>
      <c r="P965" s="442"/>
      <c r="Q965" s="442"/>
      <c r="R965" s="442"/>
      <c r="S965" s="442"/>
      <c r="T965" s="442"/>
      <c r="U965" s="442"/>
      <c r="V965" s="442"/>
      <c r="W965" s="442"/>
      <c r="X965" s="442"/>
    </row>
    <row r="966" ht="19.5" customHeight="1">
      <c r="A966" s="442"/>
      <c r="B966" s="442"/>
      <c r="C966" s="442"/>
      <c r="D966" s="442"/>
      <c r="E966" s="442"/>
      <c r="F966" s="442"/>
      <c r="G966" s="442"/>
      <c r="H966" s="442"/>
      <c r="I966" s="442"/>
      <c r="J966" s="442"/>
      <c r="K966" s="442"/>
      <c r="L966" s="442"/>
      <c r="M966" s="442"/>
      <c r="N966" s="442"/>
      <c r="O966" s="442"/>
      <c r="P966" s="442"/>
      <c r="Q966" s="442"/>
      <c r="R966" s="442"/>
      <c r="S966" s="442"/>
      <c r="T966" s="442"/>
      <c r="U966" s="442"/>
      <c r="V966" s="442"/>
      <c r="W966" s="442"/>
      <c r="X966" s="442"/>
    </row>
    <row r="967" ht="19.5" customHeight="1">
      <c r="A967" s="442"/>
      <c r="B967" s="442"/>
      <c r="C967" s="442"/>
      <c r="D967" s="442"/>
      <c r="E967" s="442"/>
      <c r="F967" s="442"/>
      <c r="G967" s="442"/>
      <c r="H967" s="442"/>
      <c r="I967" s="442"/>
      <c r="J967" s="442"/>
      <c r="K967" s="442"/>
      <c r="L967" s="442"/>
      <c r="M967" s="442"/>
      <c r="N967" s="442"/>
      <c r="O967" s="442"/>
      <c r="P967" s="442"/>
      <c r="Q967" s="442"/>
      <c r="R967" s="442"/>
      <c r="S967" s="442"/>
      <c r="T967" s="442"/>
      <c r="U967" s="442"/>
      <c r="V967" s="442"/>
      <c r="W967" s="442"/>
      <c r="X967" s="442"/>
    </row>
    <row r="968" ht="19.5" customHeight="1">
      <c r="A968" s="442"/>
      <c r="B968" s="442"/>
      <c r="C968" s="442"/>
      <c r="D968" s="442"/>
      <c r="E968" s="442"/>
      <c r="F968" s="442"/>
      <c r="G968" s="442"/>
      <c r="H968" s="442"/>
      <c r="I968" s="442"/>
      <c r="J968" s="442"/>
      <c r="K968" s="442"/>
      <c r="L968" s="442"/>
      <c r="M968" s="442"/>
      <c r="N968" s="442"/>
      <c r="O968" s="442"/>
      <c r="P968" s="442"/>
      <c r="Q968" s="442"/>
      <c r="R968" s="442"/>
      <c r="S968" s="442"/>
      <c r="T968" s="442"/>
      <c r="U968" s="442"/>
      <c r="V968" s="442"/>
      <c r="W968" s="442"/>
      <c r="X968" s="442"/>
    </row>
    <row r="969" ht="19.5" customHeight="1">
      <c r="A969" s="442"/>
      <c r="B969" s="442"/>
      <c r="C969" s="442"/>
      <c r="D969" s="442"/>
      <c r="E969" s="442"/>
      <c r="F969" s="442"/>
      <c r="G969" s="442"/>
      <c r="H969" s="442"/>
      <c r="I969" s="442"/>
      <c r="J969" s="442"/>
      <c r="K969" s="442"/>
      <c r="L969" s="442"/>
      <c r="M969" s="442"/>
      <c r="N969" s="442"/>
      <c r="O969" s="442"/>
      <c r="P969" s="442"/>
      <c r="Q969" s="442"/>
      <c r="R969" s="442"/>
      <c r="S969" s="442"/>
      <c r="T969" s="442"/>
      <c r="U969" s="442"/>
      <c r="V969" s="442"/>
      <c r="W969" s="442"/>
      <c r="X969" s="442"/>
    </row>
    <row r="970" ht="19.5" customHeight="1">
      <c r="A970" s="442"/>
      <c r="B970" s="442"/>
      <c r="C970" s="442"/>
      <c r="D970" s="442"/>
      <c r="E970" s="442"/>
      <c r="F970" s="442"/>
      <c r="G970" s="442"/>
      <c r="H970" s="442"/>
      <c r="I970" s="442"/>
      <c r="J970" s="442"/>
      <c r="K970" s="442"/>
      <c r="L970" s="442"/>
      <c r="M970" s="442"/>
      <c r="N970" s="442"/>
      <c r="O970" s="442"/>
      <c r="P970" s="442"/>
      <c r="Q970" s="442"/>
      <c r="R970" s="442"/>
      <c r="S970" s="442"/>
      <c r="T970" s="442"/>
      <c r="U970" s="442"/>
      <c r="V970" s="442"/>
      <c r="W970" s="442"/>
      <c r="X970" s="442"/>
    </row>
    <row r="971" ht="19.5" customHeight="1">
      <c r="A971" s="442"/>
      <c r="B971" s="442"/>
      <c r="C971" s="442"/>
      <c r="D971" s="442"/>
      <c r="E971" s="442"/>
      <c r="F971" s="442"/>
      <c r="G971" s="442"/>
      <c r="H971" s="442"/>
      <c r="I971" s="442"/>
      <c r="J971" s="442"/>
      <c r="K971" s="442"/>
      <c r="L971" s="442"/>
      <c r="M971" s="442"/>
      <c r="N971" s="442"/>
      <c r="O971" s="442"/>
      <c r="P971" s="442"/>
      <c r="Q971" s="442"/>
      <c r="R971" s="442"/>
      <c r="S971" s="442"/>
      <c r="T971" s="442"/>
      <c r="U971" s="442"/>
      <c r="V971" s="442"/>
      <c r="W971" s="442"/>
      <c r="X971" s="442"/>
    </row>
    <row r="972" ht="19.5" customHeight="1">
      <c r="A972" s="442"/>
      <c r="B972" s="442"/>
      <c r="C972" s="442"/>
      <c r="D972" s="442"/>
      <c r="E972" s="442"/>
      <c r="F972" s="442"/>
      <c r="G972" s="442"/>
      <c r="H972" s="442"/>
      <c r="I972" s="442"/>
      <c r="J972" s="442"/>
      <c r="K972" s="442"/>
      <c r="L972" s="442"/>
      <c r="M972" s="442"/>
      <c r="N972" s="442"/>
      <c r="O972" s="442"/>
      <c r="P972" s="442"/>
      <c r="Q972" s="442"/>
      <c r="R972" s="442"/>
      <c r="S972" s="442"/>
      <c r="T972" s="442"/>
      <c r="U972" s="442"/>
      <c r="V972" s="442"/>
      <c r="W972" s="442"/>
      <c r="X972" s="442"/>
    </row>
    <row r="973" ht="19.5" customHeight="1">
      <c r="A973" s="442"/>
      <c r="B973" s="442"/>
      <c r="C973" s="442"/>
      <c r="D973" s="442"/>
      <c r="E973" s="442"/>
      <c r="F973" s="442"/>
      <c r="G973" s="442"/>
      <c r="H973" s="442"/>
      <c r="I973" s="442"/>
      <c r="J973" s="442"/>
      <c r="K973" s="442"/>
      <c r="L973" s="442"/>
      <c r="M973" s="442"/>
      <c r="N973" s="442"/>
      <c r="O973" s="442"/>
      <c r="P973" s="442"/>
      <c r="Q973" s="442"/>
      <c r="R973" s="442"/>
      <c r="S973" s="442"/>
      <c r="T973" s="442"/>
      <c r="U973" s="442"/>
      <c r="V973" s="442"/>
      <c r="W973" s="442"/>
      <c r="X973" s="442"/>
    </row>
    <row r="974" ht="19.5" customHeight="1">
      <c r="A974" s="442"/>
      <c r="B974" s="442"/>
      <c r="C974" s="442"/>
      <c r="D974" s="442"/>
      <c r="E974" s="442"/>
      <c r="F974" s="442"/>
      <c r="G974" s="442"/>
      <c r="H974" s="442"/>
      <c r="I974" s="442"/>
      <c r="J974" s="442"/>
      <c r="K974" s="442"/>
      <c r="L974" s="442"/>
      <c r="M974" s="442"/>
      <c r="N974" s="442"/>
      <c r="O974" s="442"/>
      <c r="P974" s="442"/>
      <c r="Q974" s="442"/>
      <c r="R974" s="442"/>
      <c r="S974" s="442"/>
      <c r="T974" s="442"/>
      <c r="U974" s="442"/>
      <c r="V974" s="442"/>
      <c r="W974" s="442"/>
      <c r="X974" s="442"/>
    </row>
    <row r="975" ht="19.5" customHeight="1">
      <c r="A975" s="442"/>
      <c r="B975" s="442"/>
      <c r="C975" s="442"/>
      <c r="D975" s="442"/>
      <c r="E975" s="442"/>
      <c r="F975" s="442"/>
      <c r="G975" s="442"/>
      <c r="H975" s="442"/>
      <c r="I975" s="442"/>
      <c r="J975" s="442"/>
      <c r="K975" s="442"/>
      <c r="L975" s="442"/>
      <c r="M975" s="442"/>
      <c r="N975" s="442"/>
      <c r="O975" s="442"/>
      <c r="P975" s="442"/>
      <c r="Q975" s="442"/>
      <c r="R975" s="442"/>
      <c r="S975" s="442"/>
      <c r="T975" s="442"/>
      <c r="U975" s="442"/>
      <c r="V975" s="442"/>
      <c r="W975" s="442"/>
      <c r="X975" s="442"/>
    </row>
    <row r="976" ht="19.5" customHeight="1">
      <c r="A976" s="442"/>
      <c r="B976" s="442"/>
      <c r="C976" s="442"/>
      <c r="D976" s="442"/>
      <c r="E976" s="442"/>
      <c r="F976" s="442"/>
      <c r="G976" s="442"/>
      <c r="H976" s="442"/>
      <c r="I976" s="442"/>
      <c r="J976" s="442"/>
      <c r="K976" s="442"/>
      <c r="L976" s="442"/>
      <c r="M976" s="442"/>
      <c r="N976" s="442"/>
      <c r="O976" s="442"/>
      <c r="P976" s="442"/>
      <c r="Q976" s="442"/>
      <c r="R976" s="442"/>
      <c r="S976" s="442"/>
      <c r="T976" s="442"/>
      <c r="U976" s="442"/>
      <c r="V976" s="442"/>
      <c r="W976" s="442"/>
      <c r="X976" s="442"/>
    </row>
    <row r="977" ht="19.5" customHeight="1">
      <c r="A977" s="442"/>
      <c r="B977" s="442"/>
      <c r="C977" s="442"/>
      <c r="D977" s="442"/>
      <c r="E977" s="442"/>
      <c r="F977" s="442"/>
      <c r="G977" s="442"/>
      <c r="H977" s="442"/>
      <c r="I977" s="442"/>
      <c r="J977" s="442"/>
      <c r="K977" s="442"/>
      <c r="L977" s="442"/>
      <c r="M977" s="442"/>
      <c r="N977" s="442"/>
      <c r="O977" s="442"/>
      <c r="P977" s="442"/>
      <c r="Q977" s="442"/>
      <c r="R977" s="442"/>
      <c r="S977" s="442"/>
      <c r="T977" s="442"/>
      <c r="U977" s="442"/>
      <c r="V977" s="442"/>
      <c r="W977" s="442"/>
      <c r="X977" s="442"/>
    </row>
    <row r="978" ht="19.5" customHeight="1">
      <c r="A978" s="442"/>
      <c r="B978" s="442"/>
      <c r="C978" s="442"/>
      <c r="D978" s="442"/>
      <c r="E978" s="442"/>
      <c r="F978" s="442"/>
      <c r="G978" s="442"/>
      <c r="H978" s="442"/>
      <c r="I978" s="442"/>
      <c r="J978" s="442"/>
      <c r="K978" s="442"/>
      <c r="L978" s="442"/>
      <c r="M978" s="442"/>
      <c r="N978" s="442"/>
      <c r="O978" s="442"/>
      <c r="P978" s="442"/>
      <c r="Q978" s="442"/>
      <c r="R978" s="442"/>
      <c r="S978" s="442"/>
      <c r="T978" s="442"/>
      <c r="U978" s="442"/>
      <c r="V978" s="442"/>
      <c r="W978" s="442"/>
      <c r="X978" s="442"/>
    </row>
    <row r="979" ht="19.5" customHeight="1">
      <c r="A979" s="442"/>
      <c r="B979" s="442"/>
      <c r="C979" s="442"/>
      <c r="D979" s="442"/>
      <c r="E979" s="442"/>
      <c r="F979" s="442"/>
      <c r="G979" s="442"/>
      <c r="H979" s="442"/>
      <c r="I979" s="442"/>
      <c r="J979" s="442"/>
      <c r="K979" s="442"/>
      <c r="L979" s="442"/>
      <c r="M979" s="442"/>
      <c r="N979" s="442"/>
      <c r="O979" s="442"/>
      <c r="P979" s="442"/>
      <c r="Q979" s="442"/>
      <c r="R979" s="442"/>
      <c r="S979" s="442"/>
      <c r="T979" s="442"/>
      <c r="U979" s="442"/>
      <c r="V979" s="442"/>
      <c r="W979" s="442"/>
      <c r="X979" s="442"/>
    </row>
  </sheetData>
  <mergeCells count="1">
    <mergeCell ref="A1:C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</hyperlinks>
  <drawing r:id="rId13"/>
</worksheet>
</file>